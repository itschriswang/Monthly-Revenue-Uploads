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ownergroup.sharepoint.com/sites/Stuffyoushouldknow/Shared Documents/Sustainability/Energy and Emissions Data/Envizi Uploads/FY26/Revenue/"/>
    </mc:Choice>
  </mc:AlternateContent>
  <xr:revisionPtr revIDLastSave="13" documentId="13_ncr:1_{385FD9C2-D445-4370-998C-63BE01C5F5CC}" xr6:coauthVersionLast="47" xr6:coauthVersionMax="47" xr10:uidLastSave="{B98B6435-BE96-487F-81CA-9A4CB2BF9EE4}"/>
  <bookViews>
    <workbookView xWindow="-17400" yWindow="-21720" windowWidth="51840" windowHeight="21120" tabRatio="500" xr2:uid="{00000000-000D-0000-FFFF-FFFF00000000}"/>
  </bookViews>
  <sheets>
    <sheet name="Account_Setup_and_Data_Load" sheetId="1" r:id="rId1"/>
    <sheet name="Prep - with formulas" sheetId="2" r:id="rId2"/>
    <sheet name="FY26 Revenue" sheetId="3" r:id="rId3"/>
    <sheet name="Extract_for_Locations 1 Oct 25" sheetId="4" r:id="rId4"/>
    <sheet name="Extract for Accounts 1 Oct 25" sheetId="5" r:id="rId5"/>
    <sheet name="Feb Check - By Line Item" sheetId="6" r:id="rId6"/>
    <sheet name="Monthly Totals Check" sheetId="7" r:id="rId7"/>
  </sheets>
  <definedNames>
    <definedName name="_xlnm._FilterDatabase" localSheetId="0" hidden="1">Account_Setup_and_Data_Load!$A$1:$U$79</definedName>
    <definedName name="_xlnm._FilterDatabase" localSheetId="4" hidden="1">'Extract for Accounts 1 Oct 25'!$A$1:$AI$36</definedName>
    <definedName name="ID" localSheetId="2" hidden="1">"1df38458-72ca-45c9-86fb-7e8839e6f8b0"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2" i="2"/>
  <c r="M81" i="3"/>
  <c r="B12" i="7" l="1"/>
  <c r="C12" i="7"/>
  <c r="C11" i="7"/>
  <c r="E12" i="7"/>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4" i="6"/>
  <c r="N80" i="3"/>
  <c r="C80" i="2" s="1"/>
  <c r="D80" i="2" s="1"/>
  <c r="H80" i="2"/>
  <c r="I80" i="2"/>
  <c r="R80" i="2"/>
  <c r="S80" i="2"/>
  <c r="D12" i="7" l="1"/>
  <c r="F12" i="7" s="1"/>
  <c r="E11" i="7" l="1"/>
  <c r="B11" i="7"/>
  <c r="E10" i="7"/>
  <c r="C10" i="7"/>
  <c r="B10" i="7"/>
  <c r="E9" i="7"/>
  <c r="C9" i="7"/>
  <c r="B9" i="7"/>
  <c r="E8" i="7"/>
  <c r="C8" i="7"/>
  <c r="B8" i="7"/>
  <c r="E7" i="7"/>
  <c r="C7" i="7"/>
  <c r="B7" i="7"/>
  <c r="E6" i="7"/>
  <c r="C6" i="7"/>
  <c r="B6" i="7"/>
  <c r="E5" i="7"/>
  <c r="C5" i="7"/>
  <c r="B5" i="7"/>
  <c r="E4" i="7"/>
  <c r="C4" i="7"/>
  <c r="B4" i="7"/>
  <c r="N79" i="3"/>
  <c r="C79" i="2" s="1"/>
  <c r="N78" i="3"/>
  <c r="C78" i="2" s="1"/>
  <c r="D78" i="2" s="1"/>
  <c r="N77" i="3"/>
  <c r="C77" i="2" s="1"/>
  <c r="D77" i="2" s="1"/>
  <c r="N76" i="3"/>
  <c r="C76" i="2" s="1"/>
  <c r="N75" i="3"/>
  <c r="C75" i="2" s="1"/>
  <c r="N74" i="3"/>
  <c r="C74" i="2" s="1"/>
  <c r="N73" i="3"/>
  <c r="C73" i="2" s="1"/>
  <c r="D73" i="2" s="1"/>
  <c r="N72" i="3"/>
  <c r="C72" i="2" s="1"/>
  <c r="D72" i="2" s="1"/>
  <c r="N71" i="3"/>
  <c r="C71" i="2" s="1"/>
  <c r="N70" i="3"/>
  <c r="C70" i="2" s="1"/>
  <c r="N69" i="3"/>
  <c r="C69" i="2" s="1"/>
  <c r="D69" i="2" s="1"/>
  <c r="N68" i="3"/>
  <c r="C68" i="2" s="1"/>
  <c r="D68" i="2" s="1"/>
  <c r="N67" i="3"/>
  <c r="C67" i="2" s="1"/>
  <c r="D67" i="2" s="1"/>
  <c r="N66" i="3"/>
  <c r="C66" i="2" s="1"/>
  <c r="D66" i="2" s="1"/>
  <c r="N65" i="3"/>
  <c r="C65" i="2" s="1"/>
  <c r="D65" i="2" s="1"/>
  <c r="N64" i="3"/>
  <c r="C64" i="2" s="1"/>
  <c r="D64" i="2" s="1"/>
  <c r="N63" i="3"/>
  <c r="C63" i="2" s="1"/>
  <c r="D63" i="2" s="1"/>
  <c r="N62" i="3"/>
  <c r="C62" i="2" s="1"/>
  <c r="D62" i="2" s="1"/>
  <c r="N61" i="3"/>
  <c r="C61" i="2" s="1"/>
  <c r="D61" i="2" s="1"/>
  <c r="N60" i="3"/>
  <c r="C60" i="2" s="1"/>
  <c r="D60" i="2" s="1"/>
  <c r="N59" i="3"/>
  <c r="C59" i="2" s="1"/>
  <c r="D59" i="2" s="1"/>
  <c r="N58" i="3"/>
  <c r="C58" i="2" s="1"/>
  <c r="N57" i="3"/>
  <c r="C57" i="2" s="1"/>
  <c r="N56" i="3"/>
  <c r="C56" i="2" s="1"/>
  <c r="D56" i="2" s="1"/>
  <c r="N55" i="3"/>
  <c r="C55" i="2" s="1"/>
  <c r="D55" i="2" s="1"/>
  <c r="N54" i="3"/>
  <c r="C54" i="2" s="1"/>
  <c r="N53" i="3"/>
  <c r="C53" i="2" s="1"/>
  <c r="N52" i="3"/>
  <c r="C52" i="2" s="1"/>
  <c r="D52" i="2" s="1"/>
  <c r="N51" i="3"/>
  <c r="C51" i="2" s="1"/>
  <c r="D51" i="2" s="1"/>
  <c r="N50" i="3"/>
  <c r="C50" i="2" s="1"/>
  <c r="N49" i="3"/>
  <c r="C49" i="2" s="1"/>
  <c r="N48" i="3"/>
  <c r="C48" i="2" s="1"/>
  <c r="D48" i="2" s="1"/>
  <c r="N47" i="3"/>
  <c r="C47" i="2" s="1"/>
  <c r="D47" i="2" s="1"/>
  <c r="N46" i="3"/>
  <c r="C46" i="2" s="1"/>
  <c r="D46" i="2" s="1"/>
  <c r="N45" i="3"/>
  <c r="C45" i="2" s="1"/>
  <c r="D45" i="2" s="1"/>
  <c r="N44" i="3"/>
  <c r="C44" i="2" s="1"/>
  <c r="N43" i="3"/>
  <c r="C43" i="2" s="1"/>
  <c r="D43" i="2" s="1"/>
  <c r="N42" i="3"/>
  <c r="C42" i="2" s="1"/>
  <c r="D42" i="2" s="1"/>
  <c r="N41" i="3"/>
  <c r="C41" i="2" s="1"/>
  <c r="D41" i="2" s="1"/>
  <c r="N40" i="3"/>
  <c r="C40" i="2" s="1"/>
  <c r="D40" i="2" s="1"/>
  <c r="N39" i="3"/>
  <c r="C39" i="2" s="1"/>
  <c r="D39" i="2" s="1"/>
  <c r="N38" i="3"/>
  <c r="C38" i="2" s="1"/>
  <c r="D38" i="2" s="1"/>
  <c r="N37" i="3"/>
  <c r="C37" i="2" s="1"/>
  <c r="D37" i="2" s="1"/>
  <c r="N36" i="3"/>
  <c r="C36" i="2" s="1"/>
  <c r="N35" i="3"/>
  <c r="C35" i="2" s="1"/>
  <c r="N34" i="3"/>
  <c r="C34" i="2" s="1"/>
  <c r="D34" i="2" s="1"/>
  <c r="N33" i="3"/>
  <c r="C33" i="2" s="1"/>
  <c r="D33" i="2" s="1"/>
  <c r="N32" i="3"/>
  <c r="C32" i="2" s="1"/>
  <c r="N31" i="3"/>
  <c r="C31" i="2" s="1"/>
  <c r="N30" i="3"/>
  <c r="C30" i="2" s="1"/>
  <c r="N29" i="3"/>
  <c r="C29" i="2" s="1"/>
  <c r="D29" i="2" s="1"/>
  <c r="N28" i="3"/>
  <c r="C28" i="2" s="1"/>
  <c r="D28" i="2" s="1"/>
  <c r="N27" i="3"/>
  <c r="C27" i="2" s="1"/>
  <c r="D27" i="2" s="1"/>
  <c r="N26" i="3"/>
  <c r="C26" i="2" s="1"/>
  <c r="D26" i="2" s="1"/>
  <c r="N25" i="3"/>
  <c r="C25" i="2" s="1"/>
  <c r="D25" i="2" s="1"/>
  <c r="N24" i="3"/>
  <c r="C24" i="2" s="1"/>
  <c r="D24" i="2" s="1"/>
  <c r="N23" i="3"/>
  <c r="C23" i="2" s="1"/>
  <c r="D23" i="2" s="1"/>
  <c r="N22" i="3"/>
  <c r="C22" i="2" s="1"/>
  <c r="D22" i="2" s="1"/>
  <c r="N21" i="3"/>
  <c r="C21" i="2" s="1"/>
  <c r="D21" i="2" s="1"/>
  <c r="N20" i="3"/>
  <c r="C20" i="2" s="1"/>
  <c r="D20" i="2" s="1"/>
  <c r="N19" i="3"/>
  <c r="C19" i="2" s="1"/>
  <c r="D19" i="2" s="1"/>
  <c r="N18" i="3"/>
  <c r="C18" i="2" s="1"/>
  <c r="D18" i="2" s="1"/>
  <c r="N17" i="3"/>
  <c r="C17" i="2" s="1"/>
  <c r="D17" i="2" s="1"/>
  <c r="N16" i="3"/>
  <c r="C16" i="2" s="1"/>
  <c r="D16" i="2" s="1"/>
  <c r="N15" i="3"/>
  <c r="C15" i="2" s="1"/>
  <c r="D15" i="2" s="1"/>
  <c r="N14" i="3"/>
  <c r="C14" i="2" s="1"/>
  <c r="N13" i="3"/>
  <c r="C13" i="2" s="1"/>
  <c r="N12" i="3"/>
  <c r="C12" i="2" s="1"/>
  <c r="D12" i="2" s="1"/>
  <c r="N11" i="3"/>
  <c r="C11" i="2" s="1"/>
  <c r="N10" i="3"/>
  <c r="C10" i="2" s="1"/>
  <c r="N9" i="3"/>
  <c r="C9" i="2" s="1"/>
  <c r="N8" i="3"/>
  <c r="C8" i="2" s="1"/>
  <c r="D8" i="2" s="1"/>
  <c r="N7" i="3"/>
  <c r="C7" i="2" s="1"/>
  <c r="D7" i="2" s="1"/>
  <c r="N6" i="3"/>
  <c r="C6" i="2" s="1"/>
  <c r="N5" i="3"/>
  <c r="C5" i="2" s="1"/>
  <c r="N4" i="3"/>
  <c r="C4" i="2" s="1"/>
  <c r="D4" i="2" s="1"/>
  <c r="N3" i="3"/>
  <c r="C3" i="2" s="1"/>
  <c r="D3" i="2" s="1"/>
  <c r="N2" i="3"/>
  <c r="C2" i="2" s="1"/>
  <c r="D2" i="2" s="1"/>
  <c r="S79" i="2"/>
  <c r="R79" i="2"/>
  <c r="I79" i="2"/>
  <c r="H79" i="2"/>
  <c r="D79" i="2"/>
  <c r="S78" i="2"/>
  <c r="R78" i="2"/>
  <c r="I78" i="2"/>
  <c r="H78" i="2"/>
  <c r="S77" i="2"/>
  <c r="R77" i="2"/>
  <c r="I77" i="2"/>
  <c r="H77" i="2"/>
  <c r="S76" i="2"/>
  <c r="R76" i="2"/>
  <c r="I76" i="2"/>
  <c r="H76" i="2"/>
  <c r="D76" i="2"/>
  <c r="S75" i="2"/>
  <c r="R75" i="2"/>
  <c r="I75" i="2"/>
  <c r="H75" i="2"/>
  <c r="D75" i="2"/>
  <c r="S74" i="2"/>
  <c r="R74" i="2"/>
  <c r="I74" i="2"/>
  <c r="H74" i="2"/>
  <c r="D74" i="2"/>
  <c r="S73" i="2"/>
  <c r="R73" i="2"/>
  <c r="I73" i="2"/>
  <c r="H73" i="2"/>
  <c r="S72" i="2"/>
  <c r="R72" i="2"/>
  <c r="I72" i="2"/>
  <c r="H72" i="2"/>
  <c r="S71" i="2"/>
  <c r="R71" i="2"/>
  <c r="I71" i="2"/>
  <c r="H71" i="2"/>
  <c r="D71" i="2"/>
  <c r="S70" i="2"/>
  <c r="R70" i="2"/>
  <c r="I70" i="2"/>
  <c r="H70" i="2"/>
  <c r="D70" i="2"/>
  <c r="S69" i="2"/>
  <c r="R69" i="2"/>
  <c r="I69" i="2"/>
  <c r="H69" i="2"/>
  <c r="S68" i="2"/>
  <c r="R68" i="2"/>
  <c r="I68" i="2"/>
  <c r="H68" i="2"/>
  <c r="S67" i="2"/>
  <c r="R67" i="2"/>
  <c r="I67" i="2"/>
  <c r="H67" i="2"/>
  <c r="S66" i="2"/>
  <c r="R66" i="2"/>
  <c r="I66" i="2"/>
  <c r="H66" i="2"/>
  <c r="S65" i="2"/>
  <c r="R65" i="2"/>
  <c r="I65" i="2"/>
  <c r="H65" i="2"/>
  <c r="S64" i="2"/>
  <c r="R64" i="2"/>
  <c r="I64" i="2"/>
  <c r="H64" i="2"/>
  <c r="S63" i="2"/>
  <c r="R63" i="2"/>
  <c r="I63" i="2"/>
  <c r="H63" i="2"/>
  <c r="S62" i="2"/>
  <c r="R62" i="2"/>
  <c r="I62" i="2"/>
  <c r="H62" i="2"/>
  <c r="S61" i="2"/>
  <c r="R61" i="2"/>
  <c r="I61" i="2"/>
  <c r="H61" i="2"/>
  <c r="S60" i="2"/>
  <c r="R60" i="2"/>
  <c r="I60" i="2"/>
  <c r="H60" i="2"/>
  <c r="S59" i="2"/>
  <c r="R59" i="2"/>
  <c r="I59" i="2"/>
  <c r="H59" i="2"/>
  <c r="S58" i="2"/>
  <c r="R58" i="2"/>
  <c r="I58" i="2"/>
  <c r="H58" i="2"/>
  <c r="D58" i="2"/>
  <c r="S57" i="2"/>
  <c r="R57" i="2"/>
  <c r="I57" i="2"/>
  <c r="H57" i="2"/>
  <c r="D57" i="2"/>
  <c r="S56" i="2"/>
  <c r="R56" i="2"/>
  <c r="I56" i="2"/>
  <c r="H56" i="2"/>
  <c r="S55" i="2"/>
  <c r="R55" i="2"/>
  <c r="I55" i="2"/>
  <c r="H55" i="2"/>
  <c r="S54" i="2"/>
  <c r="R54" i="2"/>
  <c r="I54" i="2"/>
  <c r="H54" i="2"/>
  <c r="D54" i="2"/>
  <c r="S53" i="2"/>
  <c r="R53" i="2"/>
  <c r="I53" i="2"/>
  <c r="H53" i="2"/>
  <c r="D53" i="2"/>
  <c r="S52" i="2"/>
  <c r="R52" i="2"/>
  <c r="I52" i="2"/>
  <c r="H52" i="2"/>
  <c r="S51" i="2"/>
  <c r="R51" i="2"/>
  <c r="I51" i="2"/>
  <c r="H51" i="2"/>
  <c r="S50" i="2"/>
  <c r="R50" i="2"/>
  <c r="I50" i="2"/>
  <c r="H50" i="2"/>
  <c r="D50" i="2"/>
  <c r="S49" i="2"/>
  <c r="R49" i="2"/>
  <c r="I49" i="2"/>
  <c r="H49" i="2"/>
  <c r="D49" i="2"/>
  <c r="S48" i="2"/>
  <c r="R48" i="2"/>
  <c r="I48" i="2"/>
  <c r="H48" i="2"/>
  <c r="S47" i="2"/>
  <c r="R47" i="2"/>
  <c r="I47" i="2"/>
  <c r="H47" i="2"/>
  <c r="S46" i="2"/>
  <c r="R46" i="2"/>
  <c r="I46" i="2"/>
  <c r="H46" i="2"/>
  <c r="S45" i="2"/>
  <c r="R45" i="2"/>
  <c r="I45" i="2"/>
  <c r="H45" i="2"/>
  <c r="S44" i="2"/>
  <c r="R44" i="2"/>
  <c r="I44" i="2"/>
  <c r="H44" i="2"/>
  <c r="D44" i="2"/>
  <c r="S43" i="2"/>
  <c r="R43" i="2"/>
  <c r="I43" i="2"/>
  <c r="H43" i="2"/>
  <c r="S42" i="2"/>
  <c r="R42" i="2"/>
  <c r="I42" i="2"/>
  <c r="H42" i="2"/>
  <c r="S41" i="2"/>
  <c r="R41" i="2"/>
  <c r="I41" i="2"/>
  <c r="H41" i="2"/>
  <c r="S40" i="2"/>
  <c r="R40" i="2"/>
  <c r="I40" i="2"/>
  <c r="H40" i="2"/>
  <c r="S39" i="2"/>
  <c r="R39" i="2"/>
  <c r="I39" i="2"/>
  <c r="H39" i="2"/>
  <c r="S38" i="2"/>
  <c r="R38" i="2"/>
  <c r="I38" i="2"/>
  <c r="H38" i="2"/>
  <c r="S37" i="2"/>
  <c r="R37" i="2"/>
  <c r="I37" i="2"/>
  <c r="H37" i="2"/>
  <c r="S36" i="2"/>
  <c r="R36" i="2"/>
  <c r="I36" i="2"/>
  <c r="H36" i="2"/>
  <c r="D36" i="2"/>
  <c r="S35" i="2"/>
  <c r="R35" i="2"/>
  <c r="I35" i="2"/>
  <c r="H35" i="2"/>
  <c r="D35" i="2"/>
  <c r="S34" i="2"/>
  <c r="R34" i="2"/>
  <c r="I34" i="2"/>
  <c r="H34" i="2"/>
  <c r="S33" i="2"/>
  <c r="R33" i="2"/>
  <c r="I33" i="2"/>
  <c r="H33" i="2"/>
  <c r="S32" i="2"/>
  <c r="R32" i="2"/>
  <c r="I32" i="2"/>
  <c r="H32" i="2"/>
  <c r="D32" i="2"/>
  <c r="S31" i="2"/>
  <c r="R31" i="2"/>
  <c r="I31" i="2"/>
  <c r="H31" i="2"/>
  <c r="D31" i="2"/>
  <c r="S30" i="2"/>
  <c r="R30" i="2"/>
  <c r="I30" i="2"/>
  <c r="H30" i="2"/>
  <c r="D30" i="2"/>
  <c r="S29" i="2"/>
  <c r="R29" i="2"/>
  <c r="I29" i="2"/>
  <c r="H29" i="2"/>
  <c r="S28" i="2"/>
  <c r="R28" i="2"/>
  <c r="I28" i="2"/>
  <c r="H28" i="2"/>
  <c r="S27" i="2"/>
  <c r="R27" i="2"/>
  <c r="I27" i="2"/>
  <c r="H27" i="2"/>
  <c r="S26" i="2"/>
  <c r="R26" i="2"/>
  <c r="I26" i="2"/>
  <c r="H26" i="2"/>
  <c r="S25" i="2"/>
  <c r="R25" i="2"/>
  <c r="I25" i="2"/>
  <c r="H25" i="2"/>
  <c r="S24" i="2"/>
  <c r="R24" i="2"/>
  <c r="I24" i="2"/>
  <c r="H24" i="2"/>
  <c r="S23" i="2"/>
  <c r="R23" i="2"/>
  <c r="I23" i="2"/>
  <c r="H23" i="2"/>
  <c r="S22" i="2"/>
  <c r="R22" i="2"/>
  <c r="I22" i="2"/>
  <c r="H22" i="2"/>
  <c r="S21" i="2"/>
  <c r="R21" i="2"/>
  <c r="I21" i="2"/>
  <c r="H21" i="2"/>
  <c r="S20" i="2"/>
  <c r="R20" i="2"/>
  <c r="I20" i="2"/>
  <c r="H20" i="2"/>
  <c r="S19" i="2"/>
  <c r="R19" i="2"/>
  <c r="I19" i="2"/>
  <c r="H19" i="2"/>
  <c r="S18" i="2"/>
  <c r="R18" i="2"/>
  <c r="I18" i="2"/>
  <c r="H18" i="2"/>
  <c r="S17" i="2"/>
  <c r="R17" i="2"/>
  <c r="I17" i="2"/>
  <c r="H17" i="2"/>
  <c r="S16" i="2"/>
  <c r="R16" i="2"/>
  <c r="I16" i="2"/>
  <c r="H16" i="2"/>
  <c r="S15" i="2"/>
  <c r="R15" i="2"/>
  <c r="I15" i="2"/>
  <c r="H15" i="2"/>
  <c r="S14" i="2"/>
  <c r="R14" i="2"/>
  <c r="I14" i="2"/>
  <c r="H14" i="2"/>
  <c r="D14" i="2"/>
  <c r="S13" i="2"/>
  <c r="R13" i="2"/>
  <c r="I13" i="2"/>
  <c r="H13" i="2"/>
  <c r="D13" i="2"/>
  <c r="S12" i="2"/>
  <c r="R12" i="2"/>
  <c r="I12" i="2"/>
  <c r="H12" i="2"/>
  <c r="S11" i="2"/>
  <c r="R11" i="2"/>
  <c r="I11" i="2"/>
  <c r="H11" i="2"/>
  <c r="D11" i="2"/>
  <c r="S10" i="2"/>
  <c r="R10" i="2"/>
  <c r="I10" i="2"/>
  <c r="H10" i="2"/>
  <c r="D10" i="2"/>
  <c r="S9" i="2"/>
  <c r="R9" i="2"/>
  <c r="I9" i="2"/>
  <c r="H9" i="2"/>
  <c r="D9" i="2"/>
  <c r="S8" i="2"/>
  <c r="R8" i="2"/>
  <c r="I8" i="2"/>
  <c r="H8" i="2"/>
  <c r="S7" i="2"/>
  <c r="R7" i="2"/>
  <c r="I7" i="2"/>
  <c r="H7" i="2"/>
  <c r="S6" i="2"/>
  <c r="R6" i="2"/>
  <c r="I6" i="2"/>
  <c r="H6" i="2"/>
  <c r="D6" i="2"/>
  <c r="S5" i="2"/>
  <c r="R5" i="2"/>
  <c r="I5" i="2"/>
  <c r="H5" i="2"/>
  <c r="D5" i="2"/>
  <c r="S4" i="2"/>
  <c r="R4" i="2"/>
  <c r="I4" i="2"/>
  <c r="H4" i="2"/>
  <c r="S3" i="2"/>
  <c r="R3" i="2"/>
  <c r="I3" i="2"/>
  <c r="H3" i="2"/>
  <c r="S2" i="2"/>
  <c r="R2" i="2"/>
  <c r="I2" i="2"/>
  <c r="H2" i="2"/>
  <c r="E54" i="6" l="1"/>
  <c r="F54" i="6" s="1"/>
  <c r="E65" i="6"/>
  <c r="F65" i="6" s="1"/>
  <c r="E76" i="6"/>
  <c r="F76" i="6" s="1"/>
  <c r="E55" i="6"/>
  <c r="F55" i="6" s="1"/>
  <c r="E10" i="6"/>
  <c r="F10" i="6" s="1"/>
  <c r="E32" i="6"/>
  <c r="F32" i="6" s="1"/>
  <c r="E21" i="6"/>
  <c r="F21" i="6" s="1"/>
  <c r="E11" i="6"/>
  <c r="F11" i="6" s="1"/>
  <c r="E22" i="6"/>
  <c r="F22" i="6" s="1"/>
  <c r="E33" i="6"/>
  <c r="F33" i="6" s="1"/>
  <c r="E44" i="6"/>
  <c r="F44" i="6" s="1"/>
  <c r="E12" i="6"/>
  <c r="F12" i="6" s="1"/>
  <c r="E23" i="6"/>
  <c r="F23" i="6" s="1"/>
  <c r="E34" i="6"/>
  <c r="F34" i="6" s="1"/>
  <c r="E45" i="6"/>
  <c r="F45" i="6" s="1"/>
  <c r="D8" i="7"/>
  <c r="F8" i="7" s="1"/>
  <c r="E13" i="6"/>
  <c r="F13" i="6" s="1"/>
  <c r="E24" i="6"/>
  <c r="F24" i="6" s="1"/>
  <c r="E35" i="6"/>
  <c r="F35" i="6" s="1"/>
  <c r="E46" i="6"/>
  <c r="F46" i="6" s="1"/>
  <c r="E14" i="6"/>
  <c r="F14" i="6" s="1"/>
  <c r="E25" i="6"/>
  <c r="F25" i="6" s="1"/>
  <c r="E36" i="6"/>
  <c r="F36" i="6" s="1"/>
  <c r="E47" i="6"/>
  <c r="F47" i="6" s="1"/>
  <c r="D10" i="7"/>
  <c r="F10" i="7" s="1"/>
  <c r="D4" i="7"/>
  <c r="F4" i="7" s="1"/>
  <c r="E7" i="6"/>
  <c r="F7" i="6" s="1"/>
  <c r="E18" i="6"/>
  <c r="F18" i="6" s="1"/>
  <c r="E29" i="6"/>
  <c r="F29" i="6" s="1"/>
  <c r="E40" i="6"/>
  <c r="F40" i="6" s="1"/>
  <c r="E51" i="6"/>
  <c r="F51" i="6" s="1"/>
  <c r="E8" i="6"/>
  <c r="F8" i="6" s="1"/>
  <c r="E19" i="6"/>
  <c r="F19" i="6" s="1"/>
  <c r="E30" i="6"/>
  <c r="F30" i="6" s="1"/>
  <c r="E41" i="6"/>
  <c r="F41" i="6" s="1"/>
  <c r="E52" i="6"/>
  <c r="F52" i="6" s="1"/>
  <c r="E9" i="6"/>
  <c r="F9" i="6" s="1"/>
  <c r="E20" i="6"/>
  <c r="F20" i="6" s="1"/>
  <c r="E31" i="6"/>
  <c r="F31" i="6" s="1"/>
  <c r="E42" i="6"/>
  <c r="F42" i="6" s="1"/>
  <c r="E53" i="6"/>
  <c r="F53" i="6" s="1"/>
  <c r="E64" i="6"/>
  <c r="F64" i="6" s="1"/>
  <c r="E75" i="6"/>
  <c r="F75" i="6" s="1"/>
  <c r="D6" i="7"/>
  <c r="F6" i="7" s="1"/>
  <c r="D7" i="7"/>
  <c r="F7" i="7" s="1"/>
  <c r="E66" i="6"/>
  <c r="F66" i="6" s="1"/>
  <c r="E77" i="6"/>
  <c r="F77" i="6" s="1"/>
  <c r="E56" i="6"/>
  <c r="F56" i="6" s="1"/>
  <c r="E67" i="6"/>
  <c r="F67" i="6" s="1"/>
  <c r="E78" i="6"/>
  <c r="F78" i="6" s="1"/>
  <c r="E57" i="6"/>
  <c r="F57" i="6" s="1"/>
  <c r="E68" i="6"/>
  <c r="F68" i="6" s="1"/>
  <c r="E79" i="6"/>
  <c r="F79" i="6" s="1"/>
  <c r="D9" i="7"/>
  <c r="F9" i="7" s="1"/>
  <c r="E58" i="6"/>
  <c r="F58" i="6" s="1"/>
  <c r="E69" i="6"/>
  <c r="F69" i="6" s="1"/>
  <c r="E80" i="6"/>
  <c r="F80" i="6" s="1"/>
  <c r="E4" i="6"/>
  <c r="F4" i="6" s="1"/>
  <c r="E15" i="6"/>
  <c r="F15" i="6" s="1"/>
  <c r="E26" i="6"/>
  <c r="F26" i="6" s="1"/>
  <c r="E37" i="6"/>
  <c r="F37" i="6" s="1"/>
  <c r="E48" i="6"/>
  <c r="F48" i="6" s="1"/>
  <c r="E59" i="6"/>
  <c r="F59" i="6" s="1"/>
  <c r="E70" i="6"/>
  <c r="F70" i="6" s="1"/>
  <c r="E81" i="6"/>
  <c r="F81" i="6" s="1"/>
  <c r="E5" i="6"/>
  <c r="F5" i="6" s="1"/>
  <c r="E16" i="6"/>
  <c r="F16" i="6" s="1"/>
  <c r="E27" i="6"/>
  <c r="F27" i="6" s="1"/>
  <c r="E38" i="6"/>
  <c r="F38" i="6" s="1"/>
  <c r="E49" i="6"/>
  <c r="F49" i="6" s="1"/>
  <c r="C83" i="6"/>
  <c r="E60" i="6"/>
  <c r="F60" i="6" s="1"/>
  <c r="E71" i="6"/>
  <c r="F71" i="6" s="1"/>
  <c r="E82" i="6"/>
  <c r="F82" i="6" s="1"/>
  <c r="E17" i="6"/>
  <c r="F17" i="6" s="1"/>
  <c r="E28" i="6"/>
  <c r="F28" i="6" s="1"/>
  <c r="E39" i="6"/>
  <c r="F39" i="6" s="1"/>
  <c r="E50" i="6"/>
  <c r="F50" i="6" s="1"/>
  <c r="D11" i="7"/>
  <c r="F11" i="7" s="1"/>
  <c r="E61" i="6"/>
  <c r="F61" i="6" s="1"/>
  <c r="E72" i="6"/>
  <c r="F72" i="6" s="1"/>
  <c r="E62" i="6"/>
  <c r="F62" i="6" s="1"/>
  <c r="E73" i="6"/>
  <c r="F73" i="6" s="1"/>
  <c r="D5" i="7"/>
  <c r="F5" i="7" s="1"/>
  <c r="E63" i="6"/>
  <c r="F63" i="6" s="1"/>
  <c r="E74" i="6"/>
  <c r="F74" i="6" s="1"/>
  <c r="E43" i="6"/>
  <c r="F43" i="6" s="1"/>
  <c r="D83" i="6"/>
  <c r="E6" i="6"/>
  <c r="F6" i="6" s="1"/>
  <c r="F83" i="6" l="1"/>
  <c r="E83" i="6"/>
</calcChain>
</file>

<file path=xl/sharedStrings.xml><?xml version="1.0" encoding="utf-8"?>
<sst xmlns="http://schemas.openxmlformats.org/spreadsheetml/2006/main" count="45652" uniqueCount="6654">
  <si>
    <t>Organization Link</t>
  </si>
  <si>
    <t>Organization</t>
  </si>
  <si>
    <t>Location</t>
  </si>
  <si>
    <t>Location Ref</t>
  </si>
  <si>
    <t>Account Style Link</t>
  </si>
  <si>
    <t>Account Style Caption</t>
  </si>
  <si>
    <t>Account Subtype</t>
  </si>
  <si>
    <t>Account Number</t>
  </si>
  <si>
    <t>Account Reference</t>
  </si>
  <si>
    <t>Account Supplier</t>
  </si>
  <si>
    <t>Account Reader</t>
  </si>
  <si>
    <t>Record Start YYYY-MM-DD</t>
  </si>
  <si>
    <t>Record End YYYY-MM-DD</t>
  </si>
  <si>
    <t>Record Data Quality</t>
  </si>
  <si>
    <t>Record Billing Type</t>
  </si>
  <si>
    <t>Record Subtype</t>
  </si>
  <si>
    <t>Record Entry Method</t>
  </si>
  <si>
    <t>Record Reference</t>
  </si>
  <si>
    <t>Record Invoice Number</t>
  </si>
  <si>
    <t>Quantity</t>
  </si>
  <si>
    <t>Total Cost</t>
  </si>
  <si>
    <t>Downer</t>
  </si>
  <si>
    <t>REV_Transport &amp; Infrastructure NZ</t>
  </si>
  <si>
    <t>L9.DNZJ.8134</t>
  </si>
  <si>
    <t>Revenue - AUD Million</t>
  </si>
  <si>
    <t>FY26REV_Transport &amp; Infrastructure NZ</t>
  </si>
  <si>
    <t>Revenue</t>
  </si>
  <si>
    <t>Actual</t>
  </si>
  <si>
    <t>Standard</t>
  </si>
  <si>
    <t>Insert</t>
  </si>
  <si>
    <t>T&amp;I NZ North</t>
  </si>
  <si>
    <t>T&amp;I NZ South</t>
  </si>
  <si>
    <t>T&amp;I NZ Infrastructure Delivery</t>
  </si>
  <si>
    <t>T&amp;I NZ Hawkins</t>
  </si>
  <si>
    <t>T&amp;I NZ National Operations</t>
  </si>
  <si>
    <t>T&amp;I NZ Overheads</t>
  </si>
  <si>
    <t>T&amp;I AU Asphalt &amp; Products</t>
  </si>
  <si>
    <t>REV_Transport &amp; Infrastructure AU</t>
  </si>
  <si>
    <t>L9.J.170615</t>
  </si>
  <si>
    <t>FY26REV_Transport &amp; Infrastructure AU</t>
  </si>
  <si>
    <t>Maintenance &amp; ITS</t>
  </si>
  <si>
    <t>Pavement Rehabilitation &amp; Civils</t>
  </si>
  <si>
    <t>Specialised Pavements &amp; Projects</t>
  </si>
  <si>
    <t>Thin Surfacing</t>
  </si>
  <si>
    <t>BIA</t>
  </si>
  <si>
    <t>T&amp;I AU Divested Operations</t>
  </si>
  <si>
    <t>AU Fleet T&amp;I Plant</t>
  </si>
  <si>
    <t>AU Fleet Light Vehicles</t>
  </si>
  <si>
    <t>REV_Fleet &amp; Assets</t>
  </si>
  <si>
    <t>L9.DNZJ.1937</t>
  </si>
  <si>
    <t>FY26REV_Fleet &amp; Assets</t>
  </si>
  <si>
    <t>AU Fleet Energy &amp; Utilities</t>
  </si>
  <si>
    <t>NZ Fleet</t>
  </si>
  <si>
    <t>Telco Incl. MS</t>
  </si>
  <si>
    <t>Network Services</t>
  </si>
  <si>
    <t>REV_T&amp;I Gap</t>
  </si>
  <si>
    <t>L9.J.259103</t>
  </si>
  <si>
    <t>FY26REV_T&amp;I Gap</t>
  </si>
  <si>
    <t>Telco</t>
  </si>
  <si>
    <t>Network Services - OMSA&amp;ESC</t>
  </si>
  <si>
    <t>REV_Telecommunications &amp; Networks</t>
  </si>
  <si>
    <t>L9.J.234</t>
  </si>
  <si>
    <t>FY26REV_Telecommunications &amp; Networks</t>
  </si>
  <si>
    <t>Network Services - Logistics</t>
  </si>
  <si>
    <t>Water Services</t>
  </si>
  <si>
    <t>Water NZ</t>
  </si>
  <si>
    <t>REV_Network Services</t>
  </si>
  <si>
    <t>L9.S.WPSTLSTH00</t>
  </si>
  <si>
    <t>FY26REV_Network Services</t>
  </si>
  <si>
    <t>Power Projects</t>
  </si>
  <si>
    <t>Energy &amp; Industrial West</t>
  </si>
  <si>
    <t>REV_Water</t>
  </si>
  <si>
    <t>L9.J.39220126</t>
  </si>
  <si>
    <t>FY26REV_Water</t>
  </si>
  <si>
    <t>Energy &amp; Industrial East</t>
  </si>
  <si>
    <t>Energy Solutions</t>
  </si>
  <si>
    <t>REV_Power Projects</t>
  </si>
  <si>
    <t>RPP</t>
  </si>
  <si>
    <t>FY26REV_Power Projects</t>
  </si>
  <si>
    <t>Energy Networks</t>
  </si>
  <si>
    <t>REV_Energy &amp; Industrial</t>
  </si>
  <si>
    <t>L9.J.381</t>
  </si>
  <si>
    <t>FY26REV_Energy &amp; Industrial</t>
  </si>
  <si>
    <t>Metallurgical Lab</t>
  </si>
  <si>
    <t>MT Equipment and R&amp;D Aus</t>
  </si>
  <si>
    <t>MT Engineering Services Aus</t>
  </si>
  <si>
    <t>MT Geology</t>
  </si>
  <si>
    <t>REV_Mineral Technologies</t>
  </si>
  <si>
    <t>IEMT</t>
  </si>
  <si>
    <t>FY26REV_Mineral Technologies</t>
  </si>
  <si>
    <t>MT Overheads</t>
  </si>
  <si>
    <t>Utilities Legacy &amp; Other AU</t>
  </si>
  <si>
    <t>EU Growth</t>
  </si>
  <si>
    <t>REV_Utilities Legacy &amp; Other</t>
  </si>
  <si>
    <t>UTLLEGO</t>
  </si>
  <si>
    <t>FY26REV_Utilities Legacy &amp; Other</t>
  </si>
  <si>
    <t>EU Overheads/Support Costs</t>
  </si>
  <si>
    <t>REV_EU Support</t>
  </si>
  <si>
    <t>L9.DUA.30172800</t>
  </si>
  <si>
    <t>FY26REV_EU Support</t>
  </si>
  <si>
    <t>Utilities Gap</t>
  </si>
  <si>
    <t>Downer Professional Services</t>
  </si>
  <si>
    <t>REV_Downer Professional Services</t>
  </si>
  <si>
    <t>SICSDPS</t>
  </si>
  <si>
    <t>FY26REV_Downer Professional Services</t>
  </si>
  <si>
    <t>PAS</t>
  </si>
  <si>
    <t>REV_Base &amp; Estate Management</t>
  </si>
  <si>
    <t>SICSBEM</t>
  </si>
  <si>
    <t>FY26REV_Base &amp; Estate Management</t>
  </si>
  <si>
    <t>EMOS</t>
  </si>
  <si>
    <t>HQJOC</t>
  </si>
  <si>
    <t>Manuwatu Hub</t>
  </si>
  <si>
    <t>Southern</t>
  </si>
  <si>
    <t>DELM Works</t>
  </si>
  <si>
    <t>DEWPO</t>
  </si>
  <si>
    <t>RAAF WM</t>
  </si>
  <si>
    <t>REV_Managing Contracts</t>
  </si>
  <si>
    <t>L9.S.16016670</t>
  </si>
  <si>
    <t>FY26REV_Managing Contracts</t>
  </si>
  <si>
    <t>Riverina Redevelopment Program</t>
  </si>
  <si>
    <t>Woomera Redevelopment Program</t>
  </si>
  <si>
    <t>Government Integrated Facilities Management &amp; Infrastructure Property</t>
  </si>
  <si>
    <t>REV_Government &amp; IFM</t>
  </si>
  <si>
    <t>SICSGIFM</t>
  </si>
  <si>
    <t>FY26REV_Government &amp; IFM</t>
  </si>
  <si>
    <t>Justice &amp; IFM</t>
  </si>
  <si>
    <t>Government Projects &amp; Operational Solutions</t>
  </si>
  <si>
    <t>Government Closed Sites</t>
  </si>
  <si>
    <t>Government Housing</t>
  </si>
  <si>
    <t>Governments Soft FM Services</t>
  </si>
  <si>
    <t>Government &amp; IFM New Business</t>
  </si>
  <si>
    <t>Education PPP</t>
  </si>
  <si>
    <t>REV_Health &amp; Education</t>
  </si>
  <si>
    <t>SICSHE</t>
  </si>
  <si>
    <t>FY26REV_Health &amp; Education</t>
  </si>
  <si>
    <t>Health Non PPP</t>
  </si>
  <si>
    <t>Health PPP</t>
  </si>
  <si>
    <t>Health &amp; Education New Business</t>
  </si>
  <si>
    <t>Social Infrastructure &amp; Citizen Services Support</t>
  </si>
  <si>
    <t>REV_Social Infrastructure &amp; Citizen Services Support</t>
  </si>
  <si>
    <t>RSICSS</t>
  </si>
  <si>
    <t>FY26REV_Social Infrastructure &amp; Citizen Services Support</t>
  </si>
  <si>
    <t>Finance Performance</t>
  </si>
  <si>
    <t>REV_Passenger North</t>
  </si>
  <si>
    <t>L9.J.709250</t>
  </si>
  <si>
    <t>FY26REV_Passenger North</t>
  </si>
  <si>
    <t>RTS QLD</t>
  </si>
  <si>
    <t>RTS NSW</t>
  </si>
  <si>
    <t>REV_Passenger South</t>
  </si>
  <si>
    <t>L9.J.709506</t>
  </si>
  <si>
    <t>FY26REV_Passenger South</t>
  </si>
  <si>
    <t>RTS VIC</t>
  </si>
  <si>
    <t>RTS WA</t>
  </si>
  <si>
    <t>Rail Services Victoria Pty Ltd</t>
  </si>
  <si>
    <t>REV_RTS Digital</t>
  </si>
  <si>
    <t>RTSDIG</t>
  </si>
  <si>
    <t>FY26REV_RTS Digital</t>
  </si>
  <si>
    <t>Managed Solutions</t>
  </si>
  <si>
    <t>REV_RTS FREIGHT</t>
  </si>
  <si>
    <t>RTSFREI</t>
  </si>
  <si>
    <t>FY26REV_RTS FREIGHT</t>
  </si>
  <si>
    <t>RTS FGT Projects</t>
  </si>
  <si>
    <t>REV_RTS Opportunities</t>
  </si>
  <si>
    <t>RTSOPPS</t>
  </si>
  <si>
    <t>FY26REV_RTS Opportunities</t>
  </si>
  <si>
    <t>Business Plan New Opps</t>
  </si>
  <si>
    <t>REV_RTS Head Office</t>
  </si>
  <si>
    <t>L9.J.799999</t>
  </si>
  <si>
    <t>FY26REV_RTS Head Office</t>
  </si>
  <si>
    <t>Corporate Overheads</t>
  </si>
  <si>
    <t>Engineering</t>
  </si>
  <si>
    <t>Growth</t>
  </si>
  <si>
    <t>RTS overheads - other</t>
  </si>
  <si>
    <t>China</t>
  </si>
  <si>
    <t>REV_Corporate Australia</t>
  </si>
  <si>
    <t>CORAU</t>
  </si>
  <si>
    <t>FY26REV_Corporate Australia</t>
  </si>
  <si>
    <t>Corporate Australia</t>
  </si>
  <si>
    <t>NZ NSC, IT, Property, WF &amp; Elins</t>
  </si>
  <si>
    <t>REV_Infrastructure Projects</t>
  </si>
  <si>
    <t>DTIP</t>
  </si>
  <si>
    <t>FY26REV_Infrastructure Projects</t>
  </si>
  <si>
    <t>Infrastructure Projects</t>
  </si>
  <si>
    <t>REV_Intra Elim</t>
  </si>
  <si>
    <t>CORIE</t>
  </si>
  <si>
    <t>FY26REV_Intra Elim</t>
  </si>
  <si>
    <t>Intra Elim</t>
  </si>
  <si>
    <t>Entity Name/Division</t>
  </si>
  <si>
    <t>UD1 Name/Sub-LOB</t>
  </si>
  <si>
    <t>UD1 Name/Sub-LOB Level 2</t>
  </si>
  <si>
    <t>Jul</t>
  </si>
  <si>
    <t>Aug</t>
  </si>
  <si>
    <t>Sep</t>
  </si>
  <si>
    <t>Oct</t>
  </si>
  <si>
    <t>Nov</t>
  </si>
  <si>
    <t>Dec</t>
  </si>
  <si>
    <t>Jan</t>
  </si>
  <si>
    <t>Feb</t>
  </si>
  <si>
    <t>Location Name</t>
  </si>
  <si>
    <t>Transport &amp; Infrastructure</t>
  </si>
  <si>
    <t>Transport &amp; Infrastructure NZ</t>
  </si>
  <si>
    <t>Transport &amp; Infrastructure AU</t>
  </si>
  <si>
    <t>Fleet &amp; Assets</t>
  </si>
  <si>
    <t>Energy &amp; Utilities</t>
  </si>
  <si>
    <t>Telecommunications &amp; Networks</t>
  </si>
  <si>
    <t>Water</t>
  </si>
  <si>
    <t>Energy &amp; Industrial</t>
  </si>
  <si>
    <t>Mineral Technologies</t>
  </si>
  <si>
    <t>Utilities Legacy &amp; Other</t>
  </si>
  <si>
    <t>EU Support</t>
  </si>
  <si>
    <t>EU Gap</t>
  </si>
  <si>
    <t>Social Infrastructure &amp; Citizen Services</t>
  </si>
  <si>
    <t>Base &amp; Estate Management</t>
  </si>
  <si>
    <t>Managing Contracts</t>
  </si>
  <si>
    <t>Government &amp; IFM</t>
  </si>
  <si>
    <t>Health &amp; Education</t>
  </si>
  <si>
    <t>Rail &amp; Transit Systems</t>
  </si>
  <si>
    <t>Passenger North</t>
  </si>
  <si>
    <t>Passenger South</t>
  </si>
  <si>
    <t>RTS Digital</t>
  </si>
  <si>
    <t>RTS FREIGHT</t>
  </si>
  <si>
    <t>RTS Opportunities</t>
  </si>
  <si>
    <t>RTS Head Office</t>
  </si>
  <si>
    <t>Corporate Group</t>
  </si>
  <si>
    <t>Non-core business</t>
  </si>
  <si>
    <t>Associate</t>
  </si>
  <si>
    <t>Location_Name</t>
  </si>
  <si>
    <t>Type</t>
  </si>
  <si>
    <t>Ref_No</t>
  </si>
  <si>
    <t>Id</t>
  </si>
  <si>
    <t>Notes</t>
  </si>
  <si>
    <t>Address</t>
  </si>
  <si>
    <t>City</t>
  </si>
  <si>
    <t>State</t>
  </si>
  <si>
    <t>Postal_Code</t>
  </si>
  <si>
    <t>Address Country</t>
  </si>
  <si>
    <t>Region</t>
  </si>
  <si>
    <t>Country</t>
  </si>
  <si>
    <t>Alternate Factor Region</t>
  </si>
  <si>
    <t>Group Level 1</t>
  </si>
  <si>
    <t>Group Level 2</t>
  </si>
  <si>
    <t>Group Level 3</t>
  </si>
  <si>
    <t>Group_Associate</t>
  </si>
  <si>
    <t>Report_Percent</t>
  </si>
  <si>
    <t>Effective_From</t>
  </si>
  <si>
    <t>Effective_To</t>
  </si>
  <si>
    <t>Group_Type</t>
  </si>
  <si>
    <t>Latitude</t>
  </si>
  <si>
    <t>Longitude</t>
  </si>
  <si>
    <t>ANZSIC Code</t>
  </si>
  <si>
    <t>Opened On</t>
  </si>
  <si>
    <t>Closed On</t>
  </si>
  <si>
    <t>[CLOSED] Hobart Airport Upgrade Project</t>
  </si>
  <si>
    <t>Airport</t>
  </si>
  <si>
    <t>L9.J.170751</t>
  </si>
  <si>
    <t>TI-170751 - Airports General Delivery</t>
  </si>
  <si>
    <t>250 Surf Road, Seven Mile Beach</t>
  </si>
  <si>
    <t>Tasmania</t>
  </si>
  <si>
    <t>TAS</t>
  </si>
  <si>
    <t>Australia</t>
  </si>
  <si>
    <t>Operational Control</t>
  </si>
  <si>
    <t>Transport &amp; Infrastructure (T&amp;I)</t>
  </si>
  <si>
    <t>Classification</t>
  </si>
  <si>
    <t>_CLOSED_ AGIS Braddon</t>
  </si>
  <si>
    <t>Office</t>
  </si>
  <si>
    <t>L9.J.502002</t>
  </si>
  <si>
    <t>electricity data only from landlord accounts</t>
  </si>
  <si>
    <t>Australian Capital Territory</t>
  </si>
  <si>
    <t>Social Infra &amp; Citizen Serv (SICS)</t>
  </si>
  <si>
    <t>_CLOSED_ OSM_Waitaki</t>
  </si>
  <si>
    <t>Other</t>
  </si>
  <si>
    <t>L9.DNZJ.55876</t>
  </si>
  <si>
    <t>Outside Space Management (Gardening) - New facilities established for more granular reporting and to reflect new structure for FY17. See facility named "NZ-Infrastructure Services" for historical data.</t>
  </si>
  <si>
    <t>Chelmer Street</t>
  </si>
  <si>
    <t>Oamaru</t>
  </si>
  <si>
    <t>Otago</t>
  </si>
  <si>
    <t>New Zealand</t>
  </si>
  <si>
    <t>_CLOSED_25820008 - Winneke Main Substation Switchboard Replacement</t>
  </si>
  <si>
    <t>Site</t>
  </si>
  <si>
    <t>L9.J.25820008</t>
  </si>
  <si>
    <t>UTIL-25820008</t>
  </si>
  <si>
    <t>Main Substation Switchboard Replacement - Project finished in September 2022.</t>
  </si>
  <si>
    <t>Victoria</t>
  </si>
  <si>
    <t>Energy and Utilities (EU)</t>
  </si>
  <si>
    <t>_CLOSED_25820012 - WTP 25W Lagoon Pond 1 HV and LV Renewals</t>
  </si>
  <si>
    <t>L9.J.25820012</t>
  </si>
  <si>
    <t>UTIL-25820012</t>
  </si>
  <si>
    <t>WTP 25W Lagoon Pond 1 HV and LV Renewals</t>
  </si>
  <si>
    <t>_CLOSED_86 Collins St Tas</t>
  </si>
  <si>
    <t>Branch Office</t>
  </si>
  <si>
    <t>L9.J.105001</t>
  </si>
  <si>
    <t>Level 12, 86 Collins Street
HOBART  TAS  7000</t>
  </si>
  <si>
    <t>Hobart</t>
  </si>
  <si>
    <t>Corporate</t>
  </si>
  <si>
    <t>_CLOSED_Accommodation - NZ</t>
  </si>
  <si>
    <t>Hotel</t>
  </si>
  <si>
    <t>L9.WAU.000887</t>
  </si>
  <si>
    <t>Auckland</t>
  </si>
  <si>
    <t>_CLOSED_ACES - North Queensland Region</t>
  </si>
  <si>
    <t>Depot</t>
  </si>
  <si>
    <t>L9.DUA.12005</t>
  </si>
  <si>
    <t>Contract ended June 2022.</t>
  </si>
  <si>
    <t>Queensland</t>
  </si>
  <si>
    <t>_CLOSED_Adelaide Light Rail - North Terrace Tramli</t>
  </si>
  <si>
    <t>L9.D.20143004</t>
  </si>
  <si>
    <t>SA</t>
  </si>
  <si>
    <t>Adelaide</t>
  </si>
  <si>
    <t>South Australia</t>
  </si>
  <si>
    <t>DT Infrastructure (pre Sept 23 divestment)</t>
  </si>
  <si>
    <t>_CLOSED_AE Smith - Burleigh</t>
  </si>
  <si>
    <t>L9.S.13000757</t>
  </si>
  <si>
    <t>12/8 Fortitude Crescent
BURLEIGH HEADS  QLD  4220</t>
  </si>
  <si>
    <t>New South Wales</t>
  </si>
  <si>
    <t>Asset &amp; Development Services (Baseline)</t>
  </si>
  <si>
    <t>_CLOSED_AE Smith - Eagle Farm</t>
  </si>
  <si>
    <t>L9.S.16015125</t>
  </si>
  <si>
    <t>Lot 801 65 Links Ave</t>
  </si>
  <si>
    <t>Eagle Farm</t>
  </si>
  <si>
    <t>QLD</t>
  </si>
  <si>
    <t>_CLOSED_AE Smith - Eagle Farm, Harvey St</t>
  </si>
  <si>
    <t>L9.S.13001004</t>
  </si>
  <si>
    <t>Harvey St</t>
  </si>
  <si>
    <t>Brisbane</t>
  </si>
  <si>
    <t>_CLOSED_AE Smith - Eagle Farm, Schneider Rd</t>
  </si>
  <si>
    <t>L9.S.13001052</t>
  </si>
  <si>
    <t>80 Schneider Road</t>
  </si>
  <si>
    <t>_CLOSED_AE Smith - Mornington</t>
  </si>
  <si>
    <t>L9.S.13001061</t>
  </si>
  <si>
    <t>U 2 4 Yamada Place</t>
  </si>
  <si>
    <t>Mornington</t>
  </si>
  <si>
    <t>_CLOSED_AE Smith - Mulgrave</t>
  </si>
  <si>
    <t>L9.S.16015131</t>
  </si>
  <si>
    <t>Lease ended 2/12/2021</t>
  </si>
  <si>
    <t>21-29 Miles St</t>
  </si>
  <si>
    <t>Mulgrave</t>
  </si>
  <si>
    <t>VIC</t>
  </si>
  <si>
    <t>_CLOSED_AE Smith - Scoresby</t>
  </si>
  <si>
    <t>L9.S.13001039</t>
  </si>
  <si>
    <t>20-22 Janine St</t>
  </si>
  <si>
    <t>Scoresby</t>
  </si>
  <si>
    <t>_CLOSED_Aldoga TL - Site</t>
  </si>
  <si>
    <t>L9.J.37740112</t>
  </si>
  <si>
    <t>_CLOSED_Anglo TXL</t>
  </si>
  <si>
    <t>L9.J.37240023</t>
  </si>
  <si>
    <t>Moranbah</t>
  </si>
  <si>
    <t>_CLOSED_APA SA</t>
  </si>
  <si>
    <t>L9.J.24170135</t>
  </si>
  <si>
    <t>Duplicate location of Gepps Cross. (Part of the SA Gas business office)</t>
  </si>
  <si>
    <t>_CLOSED_Asphalt _Whangarei</t>
  </si>
  <si>
    <t>L9.DNZJ.3502</t>
  </si>
  <si>
    <t>Production of materials for road construction - New facilities established for more granular reporting and to reflect new structure for FY17. See facility named "NZ-Products" for historical data.</t>
  </si>
  <si>
    <t>116-118 Port Road</t>
  </si>
  <si>
    <t>Whangarei</t>
  </si>
  <si>
    <t>Northland</t>
  </si>
  <si>
    <t>1899/12/31</t>
  </si>
  <si>
    <t>_CLOSED_Asphalt Prod - Mowbray (OLD)</t>
  </si>
  <si>
    <t>Asphalt Plant</t>
  </si>
  <si>
    <t>L9.J.170360</t>
  </si>
  <si>
    <t>previously used L9.J.17030565, which has now transferred to New Mowbray Asphalt Envizi location. Replaced with L9.J.170360</t>
  </si>
  <si>
    <t>Remount Road</t>
  </si>
  <si>
    <t>Mowbray</t>
  </si>
  <si>
    <t>_CLOSED_Asphalt Prod - Rosehill (OLD)</t>
  </si>
  <si>
    <t>L9.J.17010964</t>
  </si>
  <si>
    <t>Vacated this location at the end of June 2022 and shifted operations to Rosehill - Devon St. Please refer to attachments for further information.</t>
  </si>
  <si>
    <t>1 Unwin Street</t>
  </si>
  <si>
    <t>Rosehill</t>
  </si>
  <si>
    <t>NSW</t>
  </si>
  <si>
    <t>Lidcombe</t>
  </si>
  <si>
    <t>_CLOSED_Asphalt_Auckland</t>
  </si>
  <si>
    <t>L9.DNZJ.3503</t>
  </si>
  <si>
    <t>645 Great South Rd, Penrose</t>
  </si>
  <si>
    <t>Panmure</t>
  </si>
  <si>
    <t>_CLOSED_Asphalt_Dunedin</t>
  </si>
  <si>
    <t>L9.DNZJ.3508</t>
  </si>
  <si>
    <t>102 Parry Street</t>
  </si>
  <si>
    <t>Dunedin</t>
  </si>
  <si>
    <t>_CLOSED_Asphalt_Hamilton</t>
  </si>
  <si>
    <t>L9.DNZJ.3504</t>
  </si>
  <si>
    <t>16 Manchester Place, Te Rapa</t>
  </si>
  <si>
    <t>Hamilton</t>
  </si>
  <si>
    <t>Waikato</t>
  </si>
  <si>
    <t>_CLOSED_Asphalt_Invercargill</t>
  </si>
  <si>
    <t>L9.DNZJ.3509</t>
  </si>
  <si>
    <t>210 Mersey Street, Invercargill West</t>
  </si>
  <si>
    <t>Invercargill</t>
  </si>
  <si>
    <t>Southland</t>
  </si>
  <si>
    <t>_CLOSED_Asphalt_Isacc-JV</t>
  </si>
  <si>
    <t>Industrial</t>
  </si>
  <si>
    <t>L9.DNZJ.3098</t>
  </si>
  <si>
    <t>Production of materials for road construction - New facilities established for more granular reporting and to reflect new structure for FY19</t>
  </si>
  <si>
    <t>Christchurch</t>
  </si>
  <si>
    <t>_CLOSED_Asphalt_Mobile</t>
  </si>
  <si>
    <t>L9.DNZJ.3512</t>
  </si>
  <si>
    <t>Mobile Asphalt plant relocated across NZ depending on contracts - assigned to head office as main location</t>
  </si>
  <si>
    <t>Auckland City</t>
  </si>
  <si>
    <t>_CLOSED_Asphalt_New Plymouth</t>
  </si>
  <si>
    <t>L9.DNZJ.3505</t>
  </si>
  <si>
    <t>106 Rifle Range Rd, Waiwhakaiho</t>
  </si>
  <si>
    <t>New Plymouth</t>
  </si>
  <si>
    <t>Taranaki</t>
  </si>
  <si>
    <t>_CLOSED_Asphalt_Wellington</t>
  </si>
  <si>
    <t>L9.DNZJ.3507</t>
  </si>
  <si>
    <t>Kiwi Point, 137 Centennial Highway, Ngauranga</t>
  </si>
  <si>
    <t>Wellington</t>
  </si>
  <si>
    <t>_CLOSED_Bango Wind Farm</t>
  </si>
  <si>
    <t>L9.J.37750008</t>
  </si>
  <si>
    <t>IP-37750008</t>
  </si>
  <si>
    <t>Operational control.
Changed from Ref No 7040</t>
  </si>
  <si>
    <t>_CLOSED_Beryl Solar Farm Construction Project</t>
  </si>
  <si>
    <t>L9.J.37110018</t>
  </si>
  <si>
    <t>39 Dehli Road</t>
  </si>
  <si>
    <t>North Ryde</t>
  </si>
  <si>
    <t>Gulgong</t>
  </si>
  <si>
    <t>_CLOSED_Bitumen_Bluff</t>
  </si>
  <si>
    <t>L9.DNZJ.3042</t>
  </si>
  <si>
    <t>Storage and sale of Bitumen, Production and sale of Cutback Bitumen, Polymer Modified Bitumen and Bitumen Emulsions - New facilities established for more granular reporting and to reflect new structure for FY17. See facility named "NZ-Products" for historical data.</t>
  </si>
  <si>
    <t>50 Foreshore Rd</t>
  </si>
  <si>
    <t>Bluff</t>
  </si>
  <si>
    <t>_CLOSED_Bitumen_Emulco-JV</t>
  </si>
  <si>
    <t>L9.DNZJ.3099</t>
  </si>
  <si>
    <t>Rotorua</t>
  </si>
  <si>
    <t>_CLOSED_Bitumen_Lyttelton</t>
  </si>
  <si>
    <t>L9.DNZJ.3041</t>
  </si>
  <si>
    <t>Lyttelton Bitumen Terminal Charlotte Jane Quay, Port Lyttelton</t>
  </si>
  <si>
    <t>Lyttelton</t>
  </si>
  <si>
    <t>Canterbury</t>
  </si>
  <si>
    <t>_CLOSED_Bitumen_Mt Maunganui</t>
  </si>
  <si>
    <t>L9.DNZJ.3040</t>
  </si>
  <si>
    <t>198 Totara Street, Mt Maunganui</t>
  </si>
  <si>
    <t>Tauranga</t>
  </si>
  <si>
    <t>Bay of Plenty</t>
  </si>
  <si>
    <t>_CLOSED_Bitumen_Taranaki</t>
  </si>
  <si>
    <t>L9.DNZJ.3045</t>
  </si>
  <si>
    <t>1 Wharf Street, Port Taranaki</t>
  </si>
  <si>
    <t>_CLOSED_Bitumen_Transport</t>
  </si>
  <si>
    <t>L9.DNZJ.3010</t>
  </si>
  <si>
    <t>Transport of Bitumen to customers - New facilities established for more granular reporting and to reflect new structure for FY17. See facility named "NZ-Products" for historical data.</t>
  </si>
  <si>
    <t>9 Owens Place, Mt Maunganui</t>
  </si>
  <si>
    <t>_CLOSED_BP_Auckland_Cordis Hotel</t>
  </si>
  <si>
    <t>Construction Site</t>
  </si>
  <si>
    <t>L9.DNZ.HA0383</t>
  </si>
  <si>
    <t>_CLOSED_BP_Auckland_Counties Manukau AMHU STG 2</t>
  </si>
  <si>
    <t>L9.DNZ.HA0384</t>
  </si>
  <si>
    <t>_CLOSED_BP_Auckland_FSNI Head Office</t>
  </si>
  <si>
    <t>L9.DNZ.HA0385</t>
  </si>
  <si>
    <t>_CLOSED_BP_Auckland_POA Car Handling Facility</t>
  </si>
  <si>
    <t>L9.DNZ.HA0382</t>
  </si>
  <si>
    <t>_CLOSED_BP_Auckland_Small Jobs</t>
  </si>
  <si>
    <t>Operations Center</t>
  </si>
  <si>
    <t>L9.DNZ.COR</t>
  </si>
  <si>
    <t>Projects located at numerous sites throughout Auckland Region - New location established following purchase of Hawkins 2017</t>
  </si>
  <si>
    <t>_CLOSED_BP_Central_Farmers Tauranga</t>
  </si>
  <si>
    <t>L9.DNZ.HC0331</t>
  </si>
  <si>
    <t>Project Site - Building Construction - New location established in FY19</t>
  </si>
  <si>
    <t>_CLOSED_BP_Central_Kawerau Geothermal Switchroom</t>
  </si>
  <si>
    <t>L9.DNZ.PLT</t>
  </si>
  <si>
    <t>Project Site - Building Construction - New location established following purchase of Hawkins 2037 - Ormat Pacific</t>
  </si>
  <si>
    <t>Old Coach Road, Paengaroa</t>
  </si>
  <si>
    <t>Paengaroa</t>
  </si>
  <si>
    <t>_CLOSED_BP_Central_RHO-Hamilton</t>
  </si>
  <si>
    <t>L9.DNZ.CEN</t>
  </si>
  <si>
    <t>Support services for projects located at numerous sites throughout Central NZ - New location established following purchase of Hawkins 2028</t>
  </si>
  <si>
    <t>8-10 Charlies Way</t>
  </si>
  <si>
    <t>_CLOSED_BP_Central_Small Jobs</t>
  </si>
  <si>
    <t>L9.DNZ.HC0330</t>
  </si>
  <si>
    <t>Projects located at numerous sites throughout Central NZ - New location established following purchase of Hawkins 2017</t>
  </si>
  <si>
    <t>_CLOSED_BP_South-Island_Christchurch Town Hall Con</t>
  </si>
  <si>
    <t>L9.DNZ.HS0120</t>
  </si>
  <si>
    <t>Project Site - Building Construction - New location established following purchase of Hawkins 2061 - Christchurch City Council</t>
  </si>
  <si>
    <t>86 Kilmore Street</t>
  </si>
  <si>
    <t>_CLOSED_BP_South-Island_RO-Addington</t>
  </si>
  <si>
    <t>L9.DNZ.SI</t>
  </si>
  <si>
    <t>Support services for projects located at numerous sites throughout South Island - New location established following purchase of Hawkins 2058</t>
  </si>
  <si>
    <t>Unit 14 Barry Hogan Place</t>
  </si>
  <si>
    <t>Addington</t>
  </si>
  <si>
    <t>_CLOSED_BP_South-Island_Small Jobs</t>
  </si>
  <si>
    <t>L9.DNZ.HS0140</t>
  </si>
  <si>
    <t>Projects located at numerous sites throughout South Island - New location established following purchase of Hawkins 2017</t>
  </si>
  <si>
    <t>_CLOSED_BP_SubContractors</t>
  </si>
  <si>
    <t>_CLOSED_BP_Wellington_NZ Post Podium Reinstatement</t>
  </si>
  <si>
    <t>L9.DNZ.HW0153</t>
  </si>
  <si>
    <t>Project Site - Building Construction - New location established following purchase of Hawkins 2053 - NZ Post Properties</t>
  </si>
  <si>
    <t>7 Waterloo Quay, Wellington CBD</t>
  </si>
  <si>
    <t>_CLOSED_BP_Wellington_RO-Wellington</t>
  </si>
  <si>
    <t>L9.DNZ.WLG</t>
  </si>
  <si>
    <t>Support services for projects located at numerous sites throughout Wellington Region - New location established following purchase of Hawkins 2042</t>
  </si>
  <si>
    <t>265 Wakefield Street, CBD</t>
  </si>
  <si>
    <t>_CLOSED_BP_Wellington_Small Jobs</t>
  </si>
  <si>
    <t>Projects located at numerous sites throughout Welington - New location established following purchase of Hawkins 2017</t>
  </si>
  <si>
    <t>_CLOSED_Braiform Australia - Dandenong Warehouse (</t>
  </si>
  <si>
    <t>L9.S.18700011</t>
  </si>
  <si>
    <t>No longer exists - 1 July 2009</t>
  </si>
  <si>
    <t>1/19 Commercial Drive</t>
  </si>
  <si>
    <t>Dandenong South</t>
  </si>
  <si>
    <t>_CLOSED_Brisbane - Roads</t>
  </si>
  <si>
    <t>L9.J.170402</t>
  </si>
  <si>
    <t>Lease commenced 5th October 2018. 
Office location is now under Qantas Dr. Location is closed.</t>
  </si>
  <si>
    <t>60 - 62 Qantas Drive, Brisbane Airport</t>
  </si>
  <si>
    <t>_CLOSED_Broome</t>
  </si>
  <si>
    <t>Branch</t>
  </si>
  <si>
    <t>L9.J.17060521</t>
  </si>
  <si>
    <t>3 Ward Street</t>
  </si>
  <si>
    <t>Broome</t>
  </si>
  <si>
    <t>Western Australia</t>
  </si>
  <si>
    <t>_CLOSED_Camellia</t>
  </si>
  <si>
    <t>L9.J.17010146</t>
  </si>
  <si>
    <t>RAP Processing</t>
  </si>
  <si>
    <t>12 Grande Ave</t>
  </si>
  <si>
    <t>Camellia</t>
  </si>
  <si>
    <t>_CLOSED_Canningvale</t>
  </si>
  <si>
    <t>L9.J.706112</t>
  </si>
  <si>
    <t>42 Magnet Rd</t>
  </si>
  <si>
    <t>Canning Vale</t>
  </si>
  <si>
    <t>Rail &amp; Transit Systems (RTS)</t>
  </si>
  <si>
    <t>_CLOSED_Charmhaven NSW</t>
  </si>
  <si>
    <t>L9.S.14001229</t>
  </si>
  <si>
    <t>Unit 5  132 Chelmsford Rd</t>
  </si>
  <si>
    <t>Charmhaven</t>
  </si>
  <si>
    <t>_CLOSED_Chinchilla Battery</t>
  </si>
  <si>
    <t>L9.J.37740098</t>
  </si>
  <si>
    <t>1039 Banana Bridge Road, Brigalow</t>
  </si>
  <si>
    <t>Chinchilla Battery (BESS)</t>
  </si>
  <si>
    <t>Chinchilla</t>
  </si>
  <si>
    <t>_CLOSED_Collins Street - IPD</t>
  </si>
  <si>
    <t>L9.J.200421</t>
  </si>
  <si>
    <t>Collins St</t>
  </si>
  <si>
    <t>Melbourne</t>
  </si>
  <si>
    <t>_CLOSED_Comms - ACT</t>
  </si>
  <si>
    <t>Fleet Fuel</t>
  </si>
  <si>
    <t>L9.EMS.410.10277</t>
  </si>
  <si>
    <t>_CLOSED_Comms - HFC NSW</t>
  </si>
  <si>
    <t>L9.J.234414</t>
  </si>
  <si>
    <t>_CLOSED_Comms - National Subcontractor</t>
  </si>
  <si>
    <t>L9.EMS.410.10280</t>
  </si>
  <si>
    <t>T3, 39 Delhi Road</t>
  </si>
  <si>
    <t>_CLOSED_Comms - NT</t>
  </si>
  <si>
    <t>L9.J.23440199</t>
  </si>
  <si>
    <t>Northern Territory</t>
  </si>
  <si>
    <t>_CLOSED_Comms - QLD</t>
  </si>
  <si>
    <t>Plant</t>
  </si>
  <si>
    <t>L9.J.23420006</t>
  </si>
  <si>
    <t>2 Burke Street</t>
  </si>
  <si>
    <t>Woolloongabba</t>
  </si>
  <si>
    <t>_CLOSED_Comms - SA</t>
  </si>
  <si>
    <t>L9.EMS.410.10245</t>
  </si>
  <si>
    <t>Linden Lane</t>
  </si>
  <si>
    <t>Regency Park</t>
  </si>
  <si>
    <t>_CLOSED_Comms - TAS</t>
  </si>
  <si>
    <t>L9.J.23440247</t>
  </si>
  <si>
    <t>_CLOSED_Comms - VIC</t>
  </si>
  <si>
    <t>L9.J.23440042</t>
  </si>
  <si>
    <t>567 Collins Street</t>
  </si>
  <si>
    <t>_CLOSED_Comms - WA</t>
  </si>
  <si>
    <t>L9.J.23440194</t>
  </si>
  <si>
    <t>9 Modal Crescent</t>
  </si>
  <si>
    <t>WA</t>
  </si>
  <si>
    <t>_CLOSED_Copping Landfill</t>
  </si>
  <si>
    <t>Aerobic Treatment - Managed</t>
  </si>
  <si>
    <t>L9.J.17030214</t>
  </si>
  <si>
    <t>_CLOSED_Corporate - 549 St Kilda Rd (Melbourne VIC)</t>
  </si>
  <si>
    <t>Head Office</t>
  </si>
  <si>
    <t>L9.COR.130.02109</t>
  </si>
  <si>
    <t>549 St Kilda Rd</t>
  </si>
  <si>
    <t>_CLOSED_Corporate - Offices (Fortitude Valley QLD)</t>
  </si>
  <si>
    <t>L9.WAU.000886</t>
  </si>
  <si>
    <t>15 James St</t>
  </si>
  <si>
    <t>Fortitude Valley</t>
  </si>
  <si>
    <t>_CLOSED_Corporate - Offices (Kewdale WA)</t>
  </si>
  <si>
    <t>L9.S.11000860</t>
  </si>
  <si>
    <t>491 Abernathy Road</t>
  </si>
  <si>
    <t>Kewdale</t>
  </si>
  <si>
    <t>_CLOSED_Corporate - Offices (Moonah TAS)</t>
  </si>
  <si>
    <t>L9.S.S859</t>
  </si>
  <si>
    <t>Closed on 09/2020</t>
  </si>
  <si>
    <t>Level 1 134-136 Main Rd</t>
  </si>
  <si>
    <t>Moonah</t>
  </si>
  <si>
    <t>_CLOSED_Corporate - Offices (Newcastle NSW)</t>
  </si>
  <si>
    <t>L9.S.11000810</t>
  </si>
  <si>
    <t>This location is merged to CS-Cardiff. All electricity/Water/Gas accounts are moved to CS-Cardiff</t>
  </si>
  <si>
    <t>Unit 3a 88 Munibung Road</t>
  </si>
  <si>
    <t>Cardiff</t>
  </si>
  <si>
    <t>_CLOSED_Corporate - Offices (Sydney Rhodes NSW)</t>
  </si>
  <si>
    <t>Level 4 4/5 Rider Boulevard</t>
  </si>
  <si>
    <t>Rhodes</t>
  </si>
  <si>
    <t>_CLOSED_Corporate Offices - (Rhodes NSW)</t>
  </si>
  <si>
    <t>L9.WAU.003012</t>
  </si>
  <si>
    <t>4 Marquet Street</t>
  </si>
  <si>
    <t>_CLOSED_CS - Cardiff Office</t>
  </si>
  <si>
    <t>L9.S.11000101</t>
  </si>
  <si>
    <t xml:space="preserve">Unit 3a Warehouse/Office, 88 Munibung Rd, </t>
  </si>
  <si>
    <t>CARDIFF</t>
  </si>
  <si>
    <t>_CLOSED_CS - Nerang Office (QLD)</t>
  </si>
  <si>
    <t>L9.S.16001990</t>
  </si>
  <si>
    <t>Unit 7 17 Indy Crt</t>
  </si>
  <si>
    <t>Nerang</t>
  </si>
  <si>
    <t>_CLOSED_CS - Old Rockhampton Office (QLD)</t>
  </si>
  <si>
    <t>L9.S.16008157</t>
  </si>
  <si>
    <t>32 Denham St</t>
  </si>
  <si>
    <t>Rockhampton</t>
  </si>
  <si>
    <t>_CLOSED_CS - Osborne Park Office (WA)</t>
  </si>
  <si>
    <t>L9.S.11000865</t>
  </si>
  <si>
    <t>31 January 2013 - exited and now under sublease.</t>
  </si>
  <si>
    <t>43 Edward Street</t>
  </si>
  <si>
    <t>Osborne Park</t>
  </si>
  <si>
    <t>_CLOSED_Darwin - Bombing Rd, Winnellie</t>
  </si>
  <si>
    <t>L9.S.16013419</t>
  </si>
  <si>
    <t>Skilltech in Bombing Road, Winnellie until Oct-19 and then moved to 23a/90 Frances Bay Drv, Stuart Park, NT 0820.
Closed in Jan 2021</t>
  </si>
  <si>
    <t>23a 90 Frances Bay Drive</t>
  </si>
  <si>
    <t>Stuart Park</t>
  </si>
  <si>
    <t>0820</t>
  </si>
  <si>
    <t>_CLOSED_DEF Fleet ACT</t>
  </si>
  <si>
    <t>L9.S.14000508</t>
  </si>
  <si>
    <t>Leaseplan vehicles transitioned through to FTC data at end of FY23.</t>
  </si>
  <si>
    <t>_CLOSED_DEF Fleet NSW</t>
  </si>
  <si>
    <t>L9.S.14000514</t>
  </si>
  <si>
    <t>_CLOSED_DEF Fleet NT</t>
  </si>
  <si>
    <t>L9.S.14000479</t>
  </si>
  <si>
    <t>_CLOSED_DEF Fleet QLD</t>
  </si>
  <si>
    <t>L9.S.14000494</t>
  </si>
  <si>
    <t>_CLOSED_DEF Fleet SA</t>
  </si>
  <si>
    <t>L9.S.14000487</t>
  </si>
  <si>
    <t>_CLOSED_DEF Fleet VIC</t>
  </si>
  <si>
    <t>L9.S.16015942</t>
  </si>
  <si>
    <t>_CLOSED_DEF Fleet WA</t>
  </si>
  <si>
    <t>L9.S.14000476</t>
  </si>
  <si>
    <t>_CLOSED_Denny Avenue, Metronet</t>
  </si>
  <si>
    <t>L9.J.20044061</t>
  </si>
  <si>
    <t>Kelmscott</t>
  </si>
  <si>
    <t>_CLOSED_Depot_BP_Auckland_Plant-Yard</t>
  </si>
  <si>
    <t>Construction equipment plant yard storage and distribution - New location established following purchase of Hawkins 2018</t>
  </si>
  <si>
    <t>1-3 Ash Road, Wiri</t>
  </si>
  <si>
    <t>Manurewa</t>
  </si>
  <si>
    <t>_CLOSED_Depot_T_Balclutha</t>
  </si>
  <si>
    <t>L9.DNZJ.55674</t>
  </si>
  <si>
    <t>Support Services for TS - New facilities established for more granular reporting and to reflect new structure for FY17. See facility named "NZ-Infrastructure Services" for historical data.</t>
  </si>
  <si>
    <t>11 Athol Place</t>
  </si>
  <si>
    <t>Balclutha</t>
  </si>
  <si>
    <t>_CLOSED_Depot_T_Blenheim</t>
  </si>
  <si>
    <t>L9.DNZJ.55612</t>
  </si>
  <si>
    <t>7 Freswick Street</t>
  </si>
  <si>
    <t>Blenheim</t>
  </si>
  <si>
    <t>Marlborough</t>
  </si>
  <si>
    <t>_CLOSED_Depot_T_Christchurch (McLeans Is)</t>
  </si>
  <si>
    <t>L9.DNZJ.55650</t>
  </si>
  <si>
    <t>397 Mcleans Island Road, Harewood</t>
  </si>
  <si>
    <t>_CLOSED_Depot_T_Cromwell</t>
  </si>
  <si>
    <t>L9.DNZJ.55686</t>
  </si>
  <si>
    <t>922 Luggate-Cromwell Road</t>
  </si>
  <si>
    <t>Mount Pisa</t>
  </si>
  <si>
    <t>Clyde</t>
  </si>
  <si>
    <t>_CLOSED_Depot_T_Culverden (Excell)</t>
  </si>
  <si>
    <t>L9.DNZJ.553801</t>
  </si>
  <si>
    <t>26 Lyndon Street</t>
  </si>
  <si>
    <t>Culverdon</t>
  </si>
  <si>
    <t>_CLOSED_Depot_T_Dargaville</t>
  </si>
  <si>
    <t>L9.DNZJ.55908</t>
  </si>
  <si>
    <t>_CLOSED_Depot_T_Dunedin (Green Island)</t>
  </si>
  <si>
    <t>L9.DNZJ.55660</t>
  </si>
  <si>
    <t>133 Main South Road, Green Island</t>
  </si>
  <si>
    <t>Musselburgh</t>
  </si>
  <si>
    <t>_CLOSED_Depot_T_Engineers Camp (Lewis Pass)</t>
  </si>
  <si>
    <t>L9.DNZJ.55614</t>
  </si>
  <si>
    <t>Engineers Camp, State Highway 7</t>
  </si>
  <si>
    <t>Lewis Pass</t>
  </si>
  <si>
    <t>West Coast</t>
  </si>
  <si>
    <t>Hanmer Springs</t>
  </si>
  <si>
    <t>_CLOSED_Depot_T_Gisborne</t>
  </si>
  <si>
    <t>L9.DNZJ.55581</t>
  </si>
  <si>
    <t>187 Awapuni Road, Awapuni</t>
  </si>
  <si>
    <t>Gisborne</t>
  </si>
  <si>
    <t>_CLOSED_Depot_T_Hamilton</t>
  </si>
  <si>
    <t>L9.DNZJ.55540</t>
  </si>
  <si>
    <t>_CLOSED_Depot_T_Hastings</t>
  </si>
  <si>
    <t>L9.DNZJ.55582</t>
  </si>
  <si>
    <t>1436 Omahu Road, Twyford</t>
  </si>
  <si>
    <t>Hastings</t>
  </si>
  <si>
    <t>Hawkes's Bay</t>
  </si>
  <si>
    <t>_CLOSED_Depot_T_Hawera</t>
  </si>
  <si>
    <t>L9.DNZJ.55570</t>
  </si>
  <si>
    <t>32-34 Glover Road</t>
  </si>
  <si>
    <t>Hawera</t>
  </si>
  <si>
    <t>_CLOSED_Depot_T_Horowhenua</t>
  </si>
  <si>
    <t>L9.DNZJ.55604</t>
  </si>
  <si>
    <t>122 Hokio Beach Road</t>
  </si>
  <si>
    <t>Levin</t>
  </si>
  <si>
    <t>Manawatu-Wanganui</t>
  </si>
  <si>
    <t>_CLOSED_Depot_T_Invercargill</t>
  </si>
  <si>
    <t>L9.DNZJ.55670</t>
  </si>
  <si>
    <t>159 Liddel Street, West Invercargill</t>
  </si>
  <si>
    <t>_CLOSED_Depot_T_Kaikaoura</t>
  </si>
  <si>
    <t>L9.DNZJ.55626</t>
  </si>
  <si>
    <t>Kowhai Ford Road, Kaikoura Flat</t>
  </si>
  <si>
    <t>Kaikoura</t>
  </si>
  <si>
    <t>_CLOSED_Depot_T_Kiwi Point</t>
  </si>
  <si>
    <t>L9.DNZJ.55606</t>
  </si>
  <si>
    <t>_CLOSED_Depot_T_Lawrence</t>
  </si>
  <si>
    <t>L9.DNZJ.55688</t>
  </si>
  <si>
    <t>36 Waipori Road, Lawrence Gabriels Gully</t>
  </si>
  <si>
    <t>Timaru</t>
  </si>
  <si>
    <t>Milton</t>
  </si>
  <si>
    <t>_CLOSED_Depot_T_Lower Hutt</t>
  </si>
  <si>
    <t>L9.DNZJ.55601</t>
  </si>
  <si>
    <t>26A Bracken Street, Petone</t>
  </si>
  <si>
    <t>Lower Hutt</t>
  </si>
  <si>
    <t>_CLOSED_Depot_T_Marton</t>
  </si>
  <si>
    <t>L9.DNZJ.55752</t>
  </si>
  <si>
    <t>7 King Street</t>
  </si>
  <si>
    <t>Marton</t>
  </si>
  <si>
    <t>Bulls</t>
  </si>
  <si>
    <t>_CLOSED_Depot_T_Methven (Excell)</t>
  </si>
  <si>
    <t>L9.DNZJ.55643</t>
  </si>
  <si>
    <t>62 Racecourse Avenue</t>
  </si>
  <si>
    <t>Methven</t>
  </si>
  <si>
    <t>_CLOSED_Depot_T_Nelson</t>
  </si>
  <si>
    <t>L9.DNZJ.55610</t>
  </si>
  <si>
    <t>4/750 Lower Queen St</t>
  </si>
  <si>
    <t>Richmond</t>
  </si>
  <si>
    <t>Nelson</t>
  </si>
  <si>
    <t>Mapua</t>
  </si>
  <si>
    <t>_CLOSED_Depot_T_New Plymouth</t>
  </si>
  <si>
    <t>L9.DNZJ.55572</t>
  </si>
  <si>
    <t>_CLOSED_Depot_T_Oamaru</t>
  </si>
  <si>
    <t>L9.DNZJ.55684</t>
  </si>
  <si>
    <t>Support Services for TS - New facilities established in FY19</t>
  </si>
  <si>
    <t>_CLOSED_Depot_T_Omarama (Excell)</t>
  </si>
  <si>
    <t>57 Chain Hills Highway</t>
  </si>
  <si>
    <t>Omarama</t>
  </si>
  <si>
    <t>_CLOSED_Depot_T_Paeroa</t>
  </si>
  <si>
    <t>L9.DNZJ.55552</t>
  </si>
  <si>
    <t>1-11 Grey Street</t>
  </si>
  <si>
    <t>Paeroa</t>
  </si>
  <si>
    <t>_CLOSED_Depot_T_Palmerston</t>
  </si>
  <si>
    <t>L9.DNZJ.55550</t>
  </si>
  <si>
    <t>1192 Goodwood Road</t>
  </si>
  <si>
    <t>Palmerston</t>
  </si>
  <si>
    <t>Karitane</t>
  </si>
  <si>
    <t>_CLOSED_Depot_T_Palmerston North</t>
  </si>
  <si>
    <t>L9.DNZJ.55590</t>
  </si>
  <si>
    <t>5 Valor Drive</t>
  </si>
  <si>
    <t>Palmerston North</t>
  </si>
  <si>
    <t>_CLOSED_Depot_T_Penrose</t>
  </si>
  <si>
    <t>L9.DNZJ.55530</t>
  </si>
  <si>
    <t>_CLOSED_Depot_T_Picton</t>
  </si>
  <si>
    <t>L9.DNZJ.55628</t>
  </si>
  <si>
    <t>18 Devon Street</t>
  </si>
  <si>
    <t>Picton</t>
  </si>
  <si>
    <t>_CLOSED_Depot_T_Queenstown</t>
  </si>
  <si>
    <t>L9.DNZJ.55680</t>
  </si>
  <si>
    <t>7 Jock Boyd Place, Frankton</t>
  </si>
  <si>
    <t>Queenstown</t>
  </si>
  <si>
    <t>_CLOSED_Depot_T_Raetihi</t>
  </si>
  <si>
    <t>L9.DNZJ.55560</t>
  </si>
  <si>
    <t>1 George Street</t>
  </si>
  <si>
    <t>Raetihi</t>
  </si>
  <si>
    <t>Waiouru</t>
  </si>
  <si>
    <t>_CLOSED_Depot_T_Stratford</t>
  </si>
  <si>
    <t>L9.DNZJ.55574</t>
  </si>
  <si>
    <t>134-136 Orlando Street</t>
  </si>
  <si>
    <t>Stratford</t>
  </si>
  <si>
    <t>Eltham</t>
  </si>
  <si>
    <t>_CLOSED_Depot_T_Tararua</t>
  </si>
  <si>
    <t>L9.DNZJ.55755</t>
  </si>
  <si>
    <t>9 Oringi Rd</t>
  </si>
  <si>
    <t>Dannevirke, Tararua</t>
  </si>
  <si>
    <t>_CLOSED_Depot_T_Taumarunui</t>
  </si>
  <si>
    <t>L9.DNZJ.55563</t>
  </si>
  <si>
    <t>58 Kururau Road</t>
  </si>
  <si>
    <t>Taumarunui</t>
  </si>
  <si>
    <t>_CLOSED_Depot_T_Taupo</t>
  </si>
  <si>
    <t>L9.DNZJ.55564</t>
  </si>
  <si>
    <t>11 Ashwood Avenue, Tuahara</t>
  </si>
  <si>
    <t>Taupo</t>
  </si>
  <si>
    <t>_CLOSED_Depot_T_Taupo (Mahoe St)</t>
  </si>
  <si>
    <t>L9.DNZJ.55615</t>
  </si>
  <si>
    <t>9/13 Mahoe Street, Tuahara</t>
  </si>
  <si>
    <t>_CLOSED_Depot_T_Tauranga</t>
  </si>
  <si>
    <t>L9.DNZJ.55553</t>
  </si>
  <si>
    <t>58 Taurikura Drive, Tauriko</t>
  </si>
  <si>
    <t>_CLOSED_Depot_T_Te Anau</t>
  </si>
  <si>
    <t>L9.DNZJ.55682</t>
  </si>
  <si>
    <t>29 Caswell Street</t>
  </si>
  <si>
    <t>Te Anau</t>
  </si>
  <si>
    <t>_CLOSED_Depot_T_Timaru</t>
  </si>
  <si>
    <t>L9.DNZJ.55652</t>
  </si>
  <si>
    <t>86 Meadows Rd, Washdyke</t>
  </si>
  <si>
    <t>_CLOSED_Depot_T_Tirau</t>
  </si>
  <si>
    <t>L9.DNZJ.55568</t>
  </si>
  <si>
    <t>25 Patetere Street</t>
  </si>
  <si>
    <t>Tirau</t>
  </si>
  <si>
    <t>_CLOSED_Depot_T_Twizel</t>
  </si>
  <si>
    <t>L9.DNZJ.55654</t>
  </si>
  <si>
    <t>23 Hooker Crescent</t>
  </si>
  <si>
    <t>Twizel</t>
  </si>
  <si>
    <t>_CLOSED_Depot_T_Util_Depot_Henderson</t>
  </si>
  <si>
    <t>L9.DNZJ.55528</t>
  </si>
  <si>
    <t>Support Services for Utilities Water Business - New facilities established for more granular reporting and to reflect new structure for FY17. See facility named "NZ-Infrastructure Services" for historical data.</t>
  </si>
  <si>
    <t>9 Rabone Street, Henderson</t>
  </si>
  <si>
    <t>Waitakere</t>
  </si>
  <si>
    <t>_CLOSED_Depot_T_Util_Water_Albany</t>
  </si>
  <si>
    <t>L9.DNZJ.55535</t>
  </si>
  <si>
    <t>8 Furnace Place, Silverdale</t>
  </si>
  <si>
    <t>Whenuapai</t>
  </si>
  <si>
    <t>_CLOSED_Depot_T_Util_Water_Silverdale</t>
  </si>
  <si>
    <t>L9.DNZJ.55522</t>
  </si>
  <si>
    <t>2B William Pickering Dr, Rosedale, Albany</t>
  </si>
  <si>
    <t>North Shore</t>
  </si>
  <si>
    <t>_CLOSED_Depot_T_Waipawa</t>
  </si>
  <si>
    <t>L9.DNZJ.55583</t>
  </si>
  <si>
    <t>Waipawa</t>
  </si>
  <si>
    <t>_CLOSED_Depot_T_Waitaki (OSM)</t>
  </si>
  <si>
    <t>L9.DNZJ.55613</t>
  </si>
  <si>
    <t>_CLOSED_Depot_T_Waitoki</t>
  </si>
  <si>
    <t>L9.DNZJ.55524</t>
  </si>
  <si>
    <t>543 Waitoki Road, Wainui</t>
  </si>
  <si>
    <t>Parakai</t>
  </si>
  <si>
    <t>_CLOSED_Depot_T_Wanganui</t>
  </si>
  <si>
    <t>L9.DNZJ.55596</t>
  </si>
  <si>
    <t>501 Heads Rd, Castlecliff</t>
  </si>
  <si>
    <t>Wanganui</t>
  </si>
  <si>
    <t>_CLOSED_Depot_T_Wellington</t>
  </si>
  <si>
    <t>L9.DNZJ.55602</t>
  </si>
  <si>
    <t>14-16 Makaro Street</t>
  </si>
  <si>
    <t>Porirua</t>
  </si>
  <si>
    <t>_CLOSED_Depot_T_Whangarei</t>
  </si>
  <si>
    <t>L9.DNZJ.55510</t>
  </si>
  <si>
    <t>120-122 Port Road</t>
  </si>
  <si>
    <t>_CLOSED_Depot_U_P&amp;G_Elec_Matamata</t>
  </si>
  <si>
    <t>L9.DUN.60124</t>
  </si>
  <si>
    <t>Support Services for Utilities P&amp;G Business - New facilities established for more granular reporting and to reflect new structure for FY17. See facility named "NZ-Technology Solutions &amp; Corporate Services" for historical data.</t>
  </si>
  <si>
    <t>58 Firth Street</t>
  </si>
  <si>
    <t>Matamata</t>
  </si>
  <si>
    <t>_CLOSED_Depot_U_P&amp;G_Elec_Taihape-Raetihi</t>
  </si>
  <si>
    <t>L9.DUN.60224</t>
  </si>
  <si>
    <t>5131 Abattoir Road</t>
  </si>
  <si>
    <t>Taihape</t>
  </si>
  <si>
    <t>_CLOSED_Depot_U_Shands-Rd</t>
  </si>
  <si>
    <t>L9.DNZJ.564416</t>
  </si>
  <si>
    <t>Support Services for Utilities Business - New facilities established for more granular reporting and to reflect new structure for FY17. See facility named "NZ-Technology Solutions &amp; Corporate Services" for historical data.</t>
  </si>
  <si>
    <t>55 Shands Rd, Hornby</t>
  </si>
  <si>
    <t>_CLOSED_Depot_U_Util_UFB</t>
  </si>
  <si>
    <t>L9.DNZJ.561671</t>
  </si>
  <si>
    <t>14 John Seddon Drive</t>
  </si>
  <si>
    <t>_CLOSED_DI-East Perth Office</t>
  </si>
  <si>
    <t>L9.J.300005</t>
  </si>
  <si>
    <t>Site previously reported as DI-West Perth Office -renamed to DI-East Perth office when moved to EC&amp;M for FY16. New Office - May 2013</t>
  </si>
  <si>
    <t>Level 3, 181 Adelaide Terrace</t>
  </si>
  <si>
    <t>East Perth</t>
  </si>
  <si>
    <t>_CLOSED_DO_Ararat</t>
  </si>
  <si>
    <t>L9.J.24170006</t>
  </si>
  <si>
    <t>Lot 5, McGibbony St</t>
  </si>
  <si>
    <t>Ararat</t>
  </si>
  <si>
    <t>_CLOSED_DO_Ballarat</t>
  </si>
  <si>
    <t>L9.J.24170003</t>
  </si>
  <si>
    <t>352 Dowling St</t>
  </si>
  <si>
    <t>Wendouree</t>
  </si>
  <si>
    <t>_CLOSED_DO_Bendigo</t>
  </si>
  <si>
    <t>L9.J.24170002</t>
  </si>
  <si>
    <t>116 Holmes St</t>
  </si>
  <si>
    <t>Bendigo</t>
  </si>
  <si>
    <t>_CLOSED_DO_Colac</t>
  </si>
  <si>
    <t>L9.J.24170005</t>
  </si>
  <si>
    <t>49a Rossmoyne Rd</t>
  </si>
  <si>
    <t>Colac</t>
  </si>
  <si>
    <t>_CLOSED_Dry Creek - Rail</t>
  </si>
  <si>
    <t>L9.J.20043038</t>
  </si>
  <si>
    <t>2/26 Churchill Road North</t>
  </si>
  <si>
    <t>Dry Creek</t>
  </si>
  <si>
    <t>_CLOSED_Envar Group - Welshpool</t>
  </si>
  <si>
    <t>L9.S.13001078</t>
  </si>
  <si>
    <t>47 Furnace Road
WELSHPOOL  WA  6106</t>
  </si>
  <si>
    <t>_CLOSED_Eyre Peninsula ECI</t>
  </si>
  <si>
    <t>L9.J.3773000158</t>
  </si>
  <si>
    <t>IP-3773000158</t>
  </si>
  <si>
    <t>_CLOSED_F_AE Smith NZ</t>
  </si>
  <si>
    <t>L9.S.26017940</t>
  </si>
  <si>
    <t>_CLOSED_F10448 - North Heatherton Wetland Renewal</t>
  </si>
  <si>
    <t>L9.J.241209</t>
  </si>
  <si>
    <t>_CLOSED_FY20Rev_Asset &amp; Development Services (SAP)</t>
  </si>
  <si>
    <t>Facility</t>
  </si>
  <si>
    <t>_CLOSED_FY20Rev_Commercial Electrical</t>
  </si>
  <si>
    <t>_CLOSED_FY20Rev_Corporate</t>
  </si>
  <si>
    <t>_CLOSED_FY20Rev_Corporate Office</t>
  </si>
  <si>
    <t>L9.J.362020</t>
  </si>
  <si>
    <t>_CLOSED_FY20Rev_DMJV (NSW) (252)</t>
  </si>
  <si>
    <t>_CLOSED_FY20Rev_DMJV (QLD) (253)</t>
  </si>
  <si>
    <t>_CLOSED_FY20Rev_DMJV (WA) (254)</t>
  </si>
  <si>
    <t>_CLOSED_FY20Rev_Downer Asset Services</t>
  </si>
  <si>
    <t>L9.ENG.360.14125</t>
  </si>
  <si>
    <t>_CLOSED_FY20Rev_Downer Defence</t>
  </si>
  <si>
    <t>L9.S.16013945</t>
  </si>
  <si>
    <t>_CLOSED_FY20Rev_E&amp;C Legacy</t>
  </si>
  <si>
    <t>_CLOSED_FY20Rev_EDI Rail PPP Maintenance Pty Ltd (Waratah</t>
  </si>
  <si>
    <t>L9.J.706202</t>
  </si>
  <si>
    <t>_CLOSED_FY20Rev_EDIR Limited - Millennium (711)</t>
  </si>
  <si>
    <t>L9.J.709002</t>
  </si>
  <si>
    <t>_CLOSED_FY20Rev_EDIR Limited - Sydney Growth Trains (712)</t>
  </si>
  <si>
    <t>L9.MPM.SGT</t>
  </si>
  <si>
    <t>_CLOSED_FY20Rev_EDIR Limited (709)</t>
  </si>
  <si>
    <t>L9.D.20142004</t>
  </si>
  <si>
    <t>_CLOSED_FY20Rev_Government &amp; Citizen Services</t>
  </si>
  <si>
    <t>L9.S.13000030</t>
  </si>
  <si>
    <t>_CLOSED_FY20Rev_HCMT</t>
  </si>
  <si>
    <t>L9.J.712002</t>
  </si>
  <si>
    <t>_CLOSED_FY20Rev_Health &amp; Education</t>
  </si>
  <si>
    <t>L9.S.13900021</t>
  </si>
  <si>
    <t>L9.S.11000870</t>
  </si>
  <si>
    <t>_CLOSED_FY20Rev_Hospitality</t>
  </si>
  <si>
    <t>_CLOSED_FY20Rev_Infrastructure Projects - DEW (200)</t>
  </si>
  <si>
    <t>L9.D.201303</t>
  </si>
  <si>
    <t>_CLOSED_FY20Rev_Infrastructure Projects - joint operation</t>
  </si>
  <si>
    <t>_CLOSED_FY20Rev_Infrastructure Projects - VEC</t>
  </si>
  <si>
    <t>L9.J.210211</t>
  </si>
  <si>
    <t>_CLOSED_FY20Rev_Intra Elim</t>
  </si>
  <si>
    <t>L9.WAU.000891</t>
  </si>
  <si>
    <t>_CLOSED_FY20Rev_Laundries</t>
  </si>
  <si>
    <t>_CLOSED_FY20Rev_Maclab Services Pty Limited</t>
  </si>
  <si>
    <t>_CLOSED_FY20Rev_Major Projects - Group Recharges &amp; Rent (</t>
  </si>
  <si>
    <t>L9.J.70700019</t>
  </si>
  <si>
    <t>_CLOSED_FY20Rev_Managed Solutions</t>
  </si>
  <si>
    <t>L9.J.510002</t>
  </si>
  <si>
    <t>_CLOSED_FY20Rev_MD Mineral Technologies Private Limited (</t>
  </si>
  <si>
    <t>L9.ENG.982.11.805</t>
  </si>
  <si>
    <t>_CLOSED_FY20Rev_MD Mineral Technologies SA (Pty) Ltd (396</t>
  </si>
  <si>
    <t>_CLOSED_FY20Rev_Mineral Technologies Comercio de Equipame</t>
  </si>
  <si>
    <t>_CLOSED_FY20Rev_Mineral Technologies Pty Ltd - Elim Inv I</t>
  </si>
  <si>
    <t>_CLOSED_FY20Rev_Mineral Technologies Pty Ltd (395)</t>
  </si>
  <si>
    <t>_CLOSED_FY20Rev_Mineral Technologies, Inc (400)</t>
  </si>
  <si>
    <t>_CLOSED_FY20Rev_NZ - NSC, IT, Property, WF &amp; Elins</t>
  </si>
  <si>
    <t>_CLOSED_FY20Rev_NZ Facilities</t>
  </si>
  <si>
    <t>L9.DNZJ.69601</t>
  </si>
  <si>
    <t>_CLOSED_FY20Rev_NZ Transport</t>
  </si>
  <si>
    <t>_CLOSED_FY20Rev_NZ Utilities</t>
  </si>
  <si>
    <t>L9.DNZJ.561672</t>
  </si>
  <si>
    <t>_CLOSED_FY20Rev_Rail Services Victoria Pty Ltd</t>
  </si>
  <si>
    <t>_CLOSED_FY20Rev_Road Services - DEW (170)</t>
  </si>
  <si>
    <t>_CLOSED_FY20Rev_Rock N Road Bitumen Pty Ltd (173)</t>
  </si>
  <si>
    <t>_CLOSED_FY20Rev_RPQ (171)</t>
  </si>
  <si>
    <t>_CLOSED_FY20Rev_SGTP</t>
  </si>
  <si>
    <t>_CLOSED_FY20Rev_Spotless Adjustment</t>
  </si>
  <si>
    <t>_CLOSED_FY20Rev_Spotless Defence</t>
  </si>
  <si>
    <t>_CLOSED_FY20Rev_UASG (Utilities)</t>
  </si>
  <si>
    <t>L9.S.11001154</t>
  </si>
  <si>
    <t>_CLOSED_FY20Rev_Utilities - DEE (234)</t>
  </si>
  <si>
    <t>_CLOSED_FY20Rev_Utilities - DEL (233, 371, 391)</t>
  </si>
  <si>
    <t>_CLOSED_FY20Rev_Utilities - DEP (Total)</t>
  </si>
  <si>
    <t>L9.DUA.12004</t>
  </si>
  <si>
    <t>_CLOSED_FY20Rev_Utilities - DEW (240)</t>
  </si>
  <si>
    <t>L9.DUA.109919</t>
  </si>
  <si>
    <t>_CLOSED_FY20Rev_Utilities - DUA (Total)</t>
  </si>
  <si>
    <t>L9.DUA.109030</t>
  </si>
  <si>
    <t>_CLOSED_FY20Rev_Utilities - legacy, holding co &amp; elims</t>
  </si>
  <si>
    <t>L9.DUA.109918</t>
  </si>
  <si>
    <t>_CLOSED_Garbutt</t>
  </si>
  <si>
    <t>L9.ENG.360.12940</t>
  </si>
  <si>
    <t>17 Langton Street</t>
  </si>
  <si>
    <t>Garbutt</t>
  </si>
  <si>
    <t>_CLOSED_Gladesville</t>
  </si>
  <si>
    <t>L9.J.10920024</t>
  </si>
  <si>
    <t>436 Victoria Road</t>
  </si>
  <si>
    <t>Gladesville</t>
  </si>
  <si>
    <t>_CLOSED_Gladstone</t>
  </si>
  <si>
    <t>L9.J.709211</t>
  </si>
  <si>
    <t>CLOSED END OF OCTOBER 2015</t>
  </si>
  <si>
    <t>Shed 1, 1 Shona Ave</t>
  </si>
  <si>
    <t>Gladstone</t>
  </si>
  <si>
    <t>_CLOSED_Glandore</t>
  </si>
  <si>
    <t>L9.S.12000336</t>
  </si>
  <si>
    <t>created per R. Brookshaw email 21-Jan-2014</t>
  </si>
  <si>
    <t>664 South Road</t>
  </si>
  <si>
    <t>Glandore</t>
  </si>
  <si>
    <t>_CLOSED_Gov Contract Office Riverside Plaza</t>
  </si>
  <si>
    <t>L9.S.11000102</t>
  </si>
  <si>
    <t>Suite 019B Riverside Plaza, 131 Monaro St</t>
  </si>
  <si>
    <t>Queanbeyan</t>
  </si>
  <si>
    <t>_CLOSED_GOV Fleet ACT</t>
  </si>
  <si>
    <t>L9.S.13000350</t>
  </si>
  <si>
    <t>_CLOSED_GOV Fleet NSW</t>
  </si>
  <si>
    <t>L9.S.13000320</t>
  </si>
  <si>
    <t>_CLOSED_GOV Fleet QLD</t>
  </si>
  <si>
    <t>L9.S.13000080</t>
  </si>
  <si>
    <t>_CLOSED_GOV Fleet SA</t>
  </si>
  <si>
    <t>L9.S.13000580</t>
  </si>
  <si>
    <t>_CLOSED_GOV Fleet VIC</t>
  </si>
  <si>
    <t>L9.S.13000510</t>
  </si>
  <si>
    <t>_CLOSED_GOV Fleet WA</t>
  </si>
  <si>
    <t>L9.S.13000720</t>
  </si>
  <si>
    <t>_CLOSED_Green Vision</t>
  </si>
  <si>
    <t>L9.DNZJ.3202</t>
  </si>
  <si>
    <t>Production of materials for road construction - New facilities established for more granular reporting and to reflect new structure for FY17. See facility named "NZ-Infrastructure Services" for historical data.</t>
  </si>
  <si>
    <t>39-59 Miami Parade, Onehunga</t>
  </si>
  <si>
    <t>Mangere</t>
  </si>
  <si>
    <t>_CLOSED_Hackney Office</t>
  </si>
  <si>
    <t>L9.S.13000540</t>
  </si>
  <si>
    <t>_CLOSED_Harman Sub and TXL</t>
  </si>
  <si>
    <t>L9.J.37740100</t>
  </si>
  <si>
    <t>UT-37740100 - Harman Zone Project - Subs</t>
  </si>
  <si>
    <t>_CLOSED_Hawera (32-34 Glover Rd)</t>
  </si>
  <si>
    <t>L9.DNZJ.91250</t>
  </si>
  <si>
    <t>21/02/2025 - Moved Natural Gas account to "Hawera Depot", referring to same address. Close location.</t>
  </si>
  <si>
    <t>_CLOSED_Head Office</t>
  </si>
  <si>
    <t>L9.WAU.000800</t>
  </si>
  <si>
    <t>Sydney</t>
  </si>
  <si>
    <t>_CLOSED_Hexham-Infrastructure Services</t>
  </si>
  <si>
    <t>L9.J.10920006</t>
  </si>
  <si>
    <t>This facility established January 2016 to allow for separate reporting for IS &amp; EC&amp;M - data previously reported through "Hexam" which has been renamed as "Hexam-EC&amp;M" Facility #350.</t>
  </si>
  <si>
    <t>6-16 Galleghan Road</t>
  </si>
  <si>
    <t>Hexam</t>
  </si>
  <si>
    <t>_CLOSED_HFM Fleet ACT</t>
  </si>
  <si>
    <t>L9.S.3174.45003852.1</t>
  </si>
  <si>
    <t>_CLOSED_HFM Fleet NSW</t>
  </si>
  <si>
    <t>_CLOSED_HFM Fleet NT</t>
  </si>
  <si>
    <t>_CLOSED_HFM Fleet QLD</t>
  </si>
  <si>
    <t>_CLOSED_HFM Fleet SA</t>
  </si>
  <si>
    <t>_CLOSED_HFM Fleet TAS</t>
  </si>
  <si>
    <t>_CLOSED_HFM Fleet VIC</t>
  </si>
  <si>
    <t>_CLOSED_HFM Fleet WA</t>
  </si>
  <si>
    <t>_CLOSED_I&amp;C Fleet ACT</t>
  </si>
  <si>
    <t>L9.S.13001002</t>
  </si>
  <si>
    <t>_CLOSED_I&amp;C Fleet NSW</t>
  </si>
  <si>
    <t>L9.S.13001001</t>
  </si>
  <si>
    <t>_CLOSED_I&amp;C Fleet NT</t>
  </si>
  <si>
    <t>L9.S.13001014</t>
  </si>
  <si>
    <t>_CLOSED_I&amp;C Fleet QLD</t>
  </si>
  <si>
    <t>L9.S.13001037</t>
  </si>
  <si>
    <t>_CLOSED_I&amp;C Fleet TAS</t>
  </si>
  <si>
    <t>L9.S.13001045</t>
  </si>
  <si>
    <t>_CLOSED_I&amp;C Fleet VIC</t>
  </si>
  <si>
    <t>L9.S.13001006</t>
  </si>
  <si>
    <t>_CLOSED_I&amp;C Fleet WA</t>
  </si>
  <si>
    <t>L9.S.13001043</t>
  </si>
  <si>
    <t>_CLOSED_Innisfail SS Replacement</t>
  </si>
  <si>
    <t>L9.J.37130005</t>
  </si>
  <si>
    <t>Innisfail</t>
  </si>
  <si>
    <t>_CLOSED_IP WA Rail Fleet</t>
  </si>
  <si>
    <t>L9.J.200443</t>
  </si>
  <si>
    <t>IPWA</t>
  </si>
  <si>
    <t>_CLOSED_IP_SubContractors</t>
  </si>
  <si>
    <t>L9.DNZJ.8840</t>
  </si>
  <si>
    <t>_CLOSED_IPD NSW</t>
  </si>
  <si>
    <t>L9.J.200901</t>
  </si>
  <si>
    <t>_CLOSED_IPD Qld</t>
  </si>
  <si>
    <t>L9.J.200453</t>
  </si>
  <si>
    <t>_CLOSED_ITS QLD</t>
  </si>
  <si>
    <t>L9.J.170257</t>
  </si>
  <si>
    <t>_CLOSED_Karratha</t>
  </si>
  <si>
    <t>L9.WAU.000605</t>
  </si>
  <si>
    <t>No operations - closing.</t>
  </si>
  <si>
    <t>Cinders Rd</t>
  </si>
  <si>
    <t>Nickol</t>
  </si>
  <si>
    <t>_CLOSED_Karratha Regional Operations Centre (ROC)</t>
  </si>
  <si>
    <t>L9.J.20044042</t>
  </si>
  <si>
    <t>107 Exploration Drive</t>
  </si>
  <si>
    <t>Gap Ridge</t>
  </si>
  <si>
    <t>Karratha</t>
  </si>
  <si>
    <t>_CLOSED_Kestrel Dry Disposal</t>
  </si>
  <si>
    <t>L9.J.36400012</t>
  </si>
  <si>
    <t>COR-36400012</t>
  </si>
  <si>
    <t>_CLOSED_Kooragang</t>
  </si>
  <si>
    <t>L9.J.70930009</t>
  </si>
  <si>
    <t>Off Cormorant Road</t>
  </si>
  <si>
    <t>Kooragang Island</t>
  </si>
  <si>
    <t>_CLOSED_Kwinana Rail Depot</t>
  </si>
  <si>
    <t>L9.D.20144004</t>
  </si>
  <si>
    <t>8 Richardson Street</t>
  </si>
  <si>
    <t>Kwinana Beach</t>
  </si>
  <si>
    <t>_CLOSED_Labs_Auckland</t>
  </si>
  <si>
    <t>L9.DNZJ.3521</t>
  </si>
  <si>
    <t>Technical Support for Construction activities - New facilities established for more granular reporting and to reflect new structure for FY17. See facility named "NZ-Infrastructure Services" for historical data.</t>
  </si>
  <si>
    <t>_CLOSED_Labs_Christchurch</t>
  </si>
  <si>
    <t>L9.DNZJ.3523</t>
  </si>
  <si>
    <t>_CLOSED_Labs_Mobile</t>
  </si>
  <si>
    <t>L9.DNZJ.3524</t>
  </si>
  <si>
    <t>_CLOSED_Labs_Mt Maunganui</t>
  </si>
  <si>
    <t>L9.DNZJ.3525</t>
  </si>
  <si>
    <t>_CLOSED_Labs_Wellington</t>
  </si>
  <si>
    <t>L9.DNZJ.3522</t>
  </si>
  <si>
    <t>_CLOSED_Lane Cove (DMJV)</t>
  </si>
  <si>
    <t>L9.J.17020806</t>
  </si>
  <si>
    <t>166 Epping Road NSW</t>
  </si>
  <si>
    <t>Lane Cove West</t>
  </si>
  <si>
    <t>_CLOSED_Lollipops Edu Centre AKL 45004945</t>
  </si>
  <si>
    <t>L9.S.26020223</t>
  </si>
  <si>
    <t>_CLOSED_Lollipops Educare ChCh 45004949</t>
  </si>
  <si>
    <t>L9.S.26020292</t>
  </si>
  <si>
    <t>_CLOSED_Lollipops Educare Wellington 45004951</t>
  </si>
  <si>
    <t>L9.S.26020411</t>
  </si>
  <si>
    <t>_CLOSED_Loxton</t>
  </si>
  <si>
    <t>L9.J.17020606</t>
  </si>
  <si>
    <t>Vacated in 2020.</t>
  </si>
  <si>
    <t>Lot 306 Trennery Avenue</t>
  </si>
  <si>
    <t>Loxton</t>
  </si>
  <si>
    <t>_CLOSED_LSE - Melbourne Town Hall</t>
  </si>
  <si>
    <t>L9.S.13000853</t>
  </si>
  <si>
    <t>Contract ended June 30, 2022.</t>
  </si>
  <si>
    <t>90-130 Swanston Street</t>
  </si>
  <si>
    <t>_CLOSED_LSE - The Ellington Venue</t>
  </si>
  <si>
    <t>23 Hackney Rd</t>
  </si>
  <si>
    <t>Hackney</t>
  </si>
  <si>
    <t>_CLOSED_Maddington - DM Roads</t>
  </si>
  <si>
    <t>L9.J.170273</t>
  </si>
  <si>
    <t>Head office.</t>
  </si>
  <si>
    <t>_CLOSED_Malaga</t>
  </si>
  <si>
    <t>L9.J.709601</t>
  </si>
  <si>
    <t>currently ordering through canning vale cost centre</t>
  </si>
  <si>
    <t>10 Irvine Drive</t>
  </si>
  <si>
    <t>Malaga</t>
  </si>
  <si>
    <t>_CLOSED_Malaga (DMJV)</t>
  </si>
  <si>
    <t>L9.WAU.000395</t>
  </si>
  <si>
    <t>Perth Metro ISA North Depot
Office has moved to Neerabup.</t>
  </si>
  <si>
    <t>54 Weschester Road</t>
  </si>
  <si>
    <t>_CLOSED_Maylands Station</t>
  </si>
  <si>
    <t>Public Facility</t>
  </si>
  <si>
    <t>L9.J.20020041</t>
  </si>
  <si>
    <t>Facility part of spotless maintenance contract in WA - moved waste accounts to waste_wa overarching account and closing facility.</t>
  </si>
  <si>
    <t>Maylands</t>
  </si>
  <si>
    <t>_CLOSED_Meandu TXL</t>
  </si>
  <si>
    <t>L9.J.37740114</t>
  </si>
  <si>
    <t>UTIL-360.369.261.278 - Powerlink</t>
  </si>
  <si>
    <t>Ridge Road Tarong QLD 4615</t>
  </si>
  <si>
    <t>_CLOSED_Melbourne - 468 St Kilda Rd</t>
  </si>
  <si>
    <t>Office vacated in August 2015</t>
  </si>
  <si>
    <t>Level 11, 468 St Kilda Road</t>
  </si>
  <si>
    <t>_CLOSED_Mornington</t>
  </si>
  <si>
    <t>L9.J.17020077</t>
  </si>
  <si>
    <t>337 Racecourse Road</t>
  </si>
  <si>
    <t>_CLOSED_Mt Evelyn</t>
  </si>
  <si>
    <t>L9.J.170258</t>
  </si>
  <si>
    <t>115 Hereford Road</t>
  </si>
  <si>
    <t>Mt Evelyn</t>
  </si>
  <si>
    <t>_CLOSED_Mt Thorley - Engineering</t>
  </si>
  <si>
    <t>L9.ENG.360.01420</t>
  </si>
  <si>
    <t>6 Woodland Road</t>
  </si>
  <si>
    <t>Mt Thorley</t>
  </si>
  <si>
    <t>_CLOSED_Newcastle Light Rail</t>
  </si>
  <si>
    <t>L9.J.70960002</t>
  </si>
  <si>
    <t>Argyle Street</t>
  </si>
  <si>
    <t>Newcastle</t>
  </si>
  <si>
    <t>_CLOSED_NSW / ACT Plant and OH</t>
  </si>
  <si>
    <t>L9.J.200411</t>
  </si>
  <si>
    <t>_CLOSED_NW Tas Maint</t>
  </si>
  <si>
    <t>L9.J.17021160</t>
  </si>
  <si>
    <t>10b Industrial Drive</t>
  </si>
  <si>
    <t>Ulverstone</t>
  </si>
  <si>
    <t>_CLOSED_NZ_Niue</t>
  </si>
  <si>
    <t>L9.DNZJ.DI0001</t>
  </si>
  <si>
    <t>Niue</t>
  </si>
  <si>
    <t>_CLOSED_NZ-AE Smith - New Zealand</t>
  </si>
  <si>
    <t>Unspecified</t>
  </si>
  <si>
    <t>L9.S.23016541</t>
  </si>
  <si>
    <t>R51</t>
  </si>
  <si>
    <t>_CLOSED_NZ-BP_Auckland_135 Albert St Façade Works</t>
  </si>
  <si>
    <t>L9.DNZ.HA0376</t>
  </si>
  <si>
    <t>Project Site - Building Construction - New location established following purchase of Hawkins 2024 - Auckland Council</t>
  </si>
  <si>
    <t>135 Albert Street, Auckland CBD</t>
  </si>
  <si>
    <t>_CLOSED_NZ-BP_Auckland_AIAL Pier B Extension</t>
  </si>
  <si>
    <t>L9.DNZ.HA0156</t>
  </si>
  <si>
    <t>Project Site - Building Construction - New location established following purchase of Hawkins 2020 - Auckland Airport Limited</t>
  </si>
  <si>
    <t>AIAL 10 Manu Tapu Drive, Auckland CBD</t>
  </si>
  <si>
    <t>_CLOSED_NZ-BP_Auckland_ATEED Mason Brothers</t>
  </si>
  <si>
    <t>L9.DNZ.HC0349</t>
  </si>
  <si>
    <t>Project Site - Building Construction - New location established following purchase of Hawkins 2023 - Ateed</t>
  </si>
  <si>
    <t>12 Madden Street, Auckland CBD</t>
  </si>
  <si>
    <t>_CLOSED_NZ-BP_Auckland_Middlemore Hospital Scott B</t>
  </si>
  <si>
    <t>L9.DNZ.HA0171</t>
  </si>
  <si>
    <t>_CLOSED_NZ-BP_Auckland_Park Hyatt Auckland Hotel_J</t>
  </si>
  <si>
    <t>L9.DNZ.CH001</t>
  </si>
  <si>
    <t>Project Site - Building Construction - New location established following purchase of Hawkins 2027 - Auckland Hotel Investments Limited</t>
  </si>
  <si>
    <t>99-135 Halsley Street, Auckland CBD</t>
  </si>
  <si>
    <t>_CLOSED_NZ-BP_Central_Cook Street Social Club</t>
  </si>
  <si>
    <t>L9.DNZJ.149080</t>
  </si>
  <si>
    <t>Project Site - Building Construction - New location established following purchase of Hawkins 2038 - Odd Fellows Hospitality Ltd</t>
  </si>
  <si>
    <t>7 Cook Street, Hamilton East</t>
  </si>
  <si>
    <t>_CLOSED_NZ-BP_Central_Gilmours Fitout from Basebui</t>
  </si>
  <si>
    <t>L9.DNZ.HC0319</t>
  </si>
  <si>
    <t>Project Site - Building Construction - New location established following purchase of Hawkins 2041 - Foodstuffs North Island Limited</t>
  </si>
  <si>
    <t>31 Taurikura Drive, Tauriko</t>
  </si>
  <si>
    <t>_CLOSED_NZ-BP_Central_Red Stag New Planer Mill</t>
  </si>
  <si>
    <t>L9.DNZ.HC0322</t>
  </si>
  <si>
    <t>Project Site - Building Construction - New location established following purchase of Hawkins 2036 - Red Stag Timber Ltd</t>
  </si>
  <si>
    <t>Waipa State Mill Road, Whakarewarewa</t>
  </si>
  <si>
    <t>_CLOSED_NZ-BP_Central_Skycity L3 Office Redevelopm</t>
  </si>
  <si>
    <t>L9.DNZ.HC0332</t>
  </si>
  <si>
    <t>Project Site - Building Construction - New location established following purchase of Hawkins 2040 - Sky City Hamilton Limited</t>
  </si>
  <si>
    <t>346 Victoria Street, Hamilton Central</t>
  </si>
  <si>
    <t>_CLOSED_NZ-BP_Central_Tauranga Crossing Stage 2</t>
  </si>
  <si>
    <t>L9.DNZ.HC0318</t>
  </si>
  <si>
    <t>Project Site - Building Construction - New location established following purchase of Hawkins 2033 - Tauranga Crossing Ltd</t>
  </si>
  <si>
    <t>2 Taurikura Drive, Tauriko</t>
  </si>
  <si>
    <t>_CLOSED_NZ-BP_Central_UOW Tauranga Campus</t>
  </si>
  <si>
    <t>L9.DNZ.HC0321</t>
  </si>
  <si>
    <t>Project Site - Building Construction - New location established following purchase of Hawkins 2035 - The University of Waikato</t>
  </si>
  <si>
    <t>Durham Street</t>
  </si>
  <si>
    <t>_CLOSED_NZ-BP_South-Island_Ashburton Fire Station</t>
  </si>
  <si>
    <t>L9.DNZ.HI0316</t>
  </si>
  <si>
    <t>Project Site - Building Construction - New location established following purchase of Hawkins 2075 - New Zealand Fire Service</t>
  </si>
  <si>
    <t>332 Burnett Street</t>
  </si>
  <si>
    <t>Ashburton</t>
  </si>
  <si>
    <t>_CLOSED_NZ-BP_South-Island_Balclutha Primary Schoo</t>
  </si>
  <si>
    <t>L9.DNZ.HI0320</t>
  </si>
  <si>
    <t>Project Site - Building Construction - New location established following purchase of Hawkins 2079 - Balclutha Primary School Board</t>
  </si>
  <si>
    <t>19 Lanark Street</t>
  </si>
  <si>
    <t>_CLOSED_NZ-BP_South-Island_CIAL Swirl Replacement</t>
  </si>
  <si>
    <t>L9.DNZJ.55533</t>
  </si>
  <si>
    <t>Project Site - Building Construction - New location established following purchase of Hawkins 2069 - Airways Corporation of NZ</t>
  </si>
  <si>
    <t>Christchurch Airport,Orchard Road</t>
  </si>
  <si>
    <t>_CLOSED_NZ-BP_South-Island_KEB DOSE Café Fitout</t>
  </si>
  <si>
    <t>L9.DNZ.HI0315</t>
  </si>
  <si>
    <t>Project Site - Building Construction - New location established following purchase of Hawkins 2071 - WESTEND STORIES LIMITED</t>
  </si>
  <si>
    <t>65 Cashel Street</t>
  </si>
  <si>
    <t>_CLOSED_NZ-BP_South-Island_KOHA Fitness Fitout</t>
  </si>
  <si>
    <t>L9.S.26017887</t>
  </si>
  <si>
    <t>Project Site - Building Construction - New location established following purchase of Hawkins 2077 - Koha Fitness Christchurch Limi</t>
  </si>
  <si>
    <t>48 Hereford Street</t>
  </si>
  <si>
    <t>_CLOSED_NZ-BP_South-Island_KPMG Office Fitout</t>
  </si>
  <si>
    <t>L9.DNZ.HI0322</t>
  </si>
  <si>
    <t>Project Site - Building Construction - New location established following purchase of Hawkins 2081 - KPMG</t>
  </si>
  <si>
    <t>90 Hereford Street</t>
  </si>
  <si>
    <t>_CLOSED_NZ-BP_South-Island_La Residence Du Parc</t>
  </si>
  <si>
    <t>L9.DNZ.HS0128</t>
  </si>
  <si>
    <t>Project Site - Building Construction - New location established following purchase of Hawkins 2065 - Residence Du Parc Limited</t>
  </si>
  <si>
    <t>154 Arthurs Point Road, Arthurs Point</t>
  </si>
  <si>
    <t>Central Otago</t>
  </si>
  <si>
    <t>_CLOSED_NZ-BP_South-Island_Mainstream Building Upg</t>
  </si>
  <si>
    <t>L9.DNZ.HI0319</t>
  </si>
  <si>
    <t>Project Site - Building Construction - New location established following purchase of Hawkins 2078 - Saltire Trust</t>
  </si>
  <si>
    <t>6 Jipcho Place, Sockburn</t>
  </si>
  <si>
    <t>_CLOSED_NZ-BP_South-Island_NZ Post Small Works 201</t>
  </si>
  <si>
    <t>Project Site - Building Construction - New location established following purchase of Hawkins 2068 - NZ Post Properties</t>
  </si>
  <si>
    <t>Various - supported from Unit 14 Barry Hogan Place</t>
  </si>
  <si>
    <t>_CLOSED_NZ-BP_South-Island_Opus Int Office Fitout</t>
  </si>
  <si>
    <t>L9.DNZ.HI0306</t>
  </si>
  <si>
    <t>Project Site - Building Construction - New location established following purchase of Hawkins 2067 - Opus International Consultants</t>
  </si>
  <si>
    <t>Level 1, Five Mile Centre, Grant Road, Frankton</t>
  </si>
  <si>
    <t>_CLOSED_NZ-BP_South-Island_Pacific After Hours Rad</t>
  </si>
  <si>
    <t>L9.DNZ.HI0305</t>
  </si>
  <si>
    <t>Project Site - Building Construction - New location established following purchase of Hawkins 2066 - Pacific Radiology</t>
  </si>
  <si>
    <t>401 Madras Street</t>
  </si>
  <si>
    <t>_CLOSED_NZ-BP_South-Island_Skope Warehouse Extensi</t>
  </si>
  <si>
    <t>L9.DNZ.HI0310</t>
  </si>
  <si>
    <t>Project Site - Building Construction - New location established following purchase of Hawkins 2070 - Skope Industries Ltd</t>
  </si>
  <si>
    <t>Princess Street, Addington</t>
  </si>
  <si>
    <t>_CLOSED_NZ-BP_South-Island_Terraces-Stage-1 - BLD</t>
  </si>
  <si>
    <t>L9.DNZJ.700097</t>
  </si>
  <si>
    <t>Project Site - Building Construction - New location established following purchase of Hawkins 2062 - Hereford Holdings Limited</t>
  </si>
  <si>
    <t>_CLOSED_NZ-BP_South-Island_Terraces-Stage-2 - Buil</t>
  </si>
  <si>
    <t>Project Site - Building Construction - New location established following purchase of Hawkins 2060 - The Terrace on Avon Ltd</t>
  </si>
  <si>
    <t>90 Hereford Street, Christchurch</t>
  </si>
  <si>
    <t>_CLOSED_NZ-BP_South-Island_Tower Junction Building</t>
  </si>
  <si>
    <t>L9.DNZ.HS0127</t>
  </si>
  <si>
    <t>Project Site - Building Construction - New location established following purchase of Hawkins 2064 - Ngai Tahu Property Limited</t>
  </si>
  <si>
    <t>Whiteleigh Avenue</t>
  </si>
  <si>
    <t>_CLOSED_NZ-BP_South-Island_Westpac -SHF Fitout</t>
  </si>
  <si>
    <t>Project Site - Building Construction - New location established following purchase of Hawkins 2076 - WESTPAC NZ INVESTMENTS LTD</t>
  </si>
  <si>
    <t>83 Cashel Street</t>
  </si>
  <si>
    <t>_CLOSED_NZ-BP_South-Island_Westpac-on-the-Terrace</t>
  </si>
  <si>
    <t>Project Site - Building Construction - New location established following purchase of Hawkins 2082 - WESTPAC NZ INVESTMENTS LTD</t>
  </si>
  <si>
    <t>_CLOSED_NZ-BP_South-Island_Woolston Fire Station</t>
  </si>
  <si>
    <t>L9.DNZ.HI0312</t>
  </si>
  <si>
    <t>Project Site - Building Construction - New location established following purchase of Hawkins 2072 - New Zealand Fire Service</t>
  </si>
  <si>
    <t>925 Ferry Road, Woolston</t>
  </si>
  <si>
    <t>_CLOSED_NZ-BP_Wellington_Callaghan MSL Project</t>
  </si>
  <si>
    <t>L9.DNZ.HW0165</t>
  </si>
  <si>
    <t>Project Site - Building Construction - New location established following purchase of Hawkins 2056 - Callaghan Innovation</t>
  </si>
  <si>
    <t>69 Gracefield Road, Lower Hutt</t>
  </si>
  <si>
    <t>_CLOSED_NZ-BP_Wellington_Kiwibank Fitout</t>
  </si>
  <si>
    <t>L9.DNZ.HW0158</t>
  </si>
  <si>
    <t>Project Site - Building Construction - New location established following purchase of Hawkins 2055 - Kiwibank Limited</t>
  </si>
  <si>
    <t>20 Customhouse Quay, Thorndon</t>
  </si>
  <si>
    <t>_CLOSED_NZ-BP_Wellington_Laby Building Level 2 LAB</t>
  </si>
  <si>
    <t>L9.DNZ.HW0148</t>
  </si>
  <si>
    <t>Project Site - Building Construction - New location established following purchase of Hawkins 2051 - Victoria University of Wellington</t>
  </si>
  <si>
    <t>1-21 Kelburn Parade, Victoria University of Wellington</t>
  </si>
  <si>
    <t>_CLOSED_NZ-BP_Wellington_Scots College Boarding Ho</t>
  </si>
  <si>
    <t>L9.DNZ.HW0144</t>
  </si>
  <si>
    <t>Project Site - Building Construction - New location established following purchase of Hawkins 2047 - Scots College Incorporated</t>
  </si>
  <si>
    <t>1 Monorgan Road, Strathmore Park</t>
  </si>
  <si>
    <t>Brooklyn</t>
  </si>
  <si>
    <t>_CLOSED_NZ-BP_Wellington_St-Pauls-Square-SHF-Contr</t>
  </si>
  <si>
    <t>L9.DNZ.HW0138</t>
  </si>
  <si>
    <t>Project Site - Building Construction - New location established following purchase of Hawkins 2046 - Department of Internal Affairs</t>
  </si>
  <si>
    <t>45-47 Pipitea Street, Thorndon</t>
  </si>
  <si>
    <t>_CLOSED_NZ-BP_Wellington_Te Papa Museum Renewal L4</t>
  </si>
  <si>
    <t>L9.DNZ.HW0145</t>
  </si>
  <si>
    <t>Project Site - Building Construction - New location established following purchase of Hawkins 2048 - Museum of New Zealand</t>
  </si>
  <si>
    <t>55 Cable Street, CBD</t>
  </si>
  <si>
    <t>_CLOSED_NZ-BP_Wellington_TW-487 PN Hospital Substa</t>
  </si>
  <si>
    <t>L9.DNZ.HW0160</t>
  </si>
  <si>
    <t>Project Site - Building Construction - New location established following purchase of Hawkins 2057 - Downer New Zealand Limited</t>
  </si>
  <si>
    <t>Ruahine St, Roslyn, Palmerston North</t>
  </si>
  <si>
    <t>Manawatu</t>
  </si>
  <si>
    <t>_CLOSED_NZ-BP_Wellington_Victoria Villas</t>
  </si>
  <si>
    <t>L9.DNZ.HW0156</t>
  </si>
  <si>
    <t>Project Site - Building Construction - New location established following purchase of Hawkins 2054 - Victoria Villas Body Corporate</t>
  </si>
  <si>
    <t>35 Pirie Street, Mt. Victoria</t>
  </si>
  <si>
    <t>Kelburn</t>
  </si>
  <si>
    <t>_CLOSED_NZ-Depot_FSU_AESmith_AucklandCBD</t>
  </si>
  <si>
    <t>L9.DUN.70110</t>
  </si>
  <si>
    <t>_CLOSED_NZ-Depot_FSU_Dunedin</t>
  </si>
  <si>
    <t>L9.DNZ.810.20162</t>
  </si>
  <si>
    <t>Support Services for FSU - added in FY19 following integration of Spotless business</t>
  </si>
  <si>
    <t>_CLOSED_NZ-Depot_FSU_Hamilton</t>
  </si>
  <si>
    <t>L9.DNZJ.159370</t>
  </si>
  <si>
    <t>_CLOSED_NZ-Depot_FSU_New Plymouth</t>
  </si>
  <si>
    <t>L9.DUN.60210</t>
  </si>
  <si>
    <t>_CLOSED_NZ-Depot_FSU_Palmerston North</t>
  </si>
  <si>
    <t>L9.DUN.1522</t>
  </si>
  <si>
    <t>_CLOSED_NZ-Depot_FSU_Util_P&amp;G_Elec_Coromandel</t>
  </si>
  <si>
    <t>L9.DNZ.810.20935</t>
  </si>
  <si>
    <t>710 Wharf Road</t>
  </si>
  <si>
    <t>Coromandel</t>
  </si>
  <si>
    <t>_CLOSED_NZ-Depot_TS_Gore</t>
  </si>
  <si>
    <t>L9.DNZJ.55672</t>
  </si>
  <si>
    <t>A</t>
  </si>
  <si>
    <t>12 Oreti Street, East Gore</t>
  </si>
  <si>
    <t>Gore</t>
  </si>
  <si>
    <t>_CLOSED_NZ-Depot_TS_Kurow (Excell)</t>
  </si>
  <si>
    <t>L9.DNZJ.55638</t>
  </si>
  <si>
    <t>2 Gordon Street</t>
  </si>
  <si>
    <t>Kurow</t>
  </si>
  <si>
    <t>_CLOSED_NZ-IP_South_Dundas-St-Bridge-Culvert-Upgra</t>
  </si>
  <si>
    <t>L9.DNZJ.DS2641</t>
  </si>
  <si>
    <t>_CLOSED_NZ-Office_BP_Central_RSO-Tauranga</t>
  </si>
  <si>
    <t>L9.DUN.1617</t>
  </si>
  <si>
    <t>Support services for projects located at numerous sites throughout Eastern BOP - New location established following purchase of Hawkins 2030</t>
  </si>
  <si>
    <t>Unit 3, 144 Third Avenue</t>
  </si>
  <si>
    <t>_CLOSED_NZ-Samoa</t>
  </si>
  <si>
    <t>L9.DNZJ.300203</t>
  </si>
  <si>
    <t>Project Site - Infrastructure Projects - New location established in FY19</t>
  </si>
  <si>
    <t>Fa‘asaleleaga</t>
  </si>
  <si>
    <t>Samoa</t>
  </si>
  <si>
    <t>_CLOSED_NZ-Support_BP_Recharges</t>
  </si>
  <si>
    <t>_CLOSED_Office_Amelia Earhart</t>
  </si>
  <si>
    <t>L9.DNZJ.91140</t>
  </si>
  <si>
    <t>Sub Let Site - New facilities established for more granular reporting and to reflect new structure for FY17. See facility named "NZ-Central Services (IT/NSC)" for historical data.</t>
  </si>
  <si>
    <t>14 Amelia Earhart Avenue, Airport Oaks</t>
  </si>
  <si>
    <t>_CLOSED_Office_BP_Auckland_HO-Auckland</t>
  </si>
  <si>
    <t>L9.DNZ.AKL</t>
  </si>
  <si>
    <t>Support services for projects located at numerous sites throughout NZ - New location established following purchase of Hawkins 2017</t>
  </si>
  <si>
    <t>60 Stanley Street, Parnell</t>
  </si>
  <si>
    <t>_CLOSED_Office_Kerrs Road</t>
  </si>
  <si>
    <t>L9.DNZJ.9016</t>
  </si>
  <si>
    <t>Corporate Central Support Services / Shared Services - New facilities established for more granular reporting and to reflect new structure for FY17. See facility named "NZ-Central Services (IT/NSC)" for historical data.</t>
  </si>
  <si>
    <t>130 Kerrs Rd</t>
  </si>
  <si>
    <t>Wiri</t>
  </si>
  <si>
    <t>_CLOSED_Office_Masterton</t>
  </si>
  <si>
    <t>L9.DNZJ.91001</t>
  </si>
  <si>
    <t>Masterton</t>
  </si>
  <si>
    <t>_CLOSED_Office_T_Christchurch</t>
  </si>
  <si>
    <t>L9.DNZJ.1992</t>
  </si>
  <si>
    <t>_CLOSED_O'Herns Rd</t>
  </si>
  <si>
    <t>L9.J.20042031</t>
  </si>
  <si>
    <t>Cheryl Ward is main contact.</t>
  </si>
  <si>
    <t>O'Herns Rd</t>
  </si>
  <si>
    <t>Epping</t>
  </si>
  <si>
    <t>_CLOSED_Orbost</t>
  </si>
  <si>
    <t>L9.J.37110047</t>
  </si>
  <si>
    <t>IP-37110047</t>
  </si>
  <si>
    <t>73 Ewings Marsh Road</t>
  </si>
  <si>
    <t>Corringle</t>
  </si>
  <si>
    <t>_CLOSED_OSM_Auckland</t>
  </si>
  <si>
    <t>L9.DNZJ.55877</t>
  </si>
  <si>
    <t>_CLOSED_OSM_Blenheim</t>
  </si>
  <si>
    <t>L9.DNZJ.55875</t>
  </si>
  <si>
    <t>_CLOSED_OSM_Canterbury</t>
  </si>
  <si>
    <t>L9.DNZJ.55835</t>
  </si>
  <si>
    <t>Support Services for OSM Waitaki contract</t>
  </si>
  <si>
    <t>_CLOSED_OSM_Kaipara</t>
  </si>
  <si>
    <t>L9.DNZJ.55264</t>
  </si>
  <si>
    <t>Dargaville</t>
  </si>
  <si>
    <t>Kaipara</t>
  </si>
  <si>
    <t>_CLOSED_OSM_Marlborough</t>
  </si>
  <si>
    <t>L9.DNZJ.55411</t>
  </si>
  <si>
    <t>_CLOSED_OSM_Ruapehu</t>
  </si>
  <si>
    <t>L9.DNZJ.55414</t>
  </si>
  <si>
    <t>_CLOSED_OSM_Stratford</t>
  </si>
  <si>
    <t>L9.DNZJ.55408</t>
  </si>
  <si>
    <t>_CLOSED_OSM_Waikato/BOP</t>
  </si>
  <si>
    <t>L9.DNZJ.66106</t>
  </si>
  <si>
    <t>_CLOSED_OSM_Wellington</t>
  </si>
  <si>
    <t>L9.DNZJ.55874</t>
  </si>
  <si>
    <t>_CLOSED_P31258 - Maribyrnong Main Sewer Augmentation</t>
  </si>
  <si>
    <t>L9.J.25820015</t>
  </si>
  <si>
    <t>UTIL-25820015</t>
  </si>
  <si>
    <t>SFP Maribyrnong Main Sewer Augmentation</t>
  </si>
  <si>
    <t>_CLOSED_PL - City West Water</t>
  </si>
  <si>
    <t>L9.DUA.105524</t>
  </si>
  <si>
    <t>638 St Kilda Road</t>
  </si>
  <si>
    <t>_CLOSED_Plant_Cranes</t>
  </si>
  <si>
    <t>L9.DNZJ.1925</t>
  </si>
  <si>
    <t>Organisation and provision of Plant to operations - New facilities established for more granular reporting and to reflect new structure for FY17. See facility named "NZ-Infrastructure Services" for historical data.</t>
  </si>
  <si>
    <t>NZ Wide - Head Office - 130 Kerrs Rd</t>
  </si>
  <si>
    <t>_CLOSED_Plant_Provisioning</t>
  </si>
  <si>
    <t>L9.DNZJ.1911</t>
  </si>
  <si>
    <t>_CLOSED_Plant_T_ UFB</t>
  </si>
  <si>
    <t>L9.DNZJ.1924</t>
  </si>
  <si>
    <t>_CLOSED_Port Augusta Rail Depot</t>
  </si>
  <si>
    <t>L9.J.20043033</t>
  </si>
  <si>
    <t>Unit 4, Flinders View (cnr National Hwy One &amp; Power Station Rd)</t>
  </si>
  <si>
    <t>Port Augusta</t>
  </si>
  <si>
    <t>_CLOSED_Port Augusta-Rail</t>
  </si>
  <si>
    <t>L9.J.709004</t>
  </si>
  <si>
    <t>Carlton Parade</t>
  </si>
  <si>
    <t>_Closed_Port Macquarie - Jindalee Rd</t>
  </si>
  <si>
    <t>L9.J.23900027</t>
  </si>
  <si>
    <t>1/37 Jindalee Road</t>
  </si>
  <si>
    <t>Port Macquarie</t>
  </si>
  <si>
    <t>_CLOSED_Port Melbourne-EC&amp;M</t>
  </si>
  <si>
    <t>L9.S.16015072</t>
  </si>
  <si>
    <t>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</si>
  <si>
    <t>Level 2 650 Lorimer St</t>
  </si>
  <si>
    <t>Port Melbourne</t>
  </si>
  <si>
    <t>_CLOSED_Power - ElectraNet SA</t>
  </si>
  <si>
    <t>L9.J.37740078</t>
  </si>
  <si>
    <t>IP-37740078</t>
  </si>
  <si>
    <t>DO_Regency Park (Adelaide)</t>
  </si>
  <si>
    <t>24 Taminga Street</t>
  </si>
  <si>
    <t>_CLOSED_Power - Substations VIC</t>
  </si>
  <si>
    <t>L9.J.37740074</t>
  </si>
  <si>
    <t>_CLOSED_Printing</t>
  </si>
  <si>
    <t>L9.J.104</t>
  </si>
  <si>
    <t>_CLOSED_Pymble Underpass Upgrade</t>
  </si>
  <si>
    <t>Public Amenity</t>
  </si>
  <si>
    <t>L9.J.30130044</t>
  </si>
  <si>
    <t>_CLOSED_Q02707 - M76 Pipeline Renewal</t>
  </si>
  <si>
    <t>L9.J.25820026</t>
  </si>
  <si>
    <t>UT-25820026 - M76 Water Main Renewal</t>
  </si>
  <si>
    <t>_CLOSED_Q04385 - Yan Yean WTP Upgrade</t>
  </si>
  <si>
    <t>L9.J.25860002</t>
  </si>
  <si>
    <t>UTIL-25860002</t>
  </si>
  <si>
    <t>SFP Yan Yean WTP Upgrade</t>
  </si>
  <si>
    <t>_CLOSED_Q05102 - ETP WAS Capacity Upgrade Project</t>
  </si>
  <si>
    <t>L9.J.25820011</t>
  </si>
  <si>
    <t>UTIL-25820011</t>
  </si>
  <si>
    <t>SFP ETP WAS Capacity Upgrade Project</t>
  </si>
  <si>
    <t>_CLOSED_Q05322 - Yan Yean Pump Station</t>
  </si>
  <si>
    <t>L9.J.25820020</t>
  </si>
  <si>
    <t>UTIL-25820020 - Yan Yean Pumping Station</t>
  </si>
  <si>
    <t>_CLOSED_Q05333 - Yan Yean Bald Hill Pipeline</t>
  </si>
  <si>
    <t>L9.J.25820021</t>
  </si>
  <si>
    <t>_CLOSED_QLD (DMJV)</t>
  </si>
  <si>
    <t>L9.J.17020953</t>
  </si>
  <si>
    <t>Multiple Depots:
Nov 2019: 28 ENTERPRISE ST KUNDA PARK QLD 4556</t>
  </si>
  <si>
    <t>21 Lear Jet Drive</t>
  </si>
  <si>
    <t>Caboolture</t>
  </si>
  <si>
    <t>_CLOSED_Quarry_Bartletts</t>
  </si>
  <si>
    <t>L9.DNZJ.55330</t>
  </si>
  <si>
    <t>Quarrying of construction materials - New facilities established for more granular reporting and to reflect new structure for FY17. See facility named "NZ-Infrastructure Services" for historical data.</t>
  </si>
  <si>
    <t>272 Bartlett Road</t>
  </si>
  <si>
    <t>Appleby</t>
  </si>
  <si>
    <t>Tasman</t>
  </si>
  <si>
    <t>Brightwater</t>
  </si>
  <si>
    <t>091</t>
  </si>
  <si>
    <t>_CLOSED_Quarry_Marsden</t>
  </si>
  <si>
    <t>L9.DNZJ.55331</t>
  </si>
  <si>
    <t>265 Marsden Valley Road, Stoke</t>
  </si>
  <si>
    <t>_CLOSED_Quarry_WOK</t>
  </si>
  <si>
    <t>L9.DNZJ.55192</t>
  </si>
  <si>
    <t>Tiniroto Rd (Warenga-O-Kuri (WOK) Quarry), Tiniroto</t>
  </si>
  <si>
    <t>Manutuke</t>
  </si>
  <si>
    <t>_CLOSED_Recharges_BP</t>
  </si>
  <si>
    <t>L9.J.17031978</t>
  </si>
  <si>
    <t>_CLOSED_Recharges_HO_P&amp;G</t>
  </si>
  <si>
    <t>L9.DNZJ.9009</t>
  </si>
  <si>
    <t>_CLOSED_Recharges_U_Telco</t>
  </si>
  <si>
    <t>L9.DNZJ.9012</t>
  </si>
  <si>
    <t>_CLOSED_Reconomy GreenVision</t>
  </si>
  <si>
    <t>L9.J.170722</t>
  </si>
  <si>
    <t>460 Cooper Street</t>
  </si>
  <si>
    <t>_CLOSED_Reconomy Rosehill</t>
  </si>
  <si>
    <t>L9.J.17072014</t>
  </si>
  <si>
    <t>Handed back in the end of June 2022.</t>
  </si>
  <si>
    <t>_CLOSED_REV_AGIS Group Pty Limited</t>
  </si>
  <si>
    <t>R31</t>
  </si>
  <si>
    <t>_CLOSED_REV_Allied Asphalt</t>
  </si>
  <si>
    <t>L9.J.17060556</t>
  </si>
  <si>
    <t>AASPHT</t>
  </si>
  <si>
    <t>_CLOSED_REV_Asia</t>
  </si>
  <si>
    <t>_CLOSED_REV_Asset &amp; Development Services</t>
  </si>
  <si>
    <t>L9.S.13000752</t>
  </si>
  <si>
    <t>FAS3197</t>
  </si>
  <si>
    <t>_CLOSED_REV_Asset &amp; Development Services (SAP)</t>
  </si>
  <si>
    <t>_CLOSED_REV_Base &amp; Estate Management</t>
  </si>
  <si>
    <t>L9.S.16016104</t>
  </si>
  <si>
    <t>BEM</t>
  </si>
  <si>
    <t>_CLOSED_REV_BD &amp; Growth</t>
  </si>
  <si>
    <t>L9.J.24130028</t>
  </si>
  <si>
    <t>MPTEP</t>
  </si>
  <si>
    <t>_CLOSED_REV_BIA</t>
  </si>
  <si>
    <t>L9.J.170938</t>
  </si>
  <si>
    <t>RSV175-1</t>
  </si>
  <si>
    <t>_CLOSED_REV_Binders and Circular Technology</t>
  </si>
  <si>
    <t>L9.J.170944</t>
  </si>
  <si>
    <t>BCT</t>
  </si>
  <si>
    <t>_CLOSED_REV_Commercial Electrical</t>
  </si>
  <si>
    <t>L9.S.30001</t>
  </si>
  <si>
    <t>COMELC</t>
  </si>
  <si>
    <t>_CLOSED_REV_Commerical Electrical</t>
  </si>
  <si>
    <t>L9.S.13000756</t>
  </si>
  <si>
    <t>_CLOSED_REV_Confluence Water</t>
  </si>
  <si>
    <t>L9.J.241606</t>
  </si>
  <si>
    <t>UTIL700</t>
  </si>
  <si>
    <t>In April 2023, Confluence Water revenue merged with Water Services Programs and Water Services Projects NSW/VIC to become Water Services.</t>
  </si>
  <si>
    <t>_CLOSED_REV_Corporate Office</t>
  </si>
  <si>
    <t>L9.J.362001</t>
  </si>
  <si>
    <t>R64</t>
  </si>
  <si>
    <t>_CLOSED_REV_Defence</t>
  </si>
  <si>
    <t>R56</t>
  </si>
  <si>
    <t>_CLOSED_REV_Defence Overhead</t>
  </si>
  <si>
    <t>L9.J.500002</t>
  </si>
  <si>
    <t>DO</t>
  </si>
  <si>
    <t>Canberra</t>
  </si>
  <si>
    <t>_CLOSED_REV_DEP Ops &amp; Delivery</t>
  </si>
  <si>
    <t>L9.J.362005</t>
  </si>
  <si>
    <t>R34</t>
  </si>
  <si>
    <t>_CLOSED_REV_DM Roads</t>
  </si>
  <si>
    <t>R3</t>
  </si>
  <si>
    <t>_CLOSED_REV_Downer Professional Services</t>
  </si>
  <si>
    <t>L9.J.504002</t>
  </si>
  <si>
    <t>DPS</t>
  </si>
  <si>
    <t>_CLOSED_REV_E&amp;C HO</t>
  </si>
  <si>
    <t>L9.J.372011</t>
  </si>
  <si>
    <t>R27</t>
  </si>
  <si>
    <t>_CLOSED_REV_EC&amp;M Head Office &amp; Management</t>
  </si>
  <si>
    <t>L9.WAU.000812</t>
  </si>
  <si>
    <t>_CLOSED_REV_Eden Park Catering</t>
  </si>
  <si>
    <t>L9.S.24000164</t>
  </si>
  <si>
    <t>L9.S.26017124</t>
  </si>
  <si>
    <t>_CLOSED_REV_EDI Rail- Bombardier Transportation</t>
  </si>
  <si>
    <t>L9.S.16008024</t>
  </si>
  <si>
    <t>ERBT</t>
  </si>
  <si>
    <t>_CLOSED_REV_Emulco</t>
  </si>
  <si>
    <t>EMU</t>
  </si>
  <si>
    <t>_CLOSED_REV_Energy</t>
  </si>
  <si>
    <t>L9.J.230500</t>
  </si>
  <si>
    <t>_CLOSED_REV_Engineering</t>
  </si>
  <si>
    <t>L9.J.39210066</t>
  </si>
  <si>
    <t>UTIL-359</t>
  </si>
  <si>
    <t>_CLOSED_REV_Engineering IPD</t>
  </si>
  <si>
    <t>L9.J.377101</t>
  </si>
  <si>
    <t>IP359</t>
  </si>
  <si>
    <t>_CLOSED_REV_Envista Pty Ltd</t>
  </si>
  <si>
    <t>L9.J.50050002</t>
  </si>
  <si>
    <t>R33</t>
  </si>
  <si>
    <t>_CLOSED_REV_Estate Development &amp; Base Upgrades</t>
  </si>
  <si>
    <t>R71</t>
  </si>
  <si>
    <t>_CLOSED_REV_FAS Support</t>
  </si>
  <si>
    <t>FSO</t>
  </si>
  <si>
    <t>Creating new location to align to finance naming change in FY23 - previous name was "FAS Support Overhead".</t>
  </si>
  <si>
    <t>_CLOSED_REV_FAS Support Overhead</t>
  </si>
  <si>
    <t>_CLOSED_REV_Fowlers Asphalting</t>
  </si>
  <si>
    <t>L9.J.17030829</t>
  </si>
  <si>
    <t>Separating out Fowlers Revenue from Roads &gt; Pavements. This was done to allow time for the acquisition to set up a baseline intensity.</t>
  </si>
  <si>
    <t>_CLOSED_REV_FY20_Asset &amp; Development Services</t>
  </si>
  <si>
    <t>L9.S.12000330</t>
  </si>
  <si>
    <t>_CLOSED_REV_FY20_Corporate</t>
  </si>
  <si>
    <t>L9.WAU.000895</t>
  </si>
  <si>
    <t>_CLOSED_REV_FY20_DNZ-New Zealand</t>
  </si>
  <si>
    <t>L9.DNZJ.91000</t>
  </si>
  <si>
    <t>_CLOSED_REV_FY20_Downer Defence</t>
  </si>
  <si>
    <t>L9.J.500004</t>
  </si>
  <si>
    <t>_CLOSED_REV_FY20_Facilities &amp; Asset Services</t>
  </si>
  <si>
    <t>L9.S.11000190</t>
  </si>
  <si>
    <t>_CLOSED_REV_FY20_Infrastructure Projects</t>
  </si>
  <si>
    <t>L9.J.200998</t>
  </si>
  <si>
    <t>_CLOSED_REV_FY20_Mineral Technologies</t>
  </si>
  <si>
    <t>L9.ENG.360.01200</t>
  </si>
  <si>
    <t>_CLOSED_REV_FY20_Rail &amp; Transit Systems</t>
  </si>
  <si>
    <t>L9.J.70930031</t>
  </si>
  <si>
    <t>_CLOSED_REV_FY20_Road Services</t>
  </si>
  <si>
    <t>L9.J.170600</t>
  </si>
  <si>
    <t>REV_FY20_RoadServices</t>
  </si>
  <si>
    <t>_CLOSED_REV_FY20_Utilities</t>
  </si>
  <si>
    <t>L9.J.247103</t>
  </si>
  <si>
    <t>_CLOSED_REV_Government &amp; Citizen Services</t>
  </si>
  <si>
    <t>L9.S.13000740</t>
  </si>
  <si>
    <t>Creating new location to account for the new financial naming "Government &amp; IFM". Previous location ref: R53; Ref No: L9.S.3174.001.999.10</t>
  </si>
  <si>
    <t>_CLOSED_REV_Government &amp; IFM</t>
  </si>
  <si>
    <t>L9.S.14000947</t>
  </si>
  <si>
    <t>GOVIFM</t>
  </si>
  <si>
    <t>Previous location was "REV_Government &amp; Citizen Services" in FY22.</t>
  </si>
  <si>
    <t>_CLOSED_REV_HCMT</t>
  </si>
  <si>
    <t>L9.J.20042010</t>
  </si>
  <si>
    <t>R62</t>
  </si>
  <si>
    <t>_CLOSED_REV_Health &amp; Education</t>
  </si>
  <si>
    <t>R55</t>
  </si>
  <si>
    <t>_CLOSED_REV_Hospitality</t>
  </si>
  <si>
    <t>L9.S.13000909</t>
  </si>
  <si>
    <t>R54</t>
  </si>
  <si>
    <t>_CLOSED_REV_Indirect Overhead (IPD)</t>
  </si>
  <si>
    <t>_CLOSED_REV_Industrial</t>
  </si>
  <si>
    <t>L9.J.30050001</t>
  </si>
  <si>
    <t>R28</t>
  </si>
  <si>
    <t>_CLOSED_REV_Industrial &amp; Marine</t>
  </si>
  <si>
    <t>L9.J.38220031</t>
  </si>
  <si>
    <t>_CLOSED_REV_Infrastructure and Construction incl. Comm</t>
  </si>
  <si>
    <t>L9.S.13001196</t>
  </si>
  <si>
    <t>R57</t>
  </si>
  <si>
    <t>_CLOSED_REV_Infrastructure Projects Engineering</t>
  </si>
  <si>
    <t>R14</t>
  </si>
  <si>
    <t>_CLOSED_REV_Infrastructure Projects HO Total</t>
  </si>
  <si>
    <t>L9.D.201201</t>
  </si>
  <si>
    <t>_CLOSED_REV_Infrastructure Projects Legacy</t>
  </si>
  <si>
    <t>L9.J.232100</t>
  </si>
  <si>
    <t>R69</t>
  </si>
  <si>
    <t>_CLOSED_REV_Infrastructure Projects NSW</t>
  </si>
  <si>
    <t>L9.J.20061001</t>
  </si>
  <si>
    <t>R11</t>
  </si>
  <si>
    <t>_CLOSED_REV_Infrastructure Projects QLD &amp; Power</t>
  </si>
  <si>
    <t>L9.J.37200206</t>
  </si>
  <si>
    <t>R10</t>
  </si>
  <si>
    <t>_CLOSED_REV_Infrastructure Projects Southern</t>
  </si>
  <si>
    <t>L9.WAU.4912</t>
  </si>
  <si>
    <t>R8</t>
  </si>
  <si>
    <t>_CLOSED_REV_Intra Elim</t>
  </si>
  <si>
    <t>L9.J.150221</t>
  </si>
  <si>
    <t>IE</t>
  </si>
  <si>
    <t>_CLOSED_REV_Intra Elimination</t>
  </si>
  <si>
    <t>R68</t>
  </si>
  <si>
    <t>_CLOSED_REV_IP_Miscellaneous</t>
  </si>
  <si>
    <t>L9.J.200304</t>
  </si>
  <si>
    <t>_CLOSED_REV_Isaac Asphalt</t>
  </si>
  <si>
    <t>ISAAT</t>
  </si>
  <si>
    <t>_CLOSED_REV_Keolis Downer</t>
  </si>
  <si>
    <t>L9.KD.YT.9216</t>
  </si>
  <si>
    <t>R67</t>
  </si>
  <si>
    <t>Joint Ventures</t>
  </si>
  <si>
    <t>_CLOSED_REV_Major Projects &amp; Tenders</t>
  </si>
  <si>
    <t>L9.J.372001</t>
  </si>
  <si>
    <t>R13</t>
  </si>
  <si>
    <t>_CLOSED_REV_Major Projects Tenders and Project Support</t>
  </si>
  <si>
    <t>L9.WAU.4931</t>
  </si>
  <si>
    <t>RMPTPS</t>
  </si>
  <si>
    <t>_CLOSED_REV_Managed Solutions Projects</t>
  </si>
  <si>
    <t>MSP</t>
  </si>
  <si>
    <t>_CLOSED_REV_MD Mineral Technologies Private Limited</t>
  </si>
  <si>
    <t>R21</t>
  </si>
  <si>
    <t>_CLOSED_REV_MD Mineral Technologies SA (Pty) Ltd</t>
  </si>
  <si>
    <t>L9.MIN.DMT.8021</t>
  </si>
  <si>
    <t>R24</t>
  </si>
  <si>
    <t>_CLOSED_REV_Metallurgical Lab</t>
  </si>
  <si>
    <t>L9.J.39510005</t>
  </si>
  <si>
    <t>METLAB</t>
  </si>
  <si>
    <t>_CLOSED_REV_Metering Services</t>
  </si>
  <si>
    <t>L9.S.13000901</t>
  </si>
  <si>
    <t>METSER</t>
  </si>
  <si>
    <t>_CLOSED_REV_Mineral Technologies Comercio de Equipamen</t>
  </si>
  <si>
    <t>L9.MIN.DMT.8259</t>
  </si>
  <si>
    <t>R20</t>
  </si>
  <si>
    <t>_CLOSED_REV_Mineral Technologies Pty Ltd</t>
  </si>
  <si>
    <t>L9.J.395102</t>
  </si>
  <si>
    <t>R22</t>
  </si>
  <si>
    <t>_CLOSED_REV_Mineral Technologies Pty Ltd - Elim Inv In</t>
  </si>
  <si>
    <t>L9.J.405201</t>
  </si>
  <si>
    <t>R23</t>
  </si>
  <si>
    <t>_CLOSED_REV_Mineral Technologies, Inc.</t>
  </si>
  <si>
    <t>L9.J.395101</t>
  </si>
  <si>
    <t>R25</t>
  </si>
  <si>
    <t>_CLOSED_REV_Mining HO</t>
  </si>
  <si>
    <t>L9.J.10900018</t>
  </si>
  <si>
    <t>MINHO</t>
  </si>
  <si>
    <t>_CLOSED_REV_MSP Downer Defence Services</t>
  </si>
  <si>
    <t>L9.J.500007</t>
  </si>
  <si>
    <t>R32</t>
  </si>
  <si>
    <t>_CLOSED_REV_MT BD &amp; Int'l Operations</t>
  </si>
  <si>
    <t>L9.MIN.DPE.8732</t>
  </si>
  <si>
    <t>MTBD</t>
  </si>
  <si>
    <t>_CLOSED_REV_MT Engineering Services Aus</t>
  </si>
  <si>
    <t>L9.ENG.360.11103</t>
  </si>
  <si>
    <t>MTESA</t>
  </si>
  <si>
    <t>_CLOSED_REV_MT Equipment and R&amp;D Aus</t>
  </si>
  <si>
    <t>MTE&amp;R&amp;D</t>
  </si>
  <si>
    <t>_CLOSED_REV_NZ - NSC, IT, Property, WF &amp; Elins</t>
  </si>
  <si>
    <t>L9.DNZJ.9060</t>
  </si>
  <si>
    <t>NZNSC</t>
  </si>
  <si>
    <t>_CLOSED_REV_NZ Facilities</t>
  </si>
  <si>
    <t>L9.DNZJ.65901</t>
  </si>
  <si>
    <t>NZF</t>
  </si>
  <si>
    <t>_CLOSED_REV_NZ Head Office and Elim</t>
  </si>
  <si>
    <t>L9.WAU.000824</t>
  </si>
  <si>
    <t>_CLOSED_REV_NZ Transport</t>
  </si>
  <si>
    <t>NZT</t>
  </si>
  <si>
    <t>_CLOSED_REV_NZ Utilities</t>
  </si>
  <si>
    <t>L9.DNZJ.63990</t>
  </si>
  <si>
    <t>NZU</t>
  </si>
  <si>
    <t>_CLOSED_REV_NZ-DNZ - Head Office incl Fin &amp; Elims</t>
  </si>
  <si>
    <t>R47</t>
  </si>
  <si>
    <t>_CLOSED_REV_NZ-Downer NZ - Building Projects</t>
  </si>
  <si>
    <t>Agency</t>
  </si>
  <si>
    <t>L9.DNZJ.55653</t>
  </si>
  <si>
    <t>R45</t>
  </si>
  <si>
    <t>_CLOSED_REV_NZ-Downer NZ - Facilities Services &amp; Utili</t>
  </si>
  <si>
    <t>L9.S.21000010</t>
  </si>
  <si>
    <t>R46</t>
  </si>
  <si>
    <t>_CLOSED_REV_NZ-Downer NZ - Infrastructure Projects</t>
  </si>
  <si>
    <t>L9.DNZJ.DN1190</t>
  </si>
  <si>
    <t>R44</t>
  </si>
  <si>
    <t>_CLOSED_REV_NZ-Downer NZ - Transport Services</t>
  </si>
  <si>
    <t>L9.DNZJ.55902</t>
  </si>
  <si>
    <t>R43</t>
  </si>
  <si>
    <t>_CLOSED_REV_NZ-Facilities Management</t>
  </si>
  <si>
    <t>L9.S.24000127</t>
  </si>
  <si>
    <t>R48</t>
  </si>
  <si>
    <t>_CLOSED_REV_NZ-Hospitality &amp; Soft Services</t>
  </si>
  <si>
    <t>L9.S.23000773</t>
  </si>
  <si>
    <t>R50</t>
  </si>
  <si>
    <t>_CLOSED_REV_NZ-Support - New Zealand</t>
  </si>
  <si>
    <t>L9.S.23000796</t>
  </si>
  <si>
    <t>R52</t>
  </si>
  <si>
    <t>_CLOSED_REV_Oil &amp; Gas</t>
  </si>
  <si>
    <t>L9.J.382155</t>
  </si>
  <si>
    <t>R30</t>
  </si>
  <si>
    <t>_CLOSED_REV_Pavements</t>
  </si>
  <si>
    <t>R70</t>
  </si>
  <si>
    <t>_CLOSED_REV_Plant (IPD)</t>
  </si>
  <si>
    <t>L9.J.200303</t>
  </si>
  <si>
    <t>ENC371-1</t>
  </si>
  <si>
    <t>_CLOSED_REV_Plant and Asset Management (Roads)</t>
  </si>
  <si>
    <t>L9.J.170239</t>
  </si>
  <si>
    <t>PAM</t>
  </si>
  <si>
    <t>_CLOSED_REV_PMS</t>
  </si>
  <si>
    <t>L9.J.101</t>
  </si>
  <si>
    <t>R61</t>
  </si>
  <si>
    <t>_CLOSED_REV_Power &amp; Energy</t>
  </si>
  <si>
    <t>L9.ENG.310.10441</t>
  </si>
  <si>
    <t>FAS363</t>
  </si>
  <si>
    <t>_CLOSED_REV_Power &amp; Gas Distribution Network</t>
  </si>
  <si>
    <t>UTIL246</t>
  </si>
  <si>
    <t>Name change to "Energy" occurred in FY23.</t>
  </si>
  <si>
    <t>_CLOSED_REV_Power Generation</t>
  </si>
  <si>
    <t>L9.S.13001081</t>
  </si>
  <si>
    <t>R701</t>
  </si>
  <si>
    <t>_CLOSED_REV_Power Legacy</t>
  </si>
  <si>
    <t>L9.J.37200003</t>
  </si>
  <si>
    <t>PWRLG</t>
  </si>
  <si>
    <t>_CLOSED_REV_Power Systems</t>
  </si>
  <si>
    <t>L9.J.240116</t>
  </si>
  <si>
    <t>POWSYS</t>
  </si>
  <si>
    <t>_CLOSED_REV_Power, Gas and Communications</t>
  </si>
  <si>
    <t>L9.J.234001</t>
  </si>
  <si>
    <t>R16</t>
  </si>
  <si>
    <t>_CLOSED_REV_QCC Resources</t>
  </si>
  <si>
    <t>L9.J.39530161</t>
  </si>
  <si>
    <t>R26</t>
  </si>
  <si>
    <t>_CLOSED_REV_QLD &amp; Power</t>
  </si>
  <si>
    <t>L9.J.20045014</t>
  </si>
  <si>
    <t>IP360</t>
  </si>
  <si>
    <t>_CLOSED_REV_Rail Services Victoria Pty Ltd</t>
  </si>
  <si>
    <t>L9.J.10900002</t>
  </si>
  <si>
    <t>RailSV</t>
  </si>
  <si>
    <t>_CLOSED_REV_Rail Systems Engineering</t>
  </si>
  <si>
    <t>L9.WAU.000633</t>
  </si>
  <si>
    <t>IP205</t>
  </si>
  <si>
    <t>_CLOSED_REV_Reconomy</t>
  </si>
  <si>
    <t>L9.J.170720</t>
  </si>
  <si>
    <t>RSV172</t>
  </si>
  <si>
    <t>_CLOSED_REV_Reconomy Total</t>
  </si>
  <si>
    <t>R5</t>
  </si>
  <si>
    <t>_CLOSED_REV_Repurpose IT</t>
  </si>
  <si>
    <t>L9.J.190101</t>
  </si>
  <si>
    <t>RSV172-1</t>
  </si>
  <si>
    <t>_CLOSED_REV_Resources</t>
  </si>
  <si>
    <t>L9.J.505002</t>
  </si>
  <si>
    <t>Reso</t>
  </si>
  <si>
    <t>_CLOSED_REV_Road Services HO</t>
  </si>
  <si>
    <t>L9.J.170100</t>
  </si>
  <si>
    <t>RRSHO</t>
  </si>
  <si>
    <t>_CLOSED_REV_Roads Bitumen</t>
  </si>
  <si>
    <t>R4</t>
  </si>
  <si>
    <t>_CLOSED_REV_Roads HO Total</t>
  </si>
  <si>
    <t>L9.J.170333</t>
  </si>
  <si>
    <t>R1</t>
  </si>
  <si>
    <t>_CLOSED_REV_Roads Plant</t>
  </si>
  <si>
    <t>L9.J.17090179</t>
  </si>
  <si>
    <t>R6</t>
  </si>
  <si>
    <t>For revenue only, do not use</t>
  </si>
  <si>
    <t>_CLOSED_REV_Rolling Stock (NSW)</t>
  </si>
  <si>
    <t>L9.J.710001</t>
  </si>
  <si>
    <t>R18</t>
  </si>
  <si>
    <t>_CLOSED_REV_Rolling Stock (QLD/VIC)</t>
  </si>
  <si>
    <t>L9.J.70920032</t>
  </si>
  <si>
    <t>R19</t>
  </si>
  <si>
    <t>_CLOSED_REV_RPQ Group</t>
  </si>
  <si>
    <t>L9.J.17040344</t>
  </si>
  <si>
    <t>RPQ</t>
  </si>
  <si>
    <t>_CLOSED_REV_RTS Head Office</t>
  </si>
  <si>
    <t>L9.J.709001</t>
  </si>
  <si>
    <t>RSS-HO</t>
  </si>
  <si>
    <t>_CLOSED_REV_RTS NSW</t>
  </si>
  <si>
    <t>L9.J.709305</t>
  </si>
  <si>
    <t>RSS-NSW</t>
  </si>
  <si>
    <t>_CLOSED_REV_RTS Opportunities</t>
  </si>
  <si>
    <t>L9.J.710002</t>
  </si>
  <si>
    <t>_CLOSED_REV_RTS QLD</t>
  </si>
  <si>
    <t>L9.J.70920033</t>
  </si>
  <si>
    <t>RSS-Queensland</t>
  </si>
  <si>
    <t>_CLOSED_REV_RTS VIC</t>
  </si>
  <si>
    <t>L9.J.713002</t>
  </si>
  <si>
    <t>RSS-VIC</t>
  </si>
  <si>
    <t>_CLOSED_REV_RTS WA</t>
  </si>
  <si>
    <t>RSS-WA</t>
  </si>
  <si>
    <t>_CLOSED_REV_SGTP</t>
  </si>
  <si>
    <t>L9.J.70930030</t>
  </si>
  <si>
    <t>R63</t>
  </si>
  <si>
    <t>_CLOSED_REV_Signalling</t>
  </si>
  <si>
    <t>L9.WAU.000602</t>
  </si>
  <si>
    <t>R12</t>
  </si>
  <si>
    <t>_CLOSED_REV_South East Region</t>
  </si>
  <si>
    <t>L9.J.20043032</t>
  </si>
  <si>
    <t>IP359-1</t>
  </si>
  <si>
    <t>_CLOSED_REV_Tasmania Operations</t>
  </si>
  <si>
    <t>L9.J.17030236</t>
  </si>
  <si>
    <t>RSV178</t>
  </si>
  <si>
    <t>_CLOSED_REV_Technology &amp; Communication Services</t>
  </si>
  <si>
    <t>L9.EMS.410.10334</t>
  </si>
  <si>
    <t>UTIL245</t>
  </si>
  <si>
    <t>_CLOSED_REV_Technology &amp; Communication Services Incl. MS</t>
  </si>
  <si>
    <t>L9.WAU.000907</t>
  </si>
  <si>
    <t>_CLOSED_REV_Utilities Legacy &amp; Other</t>
  </si>
  <si>
    <t>L9.J.230101</t>
  </si>
  <si>
    <t>ULO</t>
  </si>
  <si>
    <t>_CLOSED_REV_WA - Civil &amp; Rail</t>
  </si>
  <si>
    <t>L9.WAU.000648</t>
  </si>
  <si>
    <t>WAC&amp;R</t>
  </si>
  <si>
    <t>_CLOSED_REV_Water Services</t>
  </si>
  <si>
    <t>L9.J.262101</t>
  </si>
  <si>
    <t>UTIL248</t>
  </si>
  <si>
    <t>In April 2023, Confluence Water revenue merged with Water Services Programs and Water Services Projects NSW/VIC to become Water Services. FY23 Revenue was reuploaded in Water Services.</t>
  </si>
  <si>
    <t>_CLOSED_REV_Water Services Programs</t>
  </si>
  <si>
    <t>_CLOSED_REV_Water Services Projects NSW/VIC</t>
  </si>
  <si>
    <t>L9.J.241210</t>
  </si>
  <si>
    <t>_CLOSED_REV_Water Services_OLD</t>
  </si>
  <si>
    <t>L9.J.239101</t>
  </si>
  <si>
    <t>R17</t>
  </si>
  <si>
    <t>_CLOSED_REV_ZFS Functions</t>
  </si>
  <si>
    <t>L9.ENG.570.57.570</t>
  </si>
  <si>
    <t>_CLOSED_Roads Parramatta Office</t>
  </si>
  <si>
    <t>L9.J.17012296</t>
  </si>
  <si>
    <t>R999</t>
  </si>
  <si>
    <t>Parramatta</t>
  </si>
  <si>
    <t>_CLOSED_RPQ NSW Kelso</t>
  </si>
  <si>
    <t>L9.J.17011283</t>
  </si>
  <si>
    <t>This was previously a part of NSW Spray Seal until separate depots were split out.</t>
  </si>
  <si>
    <t>24 Lee St</t>
  </si>
  <si>
    <t>Kelso</t>
  </si>
  <si>
    <t>_CLOSED_SA Project EnergyConnect (PEC)</t>
  </si>
  <si>
    <t>Project</t>
  </si>
  <si>
    <t>L9.J.37120005</t>
  </si>
  <si>
    <t>SA PEC - L9.J.37740097</t>
  </si>
  <si>
    <t>_CLOSED_SA Rail Maintenance</t>
  </si>
  <si>
    <t>115 Sherriff Street</t>
  </si>
  <si>
    <t>Underdale</t>
  </si>
  <si>
    <t>_CLOSED_SF - Chichester</t>
  </si>
  <si>
    <t>L9.J.37750007</t>
  </si>
  <si>
    <t>Data for Chichester Solar Farm, substation and transmission line under this location.</t>
  </si>
  <si>
    <t>_CLOSED_SF - Sunshine Coast</t>
  </si>
  <si>
    <t>L9.J.24130057</t>
  </si>
  <si>
    <t>909 Yandina Coolum Road</t>
  </si>
  <si>
    <t>Valdora</t>
  </si>
  <si>
    <t>_CLOSED_SFP JV</t>
  </si>
  <si>
    <t>A JV between Downer, Stantec and Abergeldie where Downer is the Principal Contractor - closed this location in Envizi and opened up locations from each project.</t>
  </si>
  <si>
    <t>_CLOSED_SI-16004840 - Second Ponds School</t>
  </si>
  <si>
    <t>School</t>
  </si>
  <si>
    <t>L9.S.16004840</t>
  </si>
  <si>
    <t>_CLOSED_Silverwater</t>
  </si>
  <si>
    <t>L9.J.170201</t>
  </si>
  <si>
    <t>Facility replaced Gladesville.</t>
  </si>
  <si>
    <t>83 Egerton st</t>
  </si>
  <si>
    <t>Silverwater</t>
  </si>
  <si>
    <t>_CLOSED_Singapore</t>
  </si>
  <si>
    <t>L9.J.115</t>
  </si>
  <si>
    <t>Moved to new office where electricity included in office rental.  No car from Jun-19</t>
  </si>
  <si>
    <t>11 Lorong 3 Toa Payoh, #03-16</t>
  </si>
  <si>
    <t>Singapore</t>
  </si>
  <si>
    <t>Singapore City</t>
  </si>
  <si>
    <t>_CLOSED_Spotless - Melbourne (549 St Kilda Road)</t>
  </si>
  <si>
    <t>South Melbourne</t>
  </si>
  <si>
    <t>_CLOSED_Spotless - Mount Louisa</t>
  </si>
  <si>
    <t>Retail, Warehouse</t>
  </si>
  <si>
    <t>L9.J.10920060</t>
  </si>
  <si>
    <t>Moved to "AD&amp;S - Circuit Shaw Warehouse".</t>
  </si>
  <si>
    <t>Units 23&amp;24, 547-593 Woolcock Street</t>
  </si>
  <si>
    <t>Mt Louisa</t>
  </si>
  <si>
    <t xml:space="preserve">_CLOSED_Spotless Corporate - Offices (Gladesville </t>
  </si>
  <si>
    <t>L9.S.11000740</t>
  </si>
  <si>
    <t>Please refer to the 'Gladesville' location for all active accounts</t>
  </si>
  <si>
    <t>Unit 2a 436-484 Victoria Rd</t>
  </si>
  <si>
    <t>_CLOSED_St Marys - Gallipoli St</t>
  </si>
  <si>
    <t>L9.S.3174.45002095</t>
  </si>
  <si>
    <t>13-15 Gallipoli St</t>
  </si>
  <si>
    <t>St Marys</t>
  </si>
  <si>
    <t>_CLOSED_Strathpine</t>
  </si>
  <si>
    <t>L9.J.17040614</t>
  </si>
  <si>
    <t>121 Kremzow Road</t>
  </si>
  <si>
    <t>Strathpine</t>
  </si>
  <si>
    <t>_CLOSED_Subcontractors - AU - Energy Networks</t>
  </si>
  <si>
    <t>L9.J.229</t>
  </si>
  <si>
    <t>_CLOSED_Subcontractors - AU - Power Projects</t>
  </si>
  <si>
    <t>L9.J.37220002</t>
  </si>
  <si>
    <t>Australian Subcontractors Power Projects</t>
  </si>
  <si>
    <t>_CLOSED_Subcontractors - AU - Telco</t>
  </si>
  <si>
    <t>L9.J.23440176</t>
  </si>
  <si>
    <t>_CLOSED_Subcontractors - AU - Water Services</t>
  </si>
  <si>
    <t>L9.J.24160191</t>
  </si>
  <si>
    <t>_CLOSED_Subcontractors - NZ - Energy Networks</t>
  </si>
  <si>
    <t>L9.DNZJ.1551</t>
  </si>
  <si>
    <t>_CLOSED_Subcontractors - NZ - Telco</t>
  </si>
  <si>
    <t>L9.DNZ.810.10.035</t>
  </si>
  <si>
    <t>_CLOSED_Subcontractors - NZ - Water Services</t>
  </si>
  <si>
    <t>L9.DNZJ.56150</t>
  </si>
  <si>
    <t>_CLOSED_Support_Corp_Comms</t>
  </si>
  <si>
    <t>L9.DNZJ.9032</t>
  </si>
  <si>
    <t>_CLOSED_Support_Corp_HR Ops</t>
  </si>
  <si>
    <t>L9.DNZJ.9033</t>
  </si>
  <si>
    <t>_CLOSED_Support_Corp_HSE</t>
  </si>
  <si>
    <t>L9.DNZJ.9025</t>
  </si>
  <si>
    <t>_CLOSED_Support_Corp_Property</t>
  </si>
  <si>
    <t>L9.DNZJ.91145</t>
  </si>
  <si>
    <t>L9.DNZJ.9030</t>
  </si>
  <si>
    <t>_CLOSED_Support_F_Corporate</t>
  </si>
  <si>
    <t>L9.DNZJ.65000</t>
  </si>
  <si>
    <t>Support services for the Health branch of Hospitality and Soft Services - provides catering, cleaning services to various clients across NZ (hospitals)</t>
  </si>
  <si>
    <t>_CLOSED_Support_T_Asphalt Plants</t>
  </si>
  <si>
    <t>L9.DNZJ.3500</t>
  </si>
  <si>
    <t>_CLOSED_Support_T_Bitumen</t>
  </si>
  <si>
    <t>L9.DNZJ.3022</t>
  </si>
  <si>
    <t>_CLOSED_Support_T_Bitumen_Technical</t>
  </si>
  <si>
    <t>L9.DNZJ.3005</t>
  </si>
  <si>
    <t>_CLOSED_Support_T_Central North</t>
  </si>
  <si>
    <t>L9.DNZJ.55932</t>
  </si>
  <si>
    <t>_CLOSED_Support_T_Central-Support</t>
  </si>
  <si>
    <t>L9.DNZJ.55000</t>
  </si>
  <si>
    <t>_CLOSED_Support_T_Labs</t>
  </si>
  <si>
    <t>L9.DNZJ.3520</t>
  </si>
  <si>
    <t>_CLOSED_Support_T_Lower North</t>
  </si>
  <si>
    <t>L9.DNZJ.55925</t>
  </si>
  <si>
    <t>_CLOSED_Support_T_North</t>
  </si>
  <si>
    <t>Support services for projects located at numerous sites throughout NZ - New facilities established for more granular reporting and to reflect new structure for FY17. See facility named "NZ-Major Projects" for historical data.</t>
  </si>
  <si>
    <t>130 Kerrs Road, Wiri</t>
  </si>
  <si>
    <t>_CLOSED_Support_T_Northern</t>
  </si>
  <si>
    <t>L9.DNZJ.55924</t>
  </si>
  <si>
    <t>_CLOSED_Support_T_OSM</t>
  </si>
  <si>
    <t>_CLOSED_Support_T_Plant</t>
  </si>
  <si>
    <t>L9.DNZJ.1923</t>
  </si>
  <si>
    <t>_CLOSED_Support_T_South</t>
  </si>
  <si>
    <t>L9.DNZJ.8104</t>
  </si>
  <si>
    <t>397 Mcleans Island Rd, Harewood</t>
  </si>
  <si>
    <t>_CLOSED_Support_T_Southern</t>
  </si>
  <si>
    <t>L9.DNZJ.55926</t>
  </si>
  <si>
    <t>_CLOSED_Support_T_TRC</t>
  </si>
  <si>
    <t>L9.DNZJ.1935</t>
  </si>
  <si>
    <t>_CLOSED_Support_U_Business-Support</t>
  </si>
  <si>
    <t>_CLOSED_Support_U_D&amp;B</t>
  </si>
  <si>
    <t>L9.DNZ.810.10.105</t>
  </si>
  <si>
    <t>_CLOSED_Support_U_O&amp;M</t>
  </si>
  <si>
    <t>L9.DNZ.810.10.037</t>
  </si>
  <si>
    <t>_CLOSED_Support_U_P&amp;G_Electricity</t>
  </si>
  <si>
    <t>_CLOSED_Support_U_P&amp;G_Gas</t>
  </si>
  <si>
    <t>L9.DUN.50112</t>
  </si>
  <si>
    <t>101 Port Ave, Seaview</t>
  </si>
  <si>
    <t>_CLOSED_Surfacing_Central</t>
  </si>
  <si>
    <t>L9.DNZJ.55863</t>
  </si>
  <si>
    <t>Asphalt Surfacing for Road Construction - New facilities established for more granular reporting and to reflect new structure for FY17. See facility named "NZ-Infrastructure Services" for historical data.</t>
  </si>
  <si>
    <t>_CLOSED_Surfacing_Central_Nth (Paving)</t>
  </si>
  <si>
    <t>L9.DNZJ.55810</t>
  </si>
  <si>
    <t>_CLOSED_Surfacing_Central_Nth (Sealing)</t>
  </si>
  <si>
    <t>L9.DNZJ.55833</t>
  </si>
  <si>
    <t>_CLOSED_Surfacing_North (Paving)</t>
  </si>
  <si>
    <t>L9.DNZJ.55834</t>
  </si>
  <si>
    <t>_CLOSED_Surfacing_North (Sealing)</t>
  </si>
  <si>
    <t>L9.DNZJ.55832</t>
  </si>
  <si>
    <t>_CLOSED_Surfacing_South (Paving)</t>
  </si>
  <si>
    <t>L9.DNZJ.55892</t>
  </si>
  <si>
    <t>_CLOSED_Surfacing_South (Sealing)</t>
  </si>
  <si>
    <t>L9.DNZJ.55895</t>
  </si>
  <si>
    <t>_CLOSED_Sydney Metro Upgrades - P5</t>
  </si>
  <si>
    <t>L9.J.20041099</t>
  </si>
  <si>
    <t>Upgrades of 3 stations: Dulwich Hill; Campsie; Punchbowl</t>
  </si>
  <si>
    <t>99 Bridge Road</t>
  </si>
  <si>
    <t>Belmore</t>
  </si>
  <si>
    <t>_CLOSED_Sydney Metro Upgrades - P6</t>
  </si>
  <si>
    <t>L9.J.20041100</t>
  </si>
  <si>
    <t>IP-20041100</t>
  </si>
  <si>
    <t>Upgrades of 3 stations: Hurlstone Park; Wiley Park; Belmore</t>
  </si>
  <si>
    <t>_CLOSED_T_Auckland</t>
  </si>
  <si>
    <t>L9.DNZJ.55804</t>
  </si>
  <si>
    <t>Construction and Maintenance of Transport Infrastructure - New facilities established for more granular reporting and to reflect new structure for FY17. See facility named "NZ-Infrastructure Services" for historical data.</t>
  </si>
  <si>
    <t>_CLOSED_T_Bay of Plenty</t>
  </si>
  <si>
    <t>L9.DNZJ.55812</t>
  </si>
  <si>
    <t>_CLOSED_T_Canterbury</t>
  </si>
  <si>
    <t>L9.DNZJ.55880</t>
  </si>
  <si>
    <t>_CLOSED_T_Central North</t>
  </si>
  <si>
    <t>L9.DNZJ.55823</t>
  </si>
  <si>
    <t>_CLOSED_T_East Coast</t>
  </si>
  <si>
    <t>L9.DNZJ.55850</t>
  </si>
  <si>
    <t>_CLOSED_T_Mid Central</t>
  </si>
  <si>
    <t>L9.DNZJ.55855</t>
  </si>
  <si>
    <t>_CLOSED_T_Millings</t>
  </si>
  <si>
    <t>L9.DNZJ.3516</t>
  </si>
  <si>
    <t>Milling crew previously reporting under Penrose Deport - now assigned to head office</t>
  </si>
  <si>
    <t>_CLOSED_T_MiniTankers</t>
  </si>
  <si>
    <t>Minitanker Charges</t>
  </si>
  <si>
    <t>_CLOSED_T_North_Balance of Plant Turitea</t>
  </si>
  <si>
    <t>L9.DNZJ.352401</t>
  </si>
  <si>
    <t>_CLOSED_T_North_Calliope South Wharf Upgrade</t>
  </si>
  <si>
    <t>L9.DNZJ.DN1166</t>
  </si>
  <si>
    <t>_CLOSED_T_North_CRL-C1-JV</t>
  </si>
  <si>
    <t>L9.DNZJ.PN4173</t>
  </si>
  <si>
    <t>Project Site Office - New facilities established in FY19 as a new JV</t>
  </si>
  <si>
    <t>_CLOSED_T_North_CRL-C3-JV</t>
  </si>
  <si>
    <t>L9.DNZJ.PN4201</t>
  </si>
  <si>
    <t>_CLOSED_T_North_Downtown IDP-JV</t>
  </si>
  <si>
    <t>L9.DNZJ.PN4197</t>
  </si>
  <si>
    <t>_CLOSED_T_North_Longswamp</t>
  </si>
  <si>
    <t>L9.DNZJ.PN4172</t>
  </si>
  <si>
    <t>Project Site Office - New facilities established for more granular reporting and to reflect new structure for FY17. See facility named "NZ-Major Projects" for historical data. - NZTA</t>
  </si>
  <si>
    <t>5 Paddy Road, Te Kauwhata, Waikato, 3782</t>
  </si>
  <si>
    <t>Hamilton / Te Kauwhata</t>
  </si>
  <si>
    <t>Te Kauwhata</t>
  </si>
  <si>
    <t>_CLOSED_T_North_MPA Costs-JV</t>
  </si>
  <si>
    <t>L9.DNZJ.883004</t>
  </si>
  <si>
    <t>_CLOSED_T_North_Mt Messenger-JV</t>
  </si>
  <si>
    <t>L9.DNZJ.551528</t>
  </si>
  <si>
    <t>Project Site Office - New facilities established in FY19 as a new contract</t>
  </si>
  <si>
    <t>_CLOSED_T_North_Pukete 3 WWTW Upgrade</t>
  </si>
  <si>
    <t>L9.DNZJ.DN1162</t>
  </si>
  <si>
    <t>_CLOSED_T_North_Residual-Jobs-CWB-JDE</t>
  </si>
  <si>
    <t>L9.DNZJ.MN4153</t>
  </si>
  <si>
    <t>130 Kerrs Road Wiri</t>
  </si>
  <si>
    <t>_CLOSED_T_North_Residual-Jobs-JDE</t>
  </si>
  <si>
    <t>_CLOSED_T_North_Residual-Jobs-Jobpac</t>
  </si>
  <si>
    <t>L9.DNZJ.DN1171</t>
  </si>
  <si>
    <t>_CLOSED_T_North_Rimutaka Prison Enhancements</t>
  </si>
  <si>
    <t>L9.DNZJ.DN1167</t>
  </si>
  <si>
    <t>_CLOSED_T_North_SH16-Lincoln-Westgate-Upgrade</t>
  </si>
  <si>
    <t>L9.DNZJ.DN1138</t>
  </si>
  <si>
    <t>2 Selwood Road, Henderson</t>
  </si>
  <si>
    <t>_CLOSED_T_North_Tarewa Itc - Nrhld Dlvr</t>
  </si>
  <si>
    <t>L9.DNZJ.DN1157</t>
  </si>
  <si>
    <t>_CLOSED_T_North_Western-Springs</t>
  </si>
  <si>
    <t>L9.DNZJ.DN1149</t>
  </si>
  <si>
    <t>Project Site Office - New facilities established for more granular reporting and to reflect new structure for FY17. See facility named "NZ-Major Projects" for historical data. - Ministry of Education</t>
  </si>
  <si>
    <t>100 Motions Road</t>
  </si>
  <si>
    <t>_CLOSED_T_North_Wynyard Quarter Central</t>
  </si>
  <si>
    <t>L9.DNZJ.DN1161</t>
  </si>
  <si>
    <t>_CLOSED_T_Northland</t>
  </si>
  <si>
    <t>L9.DNZJ.55701</t>
  </si>
  <si>
    <t>_CLOSED_T_Otago</t>
  </si>
  <si>
    <t>L9.DNZJ.55887</t>
  </si>
  <si>
    <t>_CLOSED_T_Pacific</t>
  </si>
  <si>
    <t>_CLOSED_T_South_AAC-Stage-2</t>
  </si>
  <si>
    <t>L9.DNZJ.816513</t>
  </si>
  <si>
    <t>Project Site Office - New facilities established for more granular reporting and to reflect new structure for FY17. See facility named "NZ-Major Projects" for historical data. - Otakaro</t>
  </si>
  <si>
    <t>225 Cashel Street</t>
  </si>
  <si>
    <t>_CLOSED_T_South_Avon-River-Precinct</t>
  </si>
  <si>
    <t>L9.DNZP.DS1145</t>
  </si>
  <si>
    <t>153 Lichfield Strret</t>
  </si>
  <si>
    <t>_CLOSED_T_South_Central-Plains-Build</t>
  </si>
  <si>
    <t>L9.DNZJ.MS2606</t>
  </si>
  <si>
    <t>Project Site Office - New facilities established for more granular reporting and to reflect new structure for FY17. See facility named "NZ-Major Projects" for historical data. - Central Plains Water Ltd</t>
  </si>
  <si>
    <t>1762 Telegraph Road</t>
  </si>
  <si>
    <t>Darfield</t>
  </si>
  <si>
    <t>_CLOSED_T_South_CPW2</t>
  </si>
  <si>
    <t>L9.DNZJ.PS2630</t>
  </si>
  <si>
    <t>_CLOSED_T_South_CSM2-JV</t>
  </si>
  <si>
    <t>L9.DNZJ.PS2627</t>
  </si>
  <si>
    <t>_CLOSED_T_South_Opawa Bridge Replacement</t>
  </si>
  <si>
    <t>L9.DNZJ.DS2640</t>
  </si>
  <si>
    <t>_CLOSED_T_South_Residual-Jobs-CWB-JDE</t>
  </si>
  <si>
    <t>L9.DNZJ.PS2625</t>
  </si>
  <si>
    <t>_CLOSED_T_South_Residual-Jobs-JDE</t>
  </si>
  <si>
    <t>_CLOSED_T_South_Residual-Jobs-Jobpac</t>
  </si>
  <si>
    <t>L9.DNZJ.DS2639</t>
  </si>
  <si>
    <t>_CLOSED_T_South_SCIRTFinal</t>
  </si>
  <si>
    <t>L9.DNZJ.8150</t>
  </si>
  <si>
    <t>_CLOSED_T_South_Tekapo A New Intake Gate</t>
  </si>
  <si>
    <t>L9.DNZJ.DS2645</t>
  </si>
  <si>
    <t>_CLOSED_T_South_TuckersBeachRd</t>
  </si>
  <si>
    <t>L9.DNZJ.556331</t>
  </si>
  <si>
    <t>_CLOSED_T_Southland / Central</t>
  </si>
  <si>
    <t>L9.DNZJ.55885</t>
  </si>
  <si>
    <t>_CLOSED_T_Taranaki</t>
  </si>
  <si>
    <t>L9.DNZJ.55846</t>
  </si>
  <si>
    <t>_CLOSED_T_Tasman</t>
  </si>
  <si>
    <t>L9.DNZJ.55866</t>
  </si>
  <si>
    <t>_CLOSED_T_TRC_Invercargill</t>
  </si>
  <si>
    <t>L9.DNZJ.3130</t>
  </si>
  <si>
    <t>_CLOSED_T_TRC_Wanaka</t>
  </si>
  <si>
    <t>L9.DNZJ.3120</t>
  </si>
  <si>
    <t>_CLOSED_T_Waikato</t>
  </si>
  <si>
    <t>L9.DNZJ.55807</t>
  </si>
  <si>
    <t>_CLOSED_T_Wellington</t>
  </si>
  <si>
    <t>L9.DNZJ.55856</t>
  </si>
  <si>
    <t>_CLOSED_TAP - Tuggerah</t>
  </si>
  <si>
    <t>L9.J.20041114</t>
  </si>
  <si>
    <t>IP-20041114</t>
  </si>
  <si>
    <t>_CLOSED_TAP T3 (ROSE, WOLL, BIRR, CANL, BANK)</t>
  </si>
  <si>
    <t>L9.J.20041087</t>
  </si>
  <si>
    <t>Transport Access Program (TAP) 3 T3 with Transport for NSW includes the following sites:
-	Roseville Station 
-	Wollstonecraft Station
-	Banksia Station
-	Birrong Station
-	Canley Vale
Billing Address: Level 8, 77 Pacific Hwy North Sydney 2060 NSW</t>
  </si>
  <si>
    <t>_CLOSED_TAP T4 (Mascot)</t>
  </si>
  <si>
    <t>L9.J.20041093</t>
  </si>
  <si>
    <t>IP-20041093</t>
  </si>
  <si>
    <t>_CLOSED_TAP T5 (Turella &amp; Killara)</t>
  </si>
  <si>
    <t>L9.J.20041088</t>
  </si>
  <si>
    <t>_CLOSED_Thrifty AU</t>
  </si>
  <si>
    <t>L9.J.101001</t>
  </si>
  <si>
    <t>Contract is now Hertz only.</t>
  </si>
  <si>
    <t>_CLOSED_TL - AusNet Services VIC</t>
  </si>
  <si>
    <t>L9.J.37740022</t>
  </si>
  <si>
    <t>IP-360.369.152.377</t>
  </si>
  <si>
    <t>Projects: Dunndonell, AusNet Services - Bulgana</t>
  </si>
  <si>
    <t>_CLOSED_TL - Gladstone to Boyne Island</t>
  </si>
  <si>
    <t>L9.J.37740060</t>
  </si>
  <si>
    <t>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</si>
  <si>
    <t>_CLOSED_TL - Nebo to Broadsound</t>
  </si>
  <si>
    <t>L9.J.37740013</t>
  </si>
  <si>
    <t>_CLOSED_TL - Wagga 993</t>
  </si>
  <si>
    <t>L9.J.37740029</t>
  </si>
  <si>
    <t>Changed from Ref No 7035.
Project ended 30.7.2020</t>
  </si>
  <si>
    <t>_CLOSED_TL - Wagga 99F_998</t>
  </si>
  <si>
    <t>L9.ENG.360.12493</t>
  </si>
  <si>
    <t>_CLOSED_TL - Woree to Edmonton Refit</t>
  </si>
  <si>
    <t>L9.J.3774004001</t>
  </si>
  <si>
    <t>6-24 Maconachie Street</t>
  </si>
  <si>
    <t>Woree</t>
  </si>
  <si>
    <t>_CLOSED_Tullamarine</t>
  </si>
  <si>
    <t>L9.J.38250002</t>
  </si>
  <si>
    <t>3 Mallet Road</t>
  </si>
  <si>
    <t>Tullamarine</t>
  </si>
  <si>
    <t>_CLOSED_U_D&amp;B_NGA</t>
  </si>
  <si>
    <t>L9.DNZ.810.10.108</t>
  </si>
  <si>
    <t>Design, Build &amp; Maintain Wired and Wireless Telco Operations - New facilities established for more granular reporting and to reflect new structure for FY17. See facility named "NZ-Technology Solutions &amp; Corporate Services" for historical data.</t>
  </si>
  <si>
    <t>_CLOSED_U_D&amp;B_Operations</t>
  </si>
  <si>
    <t>L9.DNZ.810.10.185</t>
  </si>
  <si>
    <t>_CLOSED_U_D&amp;B_UFB</t>
  </si>
  <si>
    <t>L9.DNZ.810.10.224</t>
  </si>
  <si>
    <t>_CLOSED_U_FM_ES</t>
  </si>
  <si>
    <t>L9.DNZ.810.10.030</t>
  </si>
  <si>
    <t>Engineering Services &amp; Facilities Management - New facilities established for more granular reporting and to reflect new structure for FY17. See facility named "NZ-Technology Solutions &amp; Corporate Services" for historical data.</t>
  </si>
  <si>
    <t>_CLOSED_U_FM_ES-Transpower</t>
  </si>
  <si>
    <t>_CLOSED_U_ITS</t>
  </si>
  <si>
    <t>L9.DNZJ.1519</t>
  </si>
  <si>
    <t>Intelligent Transport Services - linked to road construction &amp; maintenance - New facilities established for more granular reporting and to reflect new structure for FY17. See facility named "NZ-Technology Solutions &amp; Corporate Services" for historical data.</t>
  </si>
  <si>
    <t>_CLOSED_U_Mobile&amp;ISP</t>
  </si>
  <si>
    <t>L9.DNZ.810.10.247</t>
  </si>
  <si>
    <t>_CLOSED_U_P&amp;G_Gas</t>
  </si>
  <si>
    <t>L9.DUN.50131</t>
  </si>
  <si>
    <t>Design, Build &amp; Maintain Gas Distribution Systems - New facilities established for more granular reporting and to reflect new structure for FY17. See facility named "NZ-Technology Solutions &amp; Corporate Services" for historical data.</t>
  </si>
  <si>
    <t>_CLOSED_U_P&amp;G_Masterton</t>
  </si>
  <si>
    <t>L9.DUN.60242</t>
  </si>
  <si>
    <t>Design, Build &amp; Maintain Electricity Distribution Systems - New facilities established for more granular reporting and to reflect new structure for FY17. See facility named "NZ-Technology Solutions &amp; Corporate Services" for historical data.</t>
  </si>
  <si>
    <t>73 Ngamutawa Road</t>
  </si>
  <si>
    <t>_CLOSED_U_P&amp;G_New Plymouth</t>
  </si>
  <si>
    <t>L9.DUN.60214</t>
  </si>
  <si>
    <t>31-39 Junction Street</t>
  </si>
  <si>
    <t>_CLOSED_U_P&amp;G_Palmerston North</t>
  </si>
  <si>
    <t>L9.DUN.60232</t>
  </si>
  <si>
    <t>50-62 Mihaere Drive</t>
  </si>
  <si>
    <t>_CLOSED_U_P&amp;G_South Island</t>
  </si>
  <si>
    <t>L9.DNZJ.561470</t>
  </si>
  <si>
    <t>_CLOSED_U_P&amp;G_Tauranga</t>
  </si>
  <si>
    <t>L9.DUN.60112</t>
  </si>
  <si>
    <t>126 Aerodrome Road, Mt Maunganui</t>
  </si>
  <si>
    <t>_CLOSED_U_P&amp;G_Valley</t>
  </si>
  <si>
    <t>L9.DUN.60122</t>
  </si>
  <si>
    <t>1 Coronation Street</t>
  </si>
  <si>
    <t>_CLOSED_U_P&amp;G_Wanganui</t>
  </si>
  <si>
    <t>L9.DUN.60222</t>
  </si>
  <si>
    <t>34 Bedford Avenue, Gonville</t>
  </si>
  <si>
    <t>_CLOSED_U_P&amp;G_Wellington</t>
  </si>
  <si>
    <t>L9.DUN.60250</t>
  </si>
  <si>
    <t>_CLOSED_U_SubContractors</t>
  </si>
  <si>
    <t>_CLOSED_U_Supply Chain</t>
  </si>
  <si>
    <t>L9.DNZ.810.10.033</t>
  </si>
  <si>
    <t>_CLOSED_U_Util_O&amp;M</t>
  </si>
  <si>
    <t>_CLOSED_U_Water</t>
  </si>
  <si>
    <t>L9.DNZJ.56805</t>
  </si>
  <si>
    <t>Construction and maintenance of water and waste water infrastructure - New facilities established for more granular reporting and to reflect new structure for FY17. See facility named "NZ-Technology Solutions &amp; Corporate Services" for historical data.</t>
  </si>
  <si>
    <t>_CLOSED_U_WMC</t>
  </si>
  <si>
    <t>L9.DNZ.810.10.046</t>
  </si>
  <si>
    <t>Call Centre for range of maintenance operations - New facilities established for more granular reporting and to reflect new structure for FY17. See facility named "NZ-Technology Solutions &amp; Corporate Services" for historical data.</t>
  </si>
  <si>
    <t>_CLOSED_UAM - Wilsonton</t>
  </si>
  <si>
    <t>L9.J.229250</t>
  </si>
  <si>
    <t>Unit 7/1-5 Gardner Court</t>
  </si>
  <si>
    <t>Wilsonton</t>
  </si>
  <si>
    <t>Toowoomba</t>
  </si>
  <si>
    <t>_CLOSED_Utilita - Raceview</t>
  </si>
  <si>
    <t>L9.J.23900045</t>
  </si>
  <si>
    <t>12 Sonia Court</t>
  </si>
  <si>
    <t>Raceview</t>
  </si>
  <si>
    <t>_CLOSED_Utilities North Ryde Head Office</t>
  </si>
  <si>
    <t>L9.J.2412009501</t>
  </si>
  <si>
    <t>BO_North Sydney_closed</t>
  </si>
  <si>
    <t>Level 4, 39 Delhi Road</t>
  </si>
  <si>
    <t>_CLOSED_UTL Fleet ACT</t>
  </si>
  <si>
    <t>_CLOSED_UTL Fleet NSW</t>
  </si>
  <si>
    <t>L9.S.13000871</t>
  </si>
  <si>
    <t>_CLOSED_UTL Fleet NT</t>
  </si>
  <si>
    <t>L9.S.13000902</t>
  </si>
  <si>
    <t>_CLOSED_UTL Fleet QLD</t>
  </si>
  <si>
    <t>L9.S.14001309</t>
  </si>
  <si>
    <t>_CLOSED_UTL Fleet SA</t>
  </si>
  <si>
    <t>_CLOSED_UTL Fleet TAS</t>
  </si>
  <si>
    <t>L9.S.13000872</t>
  </si>
  <si>
    <t>_CLOSED_UTL Fleet VIC</t>
  </si>
  <si>
    <t>L9.S.13000873</t>
  </si>
  <si>
    <t>_CLOSED_UTL Fleet WA</t>
  </si>
  <si>
    <t>L9.S.14001315</t>
  </si>
  <si>
    <t>_CLOSED_VEC Civil Engineering (NSW)</t>
  </si>
  <si>
    <t>Acquisition from 31/10/2014</t>
  </si>
  <si>
    <t>_CLOSED_VEC Civil Engineering (QLD)</t>
  </si>
  <si>
    <t>_CLOSED_VEC Civil Engineering (VIC)</t>
  </si>
  <si>
    <t>Level 2, 650 Lorimer Street</t>
  </si>
  <si>
    <t>_CLOSED_Victoria Park (DM)</t>
  </si>
  <si>
    <t>L9.J.17021021</t>
  </si>
  <si>
    <t>Downer EDI Works Pty Ltd. Vacated in FY21.</t>
  </si>
  <si>
    <t>99 Albany Highway</t>
  </si>
  <si>
    <t>Victoria Park</t>
  </si>
  <si>
    <t>_Closed_W000149 - WTP HVLV Reliability Project</t>
  </si>
  <si>
    <t>L9.J.25820005</t>
  </si>
  <si>
    <t>UTIL-25820005</t>
  </si>
  <si>
    <t>SFP WTP HVLV Reliability Project</t>
  </si>
  <si>
    <t>_CLOSED_WA Gov Housing - Belmont</t>
  </si>
  <si>
    <t>L9.S.16015965</t>
  </si>
  <si>
    <t>WA Gov Housing Office</t>
  </si>
  <si>
    <t>187 Great Eastern Highway</t>
  </si>
  <si>
    <t>Belmont</t>
  </si>
  <si>
    <t>_CLOSED_WA Workshop</t>
  </si>
  <si>
    <t>L9.J.170691</t>
  </si>
  <si>
    <t>_CLOSED_Wambo TXL</t>
  </si>
  <si>
    <t>L9.J.37740109</t>
  </si>
  <si>
    <t>_CLOSED_Warrnambool Line Upgrade</t>
  </si>
  <si>
    <t>L9.J.20020025</t>
  </si>
  <si>
    <t>EM to send the location details to Ross Brookshaw</t>
  </si>
  <si>
    <t>_CLOSED_Water - ITS Pipetech NSW</t>
  </si>
  <si>
    <t>L9.J.239004</t>
  </si>
  <si>
    <t>Stanton Road</t>
  </si>
  <si>
    <t>Seven Hills</t>
  </si>
  <si>
    <t>_CLOSED_Water - ITS Pipetech QLD</t>
  </si>
  <si>
    <t>L9.J.239005</t>
  </si>
  <si>
    <t>Office of Pipetech QLD has moved to a site managed by another division of Downer, therefore no electricity will continue to be reported under at this Envizi location. Close this location at end of FY 19.</t>
  </si>
  <si>
    <t>_CLOSED_Western Port Highway Upgrade</t>
  </si>
  <si>
    <t>L9.J.20042041</t>
  </si>
  <si>
    <t>565 Cranbourne Frankston Road</t>
  </si>
  <si>
    <t>Langwarrin</t>
  </si>
  <si>
    <t>_CLOSED_WF - Boco Rock Wind Defects</t>
  </si>
  <si>
    <t>L9.J.39210473</t>
  </si>
  <si>
    <t>Minor energy use through warranty inspections and works ongoing.</t>
  </si>
  <si>
    <t>Avon Lake Road</t>
  </si>
  <si>
    <t>Springfield</t>
  </si>
  <si>
    <t>_CLOSED_WF - Murra Warra</t>
  </si>
  <si>
    <t>L9.J.3775001202</t>
  </si>
  <si>
    <t>IP-360.369.889.353</t>
  </si>
  <si>
    <t>Murra Warra Wind Farm</t>
  </si>
  <si>
    <t>_CLOSED_Wollongong Office (NSW)</t>
  </si>
  <si>
    <t>1 Young St</t>
  </si>
  <si>
    <t>Wollongong</t>
  </si>
  <si>
    <t>_CLOSED_WWTP - Muswellbrook</t>
  </si>
  <si>
    <t>Treatment Station</t>
  </si>
  <si>
    <t>L9.J.24120101</t>
  </si>
  <si>
    <t>Closed Jan 2021</t>
  </si>
  <si>
    <t>Skellatar Stock Route Road</t>
  </si>
  <si>
    <t>Muswellbrook</t>
  </si>
  <si>
    <t>_CLOSED_WWTP - Rubyanna</t>
  </si>
  <si>
    <t>L9.J.2412008304</t>
  </si>
  <si>
    <t>BUndaberg</t>
  </si>
  <si>
    <t>Rubyanna Road</t>
  </si>
  <si>
    <t>Rubyanna</t>
  </si>
  <si>
    <t>_CLOSED_WWTP - Yeppoon</t>
  </si>
  <si>
    <t>L9.J.24160020</t>
  </si>
  <si>
    <t>Jabiru Driver</t>
  </si>
  <si>
    <t>Yeppoon</t>
  </si>
  <si>
    <t>_CLOSED_Y10234 - North Yarra Main Relining</t>
  </si>
  <si>
    <t>L9.J.25820028</t>
  </si>
  <si>
    <t>_CLOSED_Y10248 - Gardiners Creek Main Sewer Rehabilitation</t>
  </si>
  <si>
    <t>L9.J.25820018</t>
  </si>
  <si>
    <t>UTIL-25820018</t>
  </si>
  <si>
    <t>SFP Gardiners Creek Main Sewer Rehabilitation</t>
  </si>
  <si>
    <t>_CLOSED_Y10307 - ETP 62HA Switchboard and Associated Assets Renewals</t>
  </si>
  <si>
    <t>L9.J.25820009</t>
  </si>
  <si>
    <t>UTIL-25820009</t>
  </si>
  <si>
    <t>SFP ETP 62HA Switchboard and Associated Assets Renewals</t>
  </si>
  <si>
    <t>_CLOSED_Y10314 - Essex St Main Drain Renewal Project</t>
  </si>
  <si>
    <t>L9.J.25820027</t>
  </si>
  <si>
    <t>_CLOSED_Y10364 - Thomson Hydro Capacitor Bank</t>
  </si>
  <si>
    <t>_CLOSED_Young</t>
  </si>
  <si>
    <t>L9.J.17010035</t>
  </si>
  <si>
    <t>Sherrenden Hill, Olympic Highway</t>
  </si>
  <si>
    <t>Young</t>
  </si>
  <si>
    <t>110 - Hawkins CORPORATE HO_Other Subcontractors</t>
  </si>
  <si>
    <t>Virtual Location</t>
  </si>
  <si>
    <t>112 - Hawkins Limited AUCKLAND_Other Subcontractors</t>
  </si>
  <si>
    <t>L9.DNZ.HA0392</t>
  </si>
  <si>
    <t>113 - Hawkins Limited CENTRAL_Other Subcontractors</t>
  </si>
  <si>
    <t>L9.DNZ.HC0350</t>
  </si>
  <si>
    <t>120 - Hawkins Limited WELLINGTON_Other Subcontractors</t>
  </si>
  <si>
    <t>L9.DNZ.HW0239</t>
  </si>
  <si>
    <t>121 - Hawkins Limited WELLINGTON_Other Subcontractors</t>
  </si>
  <si>
    <t>L9.DNZJ.88122</t>
  </si>
  <si>
    <t>122 - Hawkins Limited SOUTH_Other Subcontractors</t>
  </si>
  <si>
    <t>130 - Hawkins Limited PLANT_Other Subcontractors</t>
  </si>
  <si>
    <t>140 St Georges Terrace - Perth</t>
  </si>
  <si>
    <t>L9.J.10920044</t>
  </si>
  <si>
    <t>COR-10920044</t>
  </si>
  <si>
    <t>Chevron Office. Moved in 6-Feb-2019.</t>
  </si>
  <si>
    <t>140 St Georges Terrace</t>
  </si>
  <si>
    <t>Perth</t>
  </si>
  <si>
    <t>171 - TI-HO Office Subcontractors (Other)</t>
  </si>
  <si>
    <t>L9.J.170999</t>
  </si>
  <si>
    <t>172 - Reconomy Subcontractors (Other)</t>
  </si>
  <si>
    <t>L9.J.17072004</t>
  </si>
  <si>
    <t>173 - Pavements Subcontractors (Other)</t>
  </si>
  <si>
    <t>L9.J.170238</t>
  </si>
  <si>
    <t>174 - DM Roads Subcontractors (Other)</t>
  </si>
  <si>
    <t>L9.J.17021011</t>
  </si>
  <si>
    <t>174 - Maintenance &amp; ITS Subcontractors (Other)</t>
  </si>
  <si>
    <t>175 - Central and West Sprayseal Subcontractors (Other)</t>
  </si>
  <si>
    <t>L9.J.17050015</t>
  </si>
  <si>
    <t>176 - AU Roads Plant Subcontractors (Other)</t>
  </si>
  <si>
    <t>L9.J.17022510</t>
  </si>
  <si>
    <t>178 - Tasmania Operations Subcontractors (Other)</t>
  </si>
  <si>
    <t>L9.J.17031257</t>
  </si>
  <si>
    <t>179 - RPQ Subcontractors (Other)</t>
  </si>
  <si>
    <t>L9.J.17011208</t>
  </si>
  <si>
    <t>180 - Pavement Preservation Subcontractors (Other)</t>
  </si>
  <si>
    <t>L9.J.17036029</t>
  </si>
  <si>
    <t>181 - Blended Products Subcontractors (Other)</t>
  </si>
  <si>
    <t>L9.J.17090176</t>
  </si>
  <si>
    <t>182 - AU Bitumen Subcontractors (Other)</t>
  </si>
  <si>
    <t>L9.J.17090314</t>
  </si>
  <si>
    <t>187 - Asphalt &amp; Products Subcontractors (Other)</t>
  </si>
  <si>
    <t>L9.J.17090789</t>
  </si>
  <si>
    <t>188 - Pavement Rehab &amp; Civils Subcontractors (Other)</t>
  </si>
  <si>
    <t>L9.J.17093156</t>
  </si>
  <si>
    <t>189 - Specialised Pavements &amp; Projec Subcontractors (Other)</t>
  </si>
  <si>
    <t>L9.J.17075013</t>
  </si>
  <si>
    <t>19 - National Plant_Cartage Subcontractors</t>
  </si>
  <si>
    <t>19 - National Plant_Other Subcontractors</t>
  </si>
  <si>
    <t>L9.DNZJ.55907</t>
  </si>
  <si>
    <t>190 - Thin Surfacing Subcontractors (Other)</t>
  </si>
  <si>
    <t>L9.J.17091427</t>
  </si>
  <si>
    <t>21 ROLLESTON ST MAIN</t>
  </si>
  <si>
    <t>L9.DNZ.HW0213</t>
  </si>
  <si>
    <t>JP_HW0213</t>
  </si>
  <si>
    <t>21 Rolleston Street</t>
  </si>
  <si>
    <t>Mount Cook</t>
  </si>
  <si>
    <t>25820023 - Hoppers Crossing Pump Station 66kV Renewal</t>
  </si>
  <si>
    <t>2Degrees Build EU Subcontractors</t>
  </si>
  <si>
    <t>L9.DNZ.810.20988</t>
  </si>
  <si>
    <t>2Degrees Maintenance EU Subcontractors</t>
  </si>
  <si>
    <t>L9.DNZ.810.20987</t>
  </si>
  <si>
    <t>30 - RS – Bitumen Plants_Cartage Subcontractors</t>
  </si>
  <si>
    <t>L9.DNZJ.3024</t>
  </si>
  <si>
    <t>30 - RS – Bitumen Plants_Other Subcontractors</t>
  </si>
  <si>
    <t>31 - The Roading Company_Other Subcontractors</t>
  </si>
  <si>
    <t>L9.DNZJ.559227</t>
  </si>
  <si>
    <t>32 - Green Vision Recycling_Cartage Subcontractors</t>
  </si>
  <si>
    <t>L9.DNZJ.3200</t>
  </si>
  <si>
    <t>32 - Green Vision Recycling_Other Subcontractors</t>
  </si>
  <si>
    <t>L9.DNZJ.3201</t>
  </si>
  <si>
    <t>35 - RS – Asphalt Plants &amp; Labs_Cartage Subcontractors</t>
  </si>
  <si>
    <t>35 - RS – Asphalt Plants &amp; Labs_Other Subcontractors</t>
  </si>
  <si>
    <t>352 Macaulay Road</t>
  </si>
  <si>
    <t>L9.S.16016161</t>
  </si>
  <si>
    <t>Under Metro Trains &amp; Yarra Trams Cleaning contract</t>
  </si>
  <si>
    <t>4 Redwood Lane - Tauriko West Enabling Works</t>
  </si>
  <si>
    <t>L9.DNZJ.553912</t>
  </si>
  <si>
    <t>45 Clem Newby Road, Hamilton - Power &amp; Gas Depot</t>
  </si>
  <si>
    <t>L9.DUN.79211</t>
  </si>
  <si>
    <t>54 - Road Maintenance_Cartage Subcontractors</t>
  </si>
  <si>
    <t>L9.DNZJ.55927</t>
  </si>
  <si>
    <t>54 - Road Maintenance_Other Subcontractors</t>
  </si>
  <si>
    <t>L9.DNZJ.550588</t>
  </si>
  <si>
    <t>55 - Road Maintenance_Cartage Subcontractors</t>
  </si>
  <si>
    <t>55 - Road Maintenance_Other Subcontractors</t>
  </si>
  <si>
    <t>L9.DNZJ.55223</t>
  </si>
  <si>
    <t>567 Collins St - Level 10</t>
  </si>
  <si>
    <t>L9.J.10920008</t>
  </si>
  <si>
    <t>303 Collins st office closed 30/06/2017. Collins St Office Reopened August 2015- renamed "Melbourne Collins St Office" and ANZSIC changed to 729. Previously named "Collins Street Rail Office" DI-Rail Infrastructure office closed 30/06/2014, occupied by other party until 2015.</t>
  </si>
  <si>
    <t>Level 10 567 Collins St</t>
  </si>
  <si>
    <t>567 Collins St - Level 5</t>
  </si>
  <si>
    <t>L9.J.10920014</t>
  </si>
  <si>
    <t>Level 5 567 Collins Street</t>
  </si>
  <si>
    <t>57 - NZ Transport &amp; Infrastructure_Other Subcontractors</t>
  </si>
  <si>
    <t>L9.DNZJ.57989</t>
  </si>
  <si>
    <t>66 - Downer Facilities Services_Other Subcontractors</t>
  </si>
  <si>
    <t>L9.DNZJ.57990</t>
  </si>
  <si>
    <t>67 - Bio Security_Other Subcontractors</t>
  </si>
  <si>
    <t>L9.DNZJ.559133</t>
  </si>
  <si>
    <t>778 SH29 - Tauriko West Enabling Works</t>
  </si>
  <si>
    <t>80 - Pacific Region_Cartage Subcontractors</t>
  </si>
  <si>
    <t>L9.DNZJ.3515</t>
  </si>
  <si>
    <t>80 - Pacific Region_Other Subcontractors</t>
  </si>
  <si>
    <t>81 - Major Projects - Southern_Cartage Subcontractors</t>
  </si>
  <si>
    <t>L9.DNZJ.8114</t>
  </si>
  <si>
    <t>81 - Major Projects - Southern_Other Subcontractors</t>
  </si>
  <si>
    <t>L9.DNZJ.812657</t>
  </si>
  <si>
    <t>88 - Major Projects_Cartage Subcontractors</t>
  </si>
  <si>
    <t>L9.DNZJ.881195</t>
  </si>
  <si>
    <t>88 - Major Projects_Other Subcontractors</t>
  </si>
  <si>
    <t>L9.DNZJ.881187</t>
  </si>
  <si>
    <t>959 Abernethy Rd</t>
  </si>
  <si>
    <t>L9.J.109203</t>
  </si>
  <si>
    <t>95a Tirangi Road Wellington, Project Site</t>
  </si>
  <si>
    <t>L9.DNZJ.DS2675</t>
  </si>
  <si>
    <t>AD&amp;S - Circuit Shaw Warehouse</t>
  </si>
  <si>
    <t>L9.S.13001040</t>
  </si>
  <si>
    <t>Previous warehouse was "Spotless - Mount Louisa"</t>
  </si>
  <si>
    <t>Admin - Pacific Recharges</t>
  </si>
  <si>
    <t>L9.DNZJ.8002</t>
  </si>
  <si>
    <t>Administration Dept</t>
  </si>
  <si>
    <t>L9.DNZJ.3001</t>
  </si>
  <si>
    <t>2A/13 Owens Place</t>
  </si>
  <si>
    <t>Mount Maunganui</t>
  </si>
  <si>
    <t>AE Smith - Dandenong South</t>
  </si>
  <si>
    <t>L9.S.16015130</t>
  </si>
  <si>
    <t>Moved from Scoresby Office</t>
  </si>
  <si>
    <t>21 VILLAS RD</t>
  </si>
  <si>
    <t>DANDENONG SOUTH</t>
  </si>
  <si>
    <t>AE Smith - Kawana</t>
  </si>
  <si>
    <t>L9.S.13001053</t>
  </si>
  <si>
    <t>28 Chappell Street</t>
  </si>
  <si>
    <t>Kawana</t>
  </si>
  <si>
    <t>AE Smith - Molendinar</t>
  </si>
  <si>
    <t>Office / Warehouse</t>
  </si>
  <si>
    <t>UASG Office &amp; Warehouse Lease (10/5/17 to 9/5/2022)</t>
  </si>
  <si>
    <t>24 Export Drive</t>
  </si>
  <si>
    <t>Molendinar</t>
  </si>
  <si>
    <t>AE Smith - Paget</t>
  </si>
  <si>
    <t>L9.S.16015137</t>
  </si>
  <si>
    <t>13 Margaret Vella Dve</t>
  </si>
  <si>
    <t>Paget</t>
  </si>
  <si>
    <t>AES NZ Construction 45003670</t>
  </si>
  <si>
    <t>L9.S.24000317</t>
  </si>
  <si>
    <t>130 Kerrs Road</t>
  </si>
  <si>
    <t>AES NZ Service Hub 4500xxxx</t>
  </si>
  <si>
    <t>L9.S.24000318</t>
  </si>
  <si>
    <t>AIAL DP EARLY WORKS</t>
  </si>
  <si>
    <t>L9.DNZ.HA0413</t>
  </si>
  <si>
    <t>JP_HA0413</t>
  </si>
  <si>
    <t>TI-NZT-BP.HA0413-AIAL DP Early Works</t>
  </si>
  <si>
    <t>Airport Office Balance Sheet</t>
  </si>
  <si>
    <t>L9.DNZJ.9000</t>
  </si>
  <si>
    <t>COR-NZHO.9000-Airport Office Balance Sheet</t>
  </si>
  <si>
    <t>AKL Mobile Network Maintenance</t>
  </si>
  <si>
    <t>L9.DNZ.810.10.239</t>
  </si>
  <si>
    <t>AKN Regional Office</t>
  </si>
  <si>
    <t>L9.DNZJ.1901</t>
  </si>
  <si>
    <t>Albany Depot(Water)</t>
  </si>
  <si>
    <t>2B/3 William Pickering Drive</t>
  </si>
  <si>
    <t>Albany</t>
  </si>
  <si>
    <t>Alice Springs Site</t>
  </si>
  <si>
    <t>L9.J.17050957</t>
  </si>
  <si>
    <t>226 North Stuart HWY</t>
  </si>
  <si>
    <t>Alice Springs</t>
  </si>
  <si>
    <t>NT</t>
  </si>
  <si>
    <t>Amberley (58 Grays Road)</t>
  </si>
  <si>
    <t>L9.DNZJ.91359</t>
  </si>
  <si>
    <t>58 Grays Road</t>
  </si>
  <si>
    <t>Amberley</t>
  </si>
  <si>
    <t>APA SA EU Subcontractors</t>
  </si>
  <si>
    <t>L9.J.24190255</t>
  </si>
  <si>
    <t>APA Vic EU Subcontractors</t>
  </si>
  <si>
    <t>L9.J.24190324</t>
  </si>
  <si>
    <t>APLNG Gathering Panel</t>
  </si>
  <si>
    <t>Infrastructure</t>
  </si>
  <si>
    <t>L9.J.38139001</t>
  </si>
  <si>
    <t>EU-38139001 - APLNG Well Site M&amp;E</t>
  </si>
  <si>
    <t>Arnold Dam Upgrade</t>
  </si>
  <si>
    <t>L9.DNZJ.55368</t>
  </si>
  <si>
    <t>JP_DS2672</t>
  </si>
  <si>
    <t>AS Plant EU Subcontractors</t>
  </si>
  <si>
    <t>L9.J.392301</t>
  </si>
  <si>
    <t>Ascot Hospital B&amp;E - 45002512</t>
  </si>
  <si>
    <t>L9.S.26016963</t>
  </si>
  <si>
    <t>As per INX,
SI-NZF-26016963-Ascot Hospital B&amp;E Serv. Del</t>
  </si>
  <si>
    <t>ASHBURTON COLLEGE</t>
  </si>
  <si>
    <t>L9.DNZ.HS0162</t>
  </si>
  <si>
    <t>JP_HS0162</t>
  </si>
  <si>
    <t>ASHBURTON INTERMEDIATE SCHOOL</t>
  </si>
  <si>
    <t>L9.DNZ.HS0157</t>
  </si>
  <si>
    <t>JP_HS0157</t>
  </si>
  <si>
    <t>144 Cass Street</t>
  </si>
  <si>
    <t>Asphalt Paving - Lower South</t>
  </si>
  <si>
    <t>L9.DNZJ.55389</t>
  </si>
  <si>
    <t>Asphalt Paving - Wellington</t>
  </si>
  <si>
    <t>L9.DNZJ.55231</t>
  </si>
  <si>
    <t>Asphalt Prod - Albany (601)</t>
  </si>
  <si>
    <t>L9.J.170601</t>
  </si>
  <si>
    <t>Lot 6, Rocky Crossing Road</t>
  </si>
  <si>
    <t>Willyung</t>
  </si>
  <si>
    <t>Asphalt Prod - Archerfield (406)</t>
  </si>
  <si>
    <t>L9.J.17090422</t>
  </si>
  <si>
    <t>150 Boniface Street</t>
  </si>
  <si>
    <t>Archerfield</t>
  </si>
  <si>
    <t>Asphalt Prod - Auckland</t>
  </si>
  <si>
    <t>645 Great South Road</t>
  </si>
  <si>
    <t>Penrose</t>
  </si>
  <si>
    <t>Asphalt Prod - Bathurst (156)</t>
  </si>
  <si>
    <t>L9.J.170156</t>
  </si>
  <si>
    <t>Zagreb Street</t>
  </si>
  <si>
    <t>Bathurst</t>
  </si>
  <si>
    <t>Asphalt Prod - Bayswater (302)</t>
  </si>
  <si>
    <t>L9.J.17032626</t>
  </si>
  <si>
    <t>18 Jersey Road</t>
  </si>
  <si>
    <t>Bayswater</t>
  </si>
  <si>
    <t>Asphalt Prod - Bli Bli (408)</t>
  </si>
  <si>
    <t>L9.J.17040612</t>
  </si>
  <si>
    <t>Moved July 2013.</t>
  </si>
  <si>
    <t>Cooney Road</t>
  </si>
  <si>
    <t>Bli Bli</t>
  </si>
  <si>
    <t>Asphalt Prod - Brendale (423)</t>
  </si>
  <si>
    <t>L9.J.17040656</t>
  </si>
  <si>
    <t>190 Leitchs Road</t>
  </si>
  <si>
    <t>Brendale</t>
  </si>
  <si>
    <t>Asphalt Prod - Darwin (525)</t>
  </si>
  <si>
    <t>L9.J.170525</t>
  </si>
  <si>
    <t>Street name updated March 2015. Street name changed by Council from Tivendale Rd (August 2011).</t>
  </si>
  <si>
    <t>37 Syrimi Road</t>
  </si>
  <si>
    <t>Berrimah</t>
  </si>
  <si>
    <t>Asphalt Prod - Dunedin</t>
  </si>
  <si>
    <t>Asphalt Prod - Geraldton (602)</t>
  </si>
  <si>
    <t>L9.J.170302</t>
  </si>
  <si>
    <t>210 Goulds Road</t>
  </si>
  <si>
    <t>Narngulu</t>
  </si>
  <si>
    <t>Asphalt Prod - Gosnells (621)</t>
  </si>
  <si>
    <t>L9.J.170621</t>
  </si>
  <si>
    <t>89 Cockram Road</t>
  </si>
  <si>
    <t>Martin</t>
  </si>
  <si>
    <t>Asphalt Prod - Hamilton</t>
  </si>
  <si>
    <t>16 Manchester Place</t>
  </si>
  <si>
    <t>Te Rapa</t>
  </si>
  <si>
    <t>Asphalt Prod - Hobart (329)</t>
  </si>
  <si>
    <t>L9.J.17030565</t>
  </si>
  <si>
    <t>429 Flagstaff Gully Road</t>
  </si>
  <si>
    <t>Lindisfarne</t>
  </si>
  <si>
    <t>Asphalt Prod - Hope Valley (628)</t>
  </si>
  <si>
    <t>L9.J.17060635</t>
  </si>
  <si>
    <t>Asphalt plant</t>
  </si>
  <si>
    <t>Lot 1046 Hoyle Road</t>
  </si>
  <si>
    <t>Hope Valley</t>
  </si>
  <si>
    <t>Asphalt Prod - Hume (101)</t>
  </si>
  <si>
    <t>L9.J.17010023</t>
  </si>
  <si>
    <t>36 Sawmill Circuit</t>
  </si>
  <si>
    <t>Hume</t>
  </si>
  <si>
    <t>ACT</t>
  </si>
  <si>
    <t>Asphalt Prod - Invercargill</t>
  </si>
  <si>
    <t>210 Mersey Street</t>
  </si>
  <si>
    <t>West Invercargill</t>
  </si>
  <si>
    <t>Asphalt Prod - Lismore</t>
  </si>
  <si>
    <t>L9.J.170425</t>
  </si>
  <si>
    <t>TI-170425 - Asphalt Production - Lismore</t>
  </si>
  <si>
    <t>S40 Nimbin Rd</t>
  </si>
  <si>
    <t>Blakebrook</t>
  </si>
  <si>
    <t>Lismore</t>
  </si>
  <si>
    <t>Asphalt Prod - Mackay (400)</t>
  </si>
  <si>
    <t>L9.J.173130</t>
  </si>
  <si>
    <t>10 118 SPILLER AVE</t>
  </si>
  <si>
    <t>MACKAY HARBOUR</t>
  </si>
  <si>
    <t>Mackay</t>
  </si>
  <si>
    <t>Asphalt Prod - Mogo (154)</t>
  </si>
  <si>
    <t>L9.J.170106</t>
  </si>
  <si>
    <t>84 Bimbimbie Road</t>
  </si>
  <si>
    <t>Mogo</t>
  </si>
  <si>
    <t>Asphalt Prod - Mowbray (360)</t>
  </si>
  <si>
    <t>59 Remount Rd</t>
  </si>
  <si>
    <t>Asphalt Prod - Narrandera (113)</t>
  </si>
  <si>
    <t>L9.J.170115</t>
  </si>
  <si>
    <t>Lot 1 Driscoll Road</t>
  </si>
  <si>
    <t>Narrandera</t>
  </si>
  <si>
    <t>Asphalt Prod - New Plymouth</t>
  </si>
  <si>
    <t>106 Rifle Range Road</t>
  </si>
  <si>
    <t>Waiwhakaiho</t>
  </si>
  <si>
    <t>Asphalt Prod - Rosehill (163)</t>
  </si>
  <si>
    <t>New Rosehill site - replaced "Rosehill" on Unwins.</t>
  </si>
  <si>
    <t>Asphalt Prod - Shepparton (308)</t>
  </si>
  <si>
    <t>L9.J.17030534</t>
  </si>
  <si>
    <t>Apollo Drive</t>
  </si>
  <si>
    <t>Shepparton</t>
  </si>
  <si>
    <t>Asphalt Prod - Somerton (303)</t>
  </si>
  <si>
    <t>L9.J.17032627</t>
  </si>
  <si>
    <t>125-129 Somerton Road</t>
  </si>
  <si>
    <t>Somerton</t>
  </si>
  <si>
    <t>Asphalt Prod - Teralba (152)</t>
  </si>
  <si>
    <t>L9.J.17010979</t>
  </si>
  <si>
    <t>Rhondda Road</t>
  </si>
  <si>
    <t>Teralba</t>
  </si>
  <si>
    <t>Asphalt Prod - Traralgon (300)</t>
  </si>
  <si>
    <t>24 Rocla Road</t>
  </si>
  <si>
    <t>Traralgon</t>
  </si>
  <si>
    <t>Asphalt Prod - Wellington</t>
  </si>
  <si>
    <t>137 Centennial Highway</t>
  </si>
  <si>
    <t>Ngauranga</t>
  </si>
  <si>
    <t>Asphalt Prod - Whangarei</t>
  </si>
  <si>
    <t>Port Whangarei</t>
  </si>
  <si>
    <t>Asphalt Prod - Wingfield (523)</t>
  </si>
  <si>
    <t>L9.J.170523</t>
  </si>
  <si>
    <t>Corner of Grand Junction Road and Rosberg Road</t>
  </si>
  <si>
    <t>Wingfield</t>
  </si>
  <si>
    <t>Asphalt Prod - Wodonga (315)</t>
  </si>
  <si>
    <t>L9.J.17010341</t>
  </si>
  <si>
    <t>25 Moloney Drive</t>
  </si>
  <si>
    <t>Wodonga</t>
  </si>
  <si>
    <t>Asphalt Production - Admin</t>
  </si>
  <si>
    <t>L9.DNZJ.3501</t>
  </si>
  <si>
    <t>Asset Inspection EU Subcontractors</t>
  </si>
  <si>
    <t>L9.J.22910012</t>
  </si>
  <si>
    <t>Asset Investment Hub NZ</t>
  </si>
  <si>
    <t>L9.DNZJ.1939</t>
  </si>
  <si>
    <t>Asset Management</t>
  </si>
  <si>
    <t>L9.DNZ.810.10.130</t>
  </si>
  <si>
    <t>Asset Management (T&amp;I)</t>
  </si>
  <si>
    <t>L9.DNZJ.55904</t>
  </si>
  <si>
    <t>Asset Managemt &amp; Chip Sealing</t>
  </si>
  <si>
    <t>L9.DNZJ.55962</t>
  </si>
  <si>
    <t>Asset/Technical Projects</t>
  </si>
  <si>
    <t>AT Central Urban RCM</t>
  </si>
  <si>
    <t>L9.DNZJ.54729</t>
  </si>
  <si>
    <t>TI-NZT-54729 - AT Central Urban RCM</t>
  </si>
  <si>
    <t>AT HGI - Parent Contracts</t>
  </si>
  <si>
    <t>L9.DNZJ.550431</t>
  </si>
  <si>
    <t>7 Waitai Road</t>
  </si>
  <si>
    <t>Ostend</t>
  </si>
  <si>
    <t>Waiheke Island</t>
  </si>
  <si>
    <t>Pakuranga</t>
  </si>
  <si>
    <t>AU Fleet - Heavy EU Subcontractors</t>
  </si>
  <si>
    <t>L9.DUN.60510</t>
  </si>
  <si>
    <t>Auburn</t>
  </si>
  <si>
    <t>154 Manchester Rd</t>
  </si>
  <si>
    <t>Auckland &amp; Northland-Overhead</t>
  </si>
  <si>
    <t>Auckland (4a Wellesley Court)</t>
  </si>
  <si>
    <t>Commercial</t>
  </si>
  <si>
    <t>L9.DNZJ.91407</t>
  </si>
  <si>
    <t>COR-NZHO-91407 - Auckland (4a Wellesley Court)</t>
  </si>
  <si>
    <t>4a Wellesley Court</t>
  </si>
  <si>
    <t>Auckland Deployment EU Subcontractors</t>
  </si>
  <si>
    <t>L9.DNZ.810.20788</t>
  </si>
  <si>
    <t>Auckland Laboratory</t>
  </si>
  <si>
    <t>Auckland Mobile Network Build</t>
  </si>
  <si>
    <t>L9.DNZ.810.10.242</t>
  </si>
  <si>
    <t>Auckland People/Plant</t>
  </si>
  <si>
    <t>L9.DNZJ.66207</t>
  </si>
  <si>
    <t>Auckland Stormwater Northern EU Subcontractors</t>
  </si>
  <si>
    <t>L9.DNZJ.56116</t>
  </si>
  <si>
    <t>Auckland Telco Ops</t>
  </si>
  <si>
    <t>L9.DNZ.810.10.236</t>
  </si>
  <si>
    <t>AusNet Electricity - Fuel Cards</t>
  </si>
  <si>
    <t>L9.J.24170235</t>
  </si>
  <si>
    <t>DO_Beaconsfield, DO_Lilydale, SO_Keilor substation_closed, Bairnsdale, Seymour, Thomastown
If correct - Check which are closed and add Dandenong</t>
  </si>
  <si>
    <t>3 Melba Avenue</t>
  </si>
  <si>
    <t>Lilydale</t>
  </si>
  <si>
    <t>Mt Dandenong</t>
  </si>
  <si>
    <t>Ausnet EU Subcontractors</t>
  </si>
  <si>
    <t>L9.J.37740058</t>
  </si>
  <si>
    <t>AusNet Gas - Fuel Cards</t>
  </si>
  <si>
    <t>DO_Ararat, DO_Ballarat, DO_Bendigo, DO_Colac, DO_Geelong, DO_Hamilton, DO_Horsham, DO_Laverton Operations, DO_Portland, DO_Warrnambool, DO_Woodend, Korumburra,</t>
  </si>
  <si>
    <t>49a Rossmoyne Rd, Colac</t>
  </si>
  <si>
    <t>AusNet Mornington BESS</t>
  </si>
  <si>
    <t>L9.J.24135002</t>
  </si>
  <si>
    <t>AusNet Services EU Subcontractors</t>
  </si>
  <si>
    <t>L9.J.3774002001</t>
  </si>
  <si>
    <t>Ausnet_Elec_Alexandra</t>
  </si>
  <si>
    <t>AEAD</t>
  </si>
  <si>
    <t>1 Bayley St</t>
  </si>
  <si>
    <t>Alexandra</t>
  </si>
  <si>
    <t>Ausnet_Elec_Lucknow</t>
  </si>
  <si>
    <t>AELN</t>
  </si>
  <si>
    <t>14 Meringo Place</t>
  </si>
  <si>
    <t>Lucknow</t>
  </si>
  <si>
    <t>Ausnet_Elec_Mansfield</t>
  </si>
  <si>
    <t>AEMF</t>
  </si>
  <si>
    <t>16 Crosby Lane</t>
  </si>
  <si>
    <t>Mansfield</t>
  </si>
  <si>
    <t>Ausnet_Elec_Myrtleford</t>
  </si>
  <si>
    <t>AEMYF</t>
  </si>
  <si>
    <t>10-13 Mathews St</t>
  </si>
  <si>
    <t>Myrtleford</t>
  </si>
  <si>
    <t>Ausnet_Elec_Sale</t>
  </si>
  <si>
    <t>AES</t>
  </si>
  <si>
    <t>7-9 Dawson Street</t>
  </si>
  <si>
    <t>Sale</t>
  </si>
  <si>
    <t>Ausnet_Elec_Thomastown</t>
  </si>
  <si>
    <t>AETT</t>
  </si>
  <si>
    <t>49 Nevin Drive</t>
  </si>
  <si>
    <t>Thomastown</t>
  </si>
  <si>
    <t>Ausnet_Elec_Traralgon</t>
  </si>
  <si>
    <t>AETG</t>
  </si>
  <si>
    <t>5 Stratton Drive</t>
  </si>
  <si>
    <t>Ausnet_Elec_Wangaratta</t>
  </si>
  <si>
    <t>PN5134</t>
  </si>
  <si>
    <t>4 Gibson St</t>
  </si>
  <si>
    <t>Wangaratta</t>
  </si>
  <si>
    <t>Ausnet_Elec_Wodonga</t>
  </si>
  <si>
    <t>AEWD</t>
  </si>
  <si>
    <t>24 Moloney Drive</t>
  </si>
  <si>
    <t>Ausnet_Gas_Ararat</t>
  </si>
  <si>
    <t>AGAR</t>
  </si>
  <si>
    <t>5 McGibbony Street</t>
  </si>
  <si>
    <t>Ausnet_Gas_Colac West</t>
  </si>
  <si>
    <t>AGCW</t>
  </si>
  <si>
    <t>49 Rossmoyne Road</t>
  </si>
  <si>
    <t>Colac West</t>
  </si>
  <si>
    <t>Ausnet_Gas_Geelong East</t>
  </si>
  <si>
    <t>AGGE</t>
  </si>
  <si>
    <t>31 Leather Street</t>
  </si>
  <si>
    <t>Geelong East</t>
  </si>
  <si>
    <t>Ausnet_Gas_North Bendigo</t>
  </si>
  <si>
    <t>AGNB</t>
  </si>
  <si>
    <t>116-118 Holmes Road</t>
  </si>
  <si>
    <t>North Bendigo</t>
  </si>
  <si>
    <t>Ausnet_Gas_Portland - Browning</t>
  </si>
  <si>
    <t>AGPLB</t>
  </si>
  <si>
    <t>102 Browning Street</t>
  </si>
  <si>
    <t>Portland</t>
  </si>
  <si>
    <t>Ausnet_Gas_Portland - Kunara</t>
  </si>
  <si>
    <t>AGPLK</t>
  </si>
  <si>
    <t>7 Kunara Crescent</t>
  </si>
  <si>
    <t>Ausnet_Gas_Springvale</t>
  </si>
  <si>
    <t>AGSV</t>
  </si>
  <si>
    <t>31 Rosalie Street</t>
  </si>
  <si>
    <t>Springvale</t>
  </si>
  <si>
    <t>Ausnet_Gas_Warrnambool</t>
  </si>
  <si>
    <t>AGWB</t>
  </si>
  <si>
    <t>13 Dickson Street</t>
  </si>
  <si>
    <t>Warrnambool</t>
  </si>
  <si>
    <t>Ausnet_Gas_Wendouree</t>
  </si>
  <si>
    <t>AGWD</t>
  </si>
  <si>
    <t>353 Dowling Street</t>
  </si>
  <si>
    <t>Austins Ferry</t>
  </si>
  <si>
    <t>L9.J.17030687</t>
  </si>
  <si>
    <t>3 Whitestone Drive</t>
  </si>
  <si>
    <t>Automation Nth Island</t>
  </si>
  <si>
    <t>Automation Sth Island EU Subcontractors</t>
  </si>
  <si>
    <t>L9.DNZJ.56152</t>
  </si>
  <si>
    <t>B&amp;I NZ Management</t>
  </si>
  <si>
    <t>L9.S.23000783</t>
  </si>
  <si>
    <t>B201 REDEVELOPMENT UOA</t>
  </si>
  <si>
    <t>L9.DNZ.HA0397</t>
  </si>
  <si>
    <t>JP_HA0397</t>
  </si>
  <si>
    <t>Balance of Plant Turitea</t>
  </si>
  <si>
    <t>L9.DNZJ.DN1168</t>
  </si>
  <si>
    <t>JP_DN1168</t>
  </si>
  <si>
    <t>BALANCE OF PLANT TURITEA SOUTH</t>
  </si>
  <si>
    <t>L9.DNZJ.DN1182</t>
  </si>
  <si>
    <t>JP_DN1182</t>
  </si>
  <si>
    <t>Balance Sheet EU Subcontractors</t>
  </si>
  <si>
    <t>L9.DNZJ.56000</t>
  </si>
  <si>
    <t>Balclutha Depot</t>
  </si>
  <si>
    <t>Baw Baw Shire</t>
  </si>
  <si>
    <t>L9.J.17021182</t>
  </si>
  <si>
    <t>Mobile office within Fowlers Trafalgar Yard.</t>
  </si>
  <si>
    <t>Belgrove Subdivision Stage 2</t>
  </si>
  <si>
    <t>L9.DNZJ.551106</t>
  </si>
  <si>
    <t>Benalla</t>
  </si>
  <si>
    <t>L9.J.17020788</t>
  </si>
  <si>
    <t>50 - 52 Clarke St</t>
  </si>
  <si>
    <t>Berolina EU Subcontractors</t>
  </si>
  <si>
    <t>L9.J.23900097</t>
  </si>
  <si>
    <t>Bid/Estimating</t>
  </si>
  <si>
    <t>L9.DNZJ.55906</t>
  </si>
  <si>
    <t>Bio Security People/Plant</t>
  </si>
  <si>
    <t>L9.DNZJ.67200</t>
  </si>
  <si>
    <t>Bitumen - Bluff</t>
  </si>
  <si>
    <t>Plant, Manufacturing</t>
  </si>
  <si>
    <t>50 Foreshore Road</t>
  </si>
  <si>
    <t>Bitumen - Lyttleton</t>
  </si>
  <si>
    <t>Charlotte Jane Quay</t>
  </si>
  <si>
    <t>Bitumen - Mt Maunganui</t>
  </si>
  <si>
    <t>198 Totara Street</t>
  </si>
  <si>
    <t>Bitumen - Taranaki</t>
  </si>
  <si>
    <t>1 Wharf Street</t>
  </si>
  <si>
    <t>Port Taranaki</t>
  </si>
  <si>
    <t>Bitumen Transport - Qantas Dr.</t>
  </si>
  <si>
    <t>L9.J.170927</t>
  </si>
  <si>
    <t>Glen Thomson’s Bitumen Transport team
Changed over to this address in October 19</t>
  </si>
  <si>
    <t>60-62 Qantas Drive</t>
  </si>
  <si>
    <t>Brisbane Airport</t>
  </si>
  <si>
    <t>Blenheim (29 Old Renwick Road)</t>
  </si>
  <si>
    <t>Storage / Warehouse</t>
  </si>
  <si>
    <t>L9.DNZJ.91388</t>
  </si>
  <si>
    <t>COR-NZHO.91388-Blenheim (29 Old Renwick Road)
Stables  33 Old Renwick Road  Springlands  Blenheim 7201  Marlborough Region</t>
  </si>
  <si>
    <t>29 Old Renwick Road</t>
  </si>
  <si>
    <t>Blenheim/Kaikoura Telco Ops</t>
  </si>
  <si>
    <t>L9.DNZ.810.10.180</t>
  </si>
  <si>
    <t>Bluff Hill Watermain</t>
  </si>
  <si>
    <t>L9.DNZJ.561281</t>
  </si>
  <si>
    <t>BOP Omanawa - 345 Matakokiri Drive, Tauranga</t>
  </si>
  <si>
    <t>Laboratory</t>
  </si>
  <si>
    <t>BOP Overhead</t>
  </si>
  <si>
    <t>L9.DNZJ.55935</t>
  </si>
  <si>
    <t>BOP People/Plant</t>
  </si>
  <si>
    <t>L9.DNZJ.66202</t>
  </si>
  <si>
    <t>BP Oil NZ Christchurch 45003854</t>
  </si>
  <si>
    <t>L9.S.26019498</t>
  </si>
  <si>
    <t>BP Oil NZ Rotorua 45003857</t>
  </si>
  <si>
    <t>L9.S.26019532</t>
  </si>
  <si>
    <t>BP Oil NZ Tauranga 45003857</t>
  </si>
  <si>
    <t>L9.S.26019537</t>
  </si>
  <si>
    <t>BP Oil NZ Wanganui 45003858</t>
  </si>
  <si>
    <t>L9.S.26019600</t>
  </si>
  <si>
    <t>BP Oil NZ Wellington 45003855</t>
  </si>
  <si>
    <t>L9.S.26019511</t>
  </si>
  <si>
    <t>BRANZ WESTSIDE</t>
  </si>
  <si>
    <t>L9.DNZ.HW0217</t>
  </si>
  <si>
    <t>JP_HW0217</t>
  </si>
  <si>
    <t>Build Services Leadership</t>
  </si>
  <si>
    <t>L9.DNZJ.10088</t>
  </si>
  <si>
    <t>Bunbury</t>
  </si>
  <si>
    <t>Warehouse</t>
  </si>
  <si>
    <t>L9.J.382703</t>
  </si>
  <si>
    <t>ASV-382703</t>
  </si>
  <si>
    <t>9 Stokes Way</t>
  </si>
  <si>
    <t>Davenport</t>
  </si>
  <si>
    <t>Burnham Operations 45003019</t>
  </si>
  <si>
    <t>L9.S.26016948</t>
  </si>
  <si>
    <t>Canterbury, Selwyn, Burnham, Russell Rd (Burnham Camp)</t>
  </si>
  <si>
    <t>Burnham</t>
  </si>
  <si>
    <t>Business Support EU Subcontractors</t>
  </si>
  <si>
    <t>L9.DNZ.810.10.257</t>
  </si>
  <si>
    <t>C&amp;J 3 Water</t>
  </si>
  <si>
    <t>L9.DNZ.810.20907</t>
  </si>
  <si>
    <t>C1057 Road Maint. Services</t>
  </si>
  <si>
    <t>L9.DNZJ.551970</t>
  </si>
  <si>
    <t>CALLAGHAN LIBRARY REFURBISHMNT</t>
  </si>
  <si>
    <t>L9.DNZ.HW0230</t>
  </si>
  <si>
    <t>JP_HW0230</t>
  </si>
  <si>
    <t>70 Molesworth Street</t>
  </si>
  <si>
    <t>Thorndon</t>
  </si>
  <si>
    <t>L9.J.10920016</t>
  </si>
  <si>
    <t>COR-10920016</t>
  </si>
  <si>
    <t>L9 INX Workgroup</t>
  </si>
  <si>
    <t>Canning Vale Minor Works</t>
  </si>
  <si>
    <t>L9.J.301305</t>
  </si>
  <si>
    <t>Cannington Emulsion Plant</t>
  </si>
  <si>
    <t>Emulsion Plant</t>
  </si>
  <si>
    <t>L9.J.170926</t>
  </si>
  <si>
    <t>59-65 Bickley Road</t>
  </si>
  <si>
    <t>Cannington</t>
  </si>
  <si>
    <t>Canterbury Overhead</t>
  </si>
  <si>
    <t>L9.DNZJ.54942</t>
  </si>
  <si>
    <t>TI-NZT-54942 - Canterbury Overhead</t>
  </si>
  <si>
    <t>Canterbury People/Plant OSM</t>
  </si>
  <si>
    <t>L9.DNZJ.66200</t>
  </si>
  <si>
    <t>Canterbury-Cap Asphalt 16/17</t>
  </si>
  <si>
    <t>L9.DNZJ.554217</t>
  </si>
  <si>
    <t>Capital Coast Kenepuru - 45002542</t>
  </si>
  <si>
    <t>L9.S.24000126</t>
  </si>
  <si>
    <t>Cardiff - Rail</t>
  </si>
  <si>
    <t>L9.J.709301</t>
  </si>
  <si>
    <t>460 Main Road</t>
  </si>
  <si>
    <t>Glendale</t>
  </si>
  <si>
    <t>CATHLAB 1 FITOUT</t>
  </si>
  <si>
    <t>L9.DNZ.HC0353</t>
  </si>
  <si>
    <t>JP_HC0353</t>
  </si>
  <si>
    <t>CCA NZ (FM) 45003859</t>
  </si>
  <si>
    <t>L9.S.24000333</t>
  </si>
  <si>
    <t>CCC Water Main Renewals Ilam</t>
  </si>
  <si>
    <t>L9.DNZJ.DS2664</t>
  </si>
  <si>
    <t>JP_DS2664</t>
  </si>
  <si>
    <t>532 Blenheim Road</t>
  </si>
  <si>
    <t>Sockburn</t>
  </si>
  <si>
    <t>Ceduna</t>
  </si>
  <si>
    <t>L9.J.170251</t>
  </si>
  <si>
    <t>8 Eyre Highway</t>
  </si>
  <si>
    <t>Cell Towers</t>
  </si>
  <si>
    <t>L9.DNZJ.91999</t>
  </si>
  <si>
    <t>Central Corrections</t>
  </si>
  <si>
    <t>L9.DNZ.810.10.133</t>
  </si>
  <si>
    <t>Central Food AOR</t>
  </si>
  <si>
    <t>L9.S.26019477</t>
  </si>
  <si>
    <t>Central Hawkes Bay (2020) -RCM</t>
  </si>
  <si>
    <t>L9.DNZJ.55197</t>
  </si>
  <si>
    <t>Central Otago Telco Ops</t>
  </si>
  <si>
    <t>L9.DNZ.810.10.124</t>
  </si>
  <si>
    <t>Central Regional</t>
  </si>
  <si>
    <t>L9.DNZ.810.10.134</t>
  </si>
  <si>
    <t>Chatham Islands Airport - L&amp;S</t>
  </si>
  <si>
    <t>L9.DNZJ.DS2668</t>
  </si>
  <si>
    <t>JP_DS2668</t>
  </si>
  <si>
    <t>CHCH PERFORMING ARTS PRECINCT</t>
  </si>
  <si>
    <t>L9.DNZ.HS0164</t>
  </si>
  <si>
    <t>JP_HS0164</t>
  </si>
  <si>
    <t>ChCh Plant</t>
  </si>
  <si>
    <t>L9.DNZJ.8103</t>
  </si>
  <si>
    <t>397 McLeans Island Road</t>
  </si>
  <si>
    <t>McLeans Island</t>
  </si>
  <si>
    <t>Chevron EU Subcontractors</t>
  </si>
  <si>
    <t>L9.ENG.360.12905</t>
  </si>
  <si>
    <t>Chip Sealing - Lower South</t>
  </si>
  <si>
    <t>L9.DNZJ.55390</t>
  </si>
  <si>
    <t>Chorus FSA Transition</t>
  </si>
  <si>
    <t>L9.DNZ.810.10.034</t>
  </si>
  <si>
    <t>Chorus RBI</t>
  </si>
  <si>
    <t>L9.DNZ.810.10.246</t>
  </si>
  <si>
    <t>Christchurch (118 Salisbury St</t>
  </si>
  <si>
    <t>Residential</t>
  </si>
  <si>
    <t>L9.DNZJ.91408</t>
  </si>
  <si>
    <t>COR-NZHO-91408 - Christchurch (118 Salisbury St</t>
  </si>
  <si>
    <t>Christchurch (133 Cavendish Rd</t>
  </si>
  <si>
    <t>Storage</t>
  </si>
  <si>
    <t>L9.DNZJ.91393</t>
  </si>
  <si>
    <t>COR-91393 - Christchurch (133 Cavendish Rd
T&amp;I Setdown Area
Metered temporary - Site Shed  133 Cavendish Road  Redwood  Christchurch</t>
  </si>
  <si>
    <t>Christchurch (40 Ballarat Way)</t>
  </si>
  <si>
    <t>L9.DNZJ.91423</t>
  </si>
  <si>
    <t>40 Ballarat Way</t>
  </si>
  <si>
    <t>Wigram</t>
  </si>
  <si>
    <t>Christchurch Build</t>
  </si>
  <si>
    <t>L9.DNZ.810.10.232</t>
  </si>
  <si>
    <t>Christchurch Chorus M&amp;P</t>
  </si>
  <si>
    <t>L9.DNZ.810.10.188</t>
  </si>
  <si>
    <t>Christchurch Depot(McLeans Is)</t>
  </si>
  <si>
    <t>397 Mcleans Island Road</t>
  </si>
  <si>
    <t>Mcleans Island</t>
  </si>
  <si>
    <t>Christchurch ISP</t>
  </si>
  <si>
    <t>L9.DNZ.810.10.181</t>
  </si>
  <si>
    <t>Christchurch ISP EU Subcontractors</t>
  </si>
  <si>
    <t>L9.DNZJ.10181</t>
  </si>
  <si>
    <t>Christchurch Laboratory</t>
  </si>
  <si>
    <t>Christchurch Maintenance (FM) - 45002890</t>
  </si>
  <si>
    <t>L9.S.24000259</t>
  </si>
  <si>
    <t>Christchurch Mob/Maint/Build</t>
  </si>
  <si>
    <t>L9.DNZ.810.10.248</t>
  </si>
  <si>
    <t>Christchurch Mob/Maint/Build EU Subcontractors</t>
  </si>
  <si>
    <t>L9.DNZ.810.20568</t>
  </si>
  <si>
    <t>Christchurch Operations 45003019</t>
  </si>
  <si>
    <t>L9.S.26016955</t>
  </si>
  <si>
    <t>Christchurch Vodafone OSP</t>
  </si>
  <si>
    <t>L9.DNZ.810.10.182</t>
  </si>
  <si>
    <t>City of Melton Roads and Drainage Asset Maintenanc</t>
  </si>
  <si>
    <t>L9.J.170232</t>
  </si>
  <si>
    <t>CLIFTON COURT STREETSCAPE</t>
  </si>
  <si>
    <t>L9.DNZJ.553348</t>
  </si>
  <si>
    <t>CLOSED</t>
  </si>
  <si>
    <t>CLOSED_NZ_Tuvalu</t>
  </si>
  <si>
    <t>L9.DNZJ.300208</t>
  </si>
  <si>
    <t>TI-NZT-300208 - Pacific Recharge - Tuvalu</t>
  </si>
  <si>
    <t>Funafuti</t>
  </si>
  <si>
    <t>Tuvalu</t>
  </si>
  <si>
    <t>CNOC Rehabs</t>
  </si>
  <si>
    <t>L9.DNZJ.550728</t>
  </si>
  <si>
    <t>Collins St - IS-Roads Head Office</t>
  </si>
  <si>
    <t>L9.J.170228</t>
  </si>
  <si>
    <t>Consolidation of 303 Collins St &amp; Port Melbourne offices from 22/05/2017</t>
  </si>
  <si>
    <t>L9.DNZJ.63930</t>
  </si>
  <si>
    <t>Commercial &amp; Finance</t>
  </si>
  <si>
    <t>Commercial and Risk</t>
  </si>
  <si>
    <t>L9.DNZJ.56904</t>
  </si>
  <si>
    <t>Commercial Solar EU Subcontractors</t>
  </si>
  <si>
    <t>L9.J.50129994</t>
  </si>
  <si>
    <t>Communications</t>
  </si>
  <si>
    <t>Compliance Management</t>
  </si>
  <si>
    <t>L9.DNZ.810.10.129</t>
  </si>
  <si>
    <t>Connect Blenheim EU Subcontractors</t>
  </si>
  <si>
    <t>L9.DNZ.810.20920</t>
  </si>
  <si>
    <t>Connect Canterbury EU Subcontractors</t>
  </si>
  <si>
    <t>L9.DNZ.810.20918</t>
  </si>
  <si>
    <t>Connect Canterbury V2 EU Subcontractors</t>
  </si>
  <si>
    <t>L9.DNZJ.10187</t>
  </si>
  <si>
    <t>Connect Central Otago/Lakes v2 EU Subcontractors</t>
  </si>
  <si>
    <t>L9.DNZ.810.20993</t>
  </si>
  <si>
    <t>Connect CSA01 MDU/ROW Build EU Subcontractors</t>
  </si>
  <si>
    <t>L9.DNZ.810.20974</t>
  </si>
  <si>
    <t>Connect Dunedin v2 EU Subcontractors</t>
  </si>
  <si>
    <t>L9.DNZ.810.10.225</t>
  </si>
  <si>
    <t>Connect Invercargill EU Subcontractors</t>
  </si>
  <si>
    <t>L9.DNZ.810.20914</t>
  </si>
  <si>
    <t>Connect Nelson EU Subcontractors</t>
  </si>
  <si>
    <t>L9.DNZ.810.21021</t>
  </si>
  <si>
    <t>Connect Nelson/ EU Subcontractors</t>
  </si>
  <si>
    <t>L9.DNZJ.10076</t>
  </si>
  <si>
    <t>Connect Nelson/Tasman EU Subcontractors</t>
  </si>
  <si>
    <t>L9.DNZ.810.20919</t>
  </si>
  <si>
    <t>Connect Timaru V2 EU Subcontractors</t>
  </si>
  <si>
    <t>L9.DNZ.810.21004</t>
  </si>
  <si>
    <t>Connect West Coast EU Subcontractors</t>
  </si>
  <si>
    <t>L9.DNZ.810.20921</t>
  </si>
  <si>
    <t>Construct Staff - MMA</t>
  </si>
  <si>
    <t>L9.DNZJ.8882</t>
  </si>
  <si>
    <t>Construct Staff - TAT</t>
  </si>
  <si>
    <t>L9.DNZJ.8135</t>
  </si>
  <si>
    <t>TI-NZT-8135 - Construct Staff - TAT</t>
  </si>
  <si>
    <t>Construct Staff - TREC</t>
  </si>
  <si>
    <t>L9.DNZJ.8881</t>
  </si>
  <si>
    <t>TI-NZT - Transport Projects North Support Costs</t>
  </si>
  <si>
    <t>Construct Staff-Major Projects</t>
  </si>
  <si>
    <t>Construction - Otago</t>
  </si>
  <si>
    <t>L9.DNZJ.55377</t>
  </si>
  <si>
    <t>Construction - Taranaki</t>
  </si>
  <si>
    <t>L9.DNZJ.55173</t>
  </si>
  <si>
    <t>Construction - Tasman</t>
  </si>
  <si>
    <t>L9.DNZJ.55310</t>
  </si>
  <si>
    <t>Construction (Hawkes Bay)</t>
  </si>
  <si>
    <t>L9.DNZJ.55185</t>
  </si>
  <si>
    <t>Construction EU Subcontractors</t>
  </si>
  <si>
    <t>L9.S.UECONSTR00</t>
  </si>
  <si>
    <t>Construction National DOH</t>
  </si>
  <si>
    <t>L9.DNZJ.56790</t>
  </si>
  <si>
    <t>Construction Otago/Southland EU Subcontractors</t>
  </si>
  <si>
    <t>L9.DNZJ.56138</t>
  </si>
  <si>
    <t>Construction South</t>
  </si>
  <si>
    <t>L9.DNZJ.8140</t>
  </si>
  <si>
    <t>Construction Staff</t>
  </si>
  <si>
    <t>Construction Staff - MP</t>
  </si>
  <si>
    <t>L9.DNZJ.8880</t>
  </si>
  <si>
    <t>Construction Staff 2</t>
  </si>
  <si>
    <t>Construction-Central</t>
  </si>
  <si>
    <t>L9.DNZJ.55397</t>
  </si>
  <si>
    <t>Coober Pedy Depot</t>
  </si>
  <si>
    <t>L9.J.17021040</t>
  </si>
  <si>
    <t>Cooper Pedy depot owned by DIT, co shared shared with SARS</t>
  </si>
  <si>
    <t>Lot 1305 Hutchinson Street,</t>
  </si>
  <si>
    <t>Cooper Pedy</t>
  </si>
  <si>
    <t>Copy of _CLOSED_ AGIS Braddon</t>
  </si>
  <si>
    <t>Coromandel - SP 123</t>
  </si>
  <si>
    <t>L9.DUN.60123</t>
  </si>
  <si>
    <t>PG60123</t>
  </si>
  <si>
    <t>Corporate - Offices (Cairns QLD)</t>
  </si>
  <si>
    <t>89 Cook Street</t>
  </si>
  <si>
    <t>Portsmith</t>
  </si>
  <si>
    <t>Corporate - Offices (Townsville QLD)</t>
  </si>
  <si>
    <t>L9.J.150100</t>
  </si>
  <si>
    <t>15-19 Dalrymple Rd</t>
  </si>
  <si>
    <t>Corporate Plant Pool</t>
  </si>
  <si>
    <t>L9.J.351101</t>
  </si>
  <si>
    <t>Includes shared services pool, plant from divestments and others that could not be allocated to divisions.</t>
  </si>
  <si>
    <t>Corrections&amp;Justice - Recharge</t>
  </si>
  <si>
    <t>L9.DNZ.810.10.139</t>
  </si>
  <si>
    <t>CP - Direct Connect Container</t>
  </si>
  <si>
    <t>L9.DNZJ.552407</t>
  </si>
  <si>
    <t>CRL3 - Lease P&amp;L</t>
  </si>
  <si>
    <t>CROFTON DOWNS PRIMARY SCHOOL</t>
  </si>
  <si>
    <t>L9.DNZ.HW0219</t>
  </si>
  <si>
    <t>JP_HW0219</t>
  </si>
  <si>
    <t>Cromwell WWTP</t>
  </si>
  <si>
    <t>L9.DNZJ.PS2632</t>
  </si>
  <si>
    <t>PS2632</t>
  </si>
  <si>
    <t>CS - City of Melbourne - Street Cleaning</t>
  </si>
  <si>
    <t>L9.S.14000697</t>
  </si>
  <si>
    <t>Street Cleaning</t>
  </si>
  <si>
    <t>CS Energy Alliance EU Subcontractors</t>
  </si>
  <si>
    <t>L9.J.38215119</t>
  </si>
  <si>
    <t>CSA02 Connect MDU/ROW Build EU Subcontractors</t>
  </si>
  <si>
    <t>L9.DNZ.810.20975</t>
  </si>
  <si>
    <t>Culverden (26 Lyndon St)</t>
  </si>
  <si>
    <t>L9.DNZJ.91325</t>
  </si>
  <si>
    <t>Culverden</t>
  </si>
  <si>
    <t>Culvert 49</t>
  </si>
  <si>
    <t>L9.DNZJ.552160</t>
  </si>
  <si>
    <t>TI-NZT-552160 - Culvert 49</t>
  </si>
  <si>
    <t>CWA Alliance Holding</t>
  </si>
  <si>
    <t>L9.DNZJ.1515</t>
  </si>
  <si>
    <t>Dandenong - P&amp;E</t>
  </si>
  <si>
    <t>L9.J.170334</t>
  </si>
  <si>
    <t>Dandenong - PAV</t>
  </si>
  <si>
    <t>L9.J.17092061</t>
  </si>
  <si>
    <t>Office moved from 1 Colemans Rd Dandenong (EDRS facility number 81)</t>
  </si>
  <si>
    <t>434-442 South Gippsland Highway</t>
  </si>
  <si>
    <t>Dandenong</t>
  </si>
  <si>
    <t>Dandenong Depot</t>
  </si>
  <si>
    <t>L9.J.10920033</t>
  </si>
  <si>
    <t>Dannevirke (9 Oringi Road)</t>
  </si>
  <si>
    <t>L9.DNZJ.91267</t>
  </si>
  <si>
    <t>9 Oringi Road</t>
  </si>
  <si>
    <t>Dannevirke</t>
  </si>
  <si>
    <t>Dargaville Depot</t>
  </si>
  <si>
    <t>L9.DNZJ.55512</t>
  </si>
  <si>
    <t>6 Day Street</t>
  </si>
  <si>
    <t>Darwin - BIT</t>
  </si>
  <si>
    <t>L9.J.170529</t>
  </si>
  <si>
    <t>BBIT</t>
  </si>
  <si>
    <t>Storage Yard</t>
  </si>
  <si>
    <t>Darwin - P&amp;E</t>
  </si>
  <si>
    <t>L9.J.170591</t>
  </si>
  <si>
    <t>DCC9776 Seacliff WWTP Upgrade EU Subcontractors</t>
  </si>
  <si>
    <t>L9.DNZJ.561469</t>
  </si>
  <si>
    <t>Defence FSU &amp; Corp OHs</t>
  </si>
  <si>
    <t>L9.S.23000753</t>
  </si>
  <si>
    <t>Defence NZ Off Charge</t>
  </si>
  <si>
    <t>Dep_Road_Science</t>
  </si>
  <si>
    <t>L9.DNZJ.3000</t>
  </si>
  <si>
    <t>Dep_SELWIN_STREET_Compound</t>
  </si>
  <si>
    <t>L9.DNZJ.8100</t>
  </si>
  <si>
    <t>Dep_Transmission Gully</t>
  </si>
  <si>
    <t>L9.DNZJ.352402</t>
  </si>
  <si>
    <t>Design &amp; Planning Manager</t>
  </si>
  <si>
    <t>L9.DUN.60300</t>
  </si>
  <si>
    <t>PG60300</t>
  </si>
  <si>
    <t>Design Estimation North</t>
  </si>
  <si>
    <t>L9.DNZ.810.10.083</t>
  </si>
  <si>
    <t>PG32010</t>
  </si>
  <si>
    <t>Design Estimation South</t>
  </si>
  <si>
    <t>L9.DUN.32020</t>
  </si>
  <si>
    <t>PG32020</t>
  </si>
  <si>
    <t>DESIGN EU Subcontractors</t>
  </si>
  <si>
    <t>L9.DNZJ.10182</t>
  </si>
  <si>
    <t>Design Upper North Island</t>
  </si>
  <si>
    <t>L9.DNZ.810.10.038</t>
  </si>
  <si>
    <t>DETROIT APRTMNTS EARTHQUAKE RE</t>
  </si>
  <si>
    <t>L9.DNZ.HW0244</t>
  </si>
  <si>
    <t>JP_HW0244</t>
  </si>
  <si>
    <t>DIA Wellington Cafe (Food)-45003741</t>
  </si>
  <si>
    <t>L9.S.26018074</t>
  </si>
  <si>
    <t>51 Pipitea Street</t>
  </si>
  <si>
    <t>Digital Engineering</t>
  </si>
  <si>
    <t>L9.DNZJ.55974</t>
  </si>
  <si>
    <t>Direct Overhead EU Subcontractors</t>
  </si>
  <si>
    <t>L9.J.240103</t>
  </si>
  <si>
    <t>Director &amp; Operations Manager</t>
  </si>
  <si>
    <t>L9.DNZ.810.10.126</t>
  </si>
  <si>
    <t>DMH EU Subcontractors</t>
  </si>
  <si>
    <t>L9.J.38300006</t>
  </si>
  <si>
    <t>DNZ National Radio Comms</t>
  </si>
  <si>
    <t>L9.DNZJ.561544</t>
  </si>
  <si>
    <t>113 Halfway Bush Road</t>
  </si>
  <si>
    <t>DoC/MoJ 3 Waters Work</t>
  </si>
  <si>
    <t>L9.DNZJ.561160</t>
  </si>
  <si>
    <t>DOMESTIC JET TERMINAL (DJT)</t>
  </si>
  <si>
    <t>L9.DNZ.HA0423</t>
  </si>
  <si>
    <t>JP_HA0423</t>
  </si>
  <si>
    <t>TI-NZT-BP.HA0423 - AIAL Domestic Jet Terminal</t>
  </si>
  <si>
    <t>Downer Cranes Auckland</t>
  </si>
  <si>
    <t>L9.DNZJ.1927</t>
  </si>
  <si>
    <t>Downer Kwinana office &amp; workshop</t>
  </si>
  <si>
    <t>Offices</t>
  </si>
  <si>
    <t>L9.J.38170009</t>
  </si>
  <si>
    <t>54 Burlington Street</t>
  </si>
  <si>
    <t>NAVAL BASE</t>
  </si>
  <si>
    <t>Downer Professional Services Office</t>
  </si>
  <si>
    <t>L9.J.500006</t>
  </si>
  <si>
    <t>Civic Quarter, Level 3/68 Northbourne Ave</t>
  </si>
  <si>
    <t>DOWSP Urban Utilities Program</t>
  </si>
  <si>
    <t>L9.J.24160100</t>
  </si>
  <si>
    <t>Dsgner One NZ Fxd Proj Man</t>
  </si>
  <si>
    <t>Dunedin (195a Cumberland St)</t>
  </si>
  <si>
    <t>L9.DNZJ.91374</t>
  </si>
  <si>
    <t>195A Cumberland Street</t>
  </si>
  <si>
    <t>Central Dunedin</t>
  </si>
  <si>
    <t>Dunedin (31 Morrison Street)</t>
  </si>
  <si>
    <t>L9.DNZJ.91356</t>
  </si>
  <si>
    <t>Dunedin (3-53 Albert St)</t>
  </si>
  <si>
    <t>L9.DNZJ.91421</t>
  </si>
  <si>
    <t>Not in INX. Temporarily allocated to corporate.</t>
  </si>
  <si>
    <t>Dunedin Depot (Green Island )</t>
  </si>
  <si>
    <t>135 Main South Road</t>
  </si>
  <si>
    <t>Green Island</t>
  </si>
  <si>
    <t>E&amp;U Unallocated fuel expenses</t>
  </si>
  <si>
    <t>L9.J.241107</t>
  </si>
  <si>
    <t>East Design Estimating</t>
  </si>
  <si>
    <t>L9.DUN.60311</t>
  </si>
  <si>
    <t>PG60311</t>
  </si>
  <si>
    <t>East Preston - Rail (Tram Maintenance Depot)</t>
  </si>
  <si>
    <t>L9.J.709100</t>
  </si>
  <si>
    <t>Construction from Dec-17Part-Operation from May-18</t>
  </si>
  <si>
    <t>211 Plenty Road</t>
  </si>
  <si>
    <t>Preston</t>
  </si>
  <si>
    <t>Eastern Creek</t>
  </si>
  <si>
    <t>L9.J.170160</t>
  </si>
  <si>
    <t>50 Eastern Creek Drive</t>
  </si>
  <si>
    <t>Eastern Creek - P&amp;E</t>
  </si>
  <si>
    <t>L9.J.170145</t>
  </si>
  <si>
    <t>EP&amp;E</t>
  </si>
  <si>
    <t>Eastern Electricity Services</t>
  </si>
  <si>
    <t>L9.DUN.60100</t>
  </si>
  <si>
    <t>PG60100</t>
  </si>
  <si>
    <t>EASTERN TERMINAL INTEGRATION</t>
  </si>
  <si>
    <t>L9.DNZ.HA0409</t>
  </si>
  <si>
    <t>JP_HA0409</t>
  </si>
  <si>
    <t>Eastown Rd - Sewer Replacement</t>
  </si>
  <si>
    <t>L9.DNZJ.552414</t>
  </si>
  <si>
    <t>TI-NZT-552414 - Eastown Rd - Sewer Replacement</t>
  </si>
  <si>
    <t>Elbow Boat Ramp Upgrade</t>
  </si>
  <si>
    <t>L9.DNZJ.550717</t>
  </si>
  <si>
    <t>ELIZABETH STREET CIVILS</t>
  </si>
  <si>
    <t>L9.DNZ.HC0347</t>
  </si>
  <si>
    <t>JP_HC0347</t>
  </si>
  <si>
    <t>Ellerslie (600 GSR)</t>
  </si>
  <si>
    <t>L9.DNZJ.91138</t>
  </si>
  <si>
    <t>Emergency Services Build EU Subcontractors</t>
  </si>
  <si>
    <t>L9.DNZ.810.20781</t>
  </si>
  <si>
    <t>Emulsion - Bluff</t>
  </si>
  <si>
    <t>L9.DNZJ.3051</t>
  </si>
  <si>
    <t>L9.DNZJ.55970</t>
  </si>
  <si>
    <t>Engineering &amp; Optimisation Prj</t>
  </si>
  <si>
    <t>L9.DNZJ.55975</t>
  </si>
  <si>
    <t>Engineering Services EU Subcontractors</t>
  </si>
  <si>
    <t>L9.DNZJ.56141</t>
  </si>
  <si>
    <t>Engineers Camp (Lewis Pass)</t>
  </si>
  <si>
    <t>Enterprise NZ Trust 45000647</t>
  </si>
  <si>
    <t>L9.S.26014870</t>
  </si>
  <si>
    <t>SI-NZF-26014870 - Enterprise NZ Trust (SI-NZ Spotless - Cleaning)</t>
  </si>
  <si>
    <t>L9.J.17011631</t>
  </si>
  <si>
    <t>New Somerton depot for North West Metro contract.</t>
  </si>
  <si>
    <t>65 Willandra Drive</t>
  </si>
  <si>
    <t>ES - Downer FM All Sites EU Subcontractors</t>
  </si>
  <si>
    <t>L9.DNZ.810.20996</t>
  </si>
  <si>
    <t>ES CCL Build All Sites EU Subcontractors</t>
  </si>
  <si>
    <t>L9.DNZJ.563210</t>
  </si>
  <si>
    <t>ES ELEC AKL/Northland</t>
  </si>
  <si>
    <t>ES Other Build Projects EU Subcontractors</t>
  </si>
  <si>
    <t>L9.DNZ.810.20771</t>
  </si>
  <si>
    <t>ES Project Managers</t>
  </si>
  <si>
    <t>L9.DNZ.810.10.198</t>
  </si>
  <si>
    <t>ES SNZ Build Auckland EU Subcontractors</t>
  </si>
  <si>
    <t>L9.DNZ.810.20705</t>
  </si>
  <si>
    <t>ES SNZ Build Palmerston Nth EU Subcontractors</t>
  </si>
  <si>
    <t>L9.DNZ.810.20707</t>
  </si>
  <si>
    <t>ES SNZ Build South Is EU Subcontractors</t>
  </si>
  <si>
    <t>L9.DNZ.810.20709</t>
  </si>
  <si>
    <t>ES SNZ Build Waikato EU Subcontractors</t>
  </si>
  <si>
    <t>L9.DNZ.810.20706</t>
  </si>
  <si>
    <t>ES SNZ Build Wellington EU Subcontractors</t>
  </si>
  <si>
    <t>L9.DNZ.810.20708</t>
  </si>
  <si>
    <t>ES SNZ Operate National EU Subcontractors</t>
  </si>
  <si>
    <t>L9.DNZ.810.20608</t>
  </si>
  <si>
    <t>ES SNZ Property - National EU Subcontractors</t>
  </si>
  <si>
    <t>L9.DNZ.810.20689</t>
  </si>
  <si>
    <t>ES SNZ Reactive Auckland EU Subcontractors</t>
  </si>
  <si>
    <t>L9.DNZ.810.20985</t>
  </si>
  <si>
    <t>ES SNZ Reactive Palmerston Nth EU Subcontractors</t>
  </si>
  <si>
    <t>L9.DNZ.810.20697</t>
  </si>
  <si>
    <t>ES SNZ Reactive South Is EU Subcontractors</t>
  </si>
  <si>
    <t>L9.DNZ.810.20970</t>
  </si>
  <si>
    <t>ES SNZ Reactive Waikato EU Subcontractors</t>
  </si>
  <si>
    <t>ES SNZ Reactive Wellington EU Subcontractors</t>
  </si>
  <si>
    <t>L9.DNZ.810.20698</t>
  </si>
  <si>
    <t>ES SNZ Routine Auckland EU Subcontractors</t>
  </si>
  <si>
    <t>ES SNZ Routine Palmerston Nth EU Subcontractors</t>
  </si>
  <si>
    <t>L9.DNZ.810.20702</t>
  </si>
  <si>
    <t>ES SNZ Routine South Is EU Subcontractors</t>
  </si>
  <si>
    <t>L9.DNZ.810.20704</t>
  </si>
  <si>
    <t>ES SNZ Routine Waikato EU Subcontractors</t>
  </si>
  <si>
    <t>L9.DNZ.810.20701</t>
  </si>
  <si>
    <t>ES SNZ Routine Wellington EU Subcontractors</t>
  </si>
  <si>
    <t>ES Spark National Projects EU Subcontractors</t>
  </si>
  <si>
    <t>L9.DNZ.810.20216</t>
  </si>
  <si>
    <t>ESC - Overhead EU Subcontractors</t>
  </si>
  <si>
    <t>L9.J.24189971</t>
  </si>
  <si>
    <t>Estimating EU Subcontractors</t>
  </si>
  <si>
    <t>L9.J.38275057</t>
  </si>
  <si>
    <t>EU-24190263 - FSD Data Centre</t>
  </si>
  <si>
    <t>L9.J.24190263</t>
  </si>
  <si>
    <t>EU-24190272 - BLTS  66kV CB Replacement</t>
  </si>
  <si>
    <t>L9.J.24190272</t>
  </si>
  <si>
    <t>Altona North</t>
  </si>
  <si>
    <t>External IT &amp; T Projects</t>
  </si>
  <si>
    <t>L9.DNZJ.561529</t>
  </si>
  <si>
    <t>F_SubContractors (BP)</t>
  </si>
  <si>
    <t>F10427 - WTP 55E Pond 1 MLC Renewal</t>
  </si>
  <si>
    <t>L9.J.24160432</t>
  </si>
  <si>
    <t>F10730 - ETP Area 15 - 26</t>
  </si>
  <si>
    <t>L9.J.24160332</t>
  </si>
  <si>
    <t>FAC HSE (Zero Harm)</t>
  </si>
  <si>
    <t>L9.DNZJ.65960</t>
  </si>
  <si>
    <t>FAC New Business</t>
  </si>
  <si>
    <t>L9.DNZJ.65930</t>
  </si>
  <si>
    <t>FAC People &amp; Culture (HR)</t>
  </si>
  <si>
    <t>L9.DNZJ.65950</t>
  </si>
  <si>
    <t>Fairlight</t>
  </si>
  <si>
    <t>L9.DNZJ.313150</t>
  </si>
  <si>
    <t>Farmers Corner RTB</t>
  </si>
  <si>
    <t>L9.DNZJ.554565</t>
  </si>
  <si>
    <t>TI-NZT-554565 - Farmers Corner RTB</t>
  </si>
  <si>
    <t>FARMERS DEVELOPMENT TAURANGA</t>
  </si>
  <si>
    <t>JP_HC0331</t>
  </si>
  <si>
    <t>3/31 Taurikura Drive</t>
  </si>
  <si>
    <t>Tauriko</t>
  </si>
  <si>
    <t>FD to FX POLT POW EU Subcontractors</t>
  </si>
  <si>
    <t>L9.DNZ.810.20972</t>
  </si>
  <si>
    <t>FH - Speed Signs</t>
  </si>
  <si>
    <t>L9.DNZJ.553187</t>
  </si>
  <si>
    <t>Fibre Conn Lake District C Ota</t>
  </si>
  <si>
    <t>L9.DNZ.810.10.075</t>
  </si>
  <si>
    <t>Fibre Connect Blenheim</t>
  </si>
  <si>
    <t>L9.DNZ.810.10.077</t>
  </si>
  <si>
    <t>Fibre Connect Canterbury</t>
  </si>
  <si>
    <t>L9.DNZ.810.10.074</t>
  </si>
  <si>
    <t>Fibre Connect Central Otago</t>
  </si>
  <si>
    <t>L9.DNZ.810.10.071</t>
  </si>
  <si>
    <t>Fibre Connect Invercargill</t>
  </si>
  <si>
    <t>L9.DNZ.810.10.070</t>
  </si>
  <si>
    <t>Fibre Connect Nelson</t>
  </si>
  <si>
    <t>L9.DNZ.810.10.076</t>
  </si>
  <si>
    <t>Fibre Connect Timaru</t>
  </si>
  <si>
    <t>L9.DNZ.810.10.073</t>
  </si>
  <si>
    <t>Finance - Utilities</t>
  </si>
  <si>
    <t>L9.DNZJ.63910</t>
  </si>
  <si>
    <t>Fitzherbert Ave Pathway</t>
  </si>
  <si>
    <t>L9.DNZJ.552409</t>
  </si>
  <si>
    <t>FLD AKL - MOB NETWORK BUILD EU Subcontractors</t>
  </si>
  <si>
    <t>FLD MGR AORAKI EU Subcontractors</t>
  </si>
  <si>
    <t>L9.DNZJ.10183</t>
  </si>
  <si>
    <t>FLD MGR AUCKLAND 2 EU Subcontractors</t>
  </si>
  <si>
    <t>L9.DNZJ.10236</t>
  </si>
  <si>
    <t>FLD MGR BAY OF PLENTY EU Subcontractors</t>
  </si>
  <si>
    <t>L9.DNZ.810.10.176</t>
  </si>
  <si>
    <t>FLD MGR CHRISTCHURCH NORTH EU Subcontractors</t>
  </si>
  <si>
    <t>FLD MGR DUNEDIN EU Subcontractors</t>
  </si>
  <si>
    <t>L9.DNZ.810.10.189</t>
  </si>
  <si>
    <t>FLD MGR HAWKES BAY EU Subcontractors</t>
  </si>
  <si>
    <t>FLD MGR HUTT/WAIARAPA EU Subcontractors</t>
  </si>
  <si>
    <t>L9.DNZ.810.21039</t>
  </si>
  <si>
    <t>FLD MGR KAPITI EU Subcontractors</t>
  </si>
  <si>
    <t>L9.DNZJ.10163</t>
  </si>
  <si>
    <t>FLD MGR LOWER NORTH ISLAND EU Subcontractors</t>
  </si>
  <si>
    <t>L9.DNZ.810.21040</t>
  </si>
  <si>
    <t>FLD MGR MANAWATU EU Subcontractors</t>
  </si>
  <si>
    <t>L9.DNZ.810.21038</t>
  </si>
  <si>
    <t>FLD MGR OTAGO EU Subcontractors</t>
  </si>
  <si>
    <t>L9.DNZJ.10185</t>
  </si>
  <si>
    <t>FLD MGR TAUPO EU Subcontractors</t>
  </si>
  <si>
    <t>FLD MGR TAURANGA EU Subcontractors</t>
  </si>
  <si>
    <t>L9.DNZJ.10175</t>
  </si>
  <si>
    <t>FLD MGR WELLINGTON 1 EU Subcontractors</t>
  </si>
  <si>
    <t>L9.DNZJ.10141</t>
  </si>
  <si>
    <t>FLD MGR WELLINGTON 2 EU Subcontractors</t>
  </si>
  <si>
    <t>FLD MGR WELLINGTON 3 EU Subcontractors</t>
  </si>
  <si>
    <t>FLD MGR WELLINGTON 4 EU Subcontractors</t>
  </si>
  <si>
    <t>FLD MGR WHANGANUI EU Subcontractors</t>
  </si>
  <si>
    <t>L9.DNZJ.10178</t>
  </si>
  <si>
    <t>Fleet Ops Hub NZ</t>
  </si>
  <si>
    <t>L9.DNZJ.1940</t>
  </si>
  <si>
    <t>Fleet Support Hub NZ</t>
  </si>
  <si>
    <t>L9.DNZJ.1941</t>
  </si>
  <si>
    <t>FM - ANZ People Plant</t>
  </si>
  <si>
    <t>L9.DNZJ.66220</t>
  </si>
  <si>
    <t>Change location ref. from 69220 to 66220.
Old ref no: L9.DNZJ.69220</t>
  </si>
  <si>
    <t>FM - LINZ OH</t>
  </si>
  <si>
    <t>Region TBC</t>
  </si>
  <si>
    <t>FM Auckland Northland HVAC</t>
  </si>
  <si>
    <t>L9.DNZ.810.10.204</t>
  </si>
  <si>
    <t>FM Auckland Northland HVAC EU Subcontractors</t>
  </si>
  <si>
    <t>L9.DNZJ.10204</t>
  </si>
  <si>
    <t>FM Central</t>
  </si>
  <si>
    <t>L9.DNZ.810.10.203</t>
  </si>
  <si>
    <t>FM General Management</t>
  </si>
  <si>
    <t>L9.DNZJ.65920</t>
  </si>
  <si>
    <t>FM Lower North Island</t>
  </si>
  <si>
    <t>L9.DNZ.810.10.202</t>
  </si>
  <si>
    <t>FM South Island</t>
  </si>
  <si>
    <t>L9.DNZ.810.10.201</t>
  </si>
  <si>
    <t>FM Wellington</t>
  </si>
  <si>
    <t>L9.DNZ.810.10.205</t>
  </si>
  <si>
    <t>Forbes</t>
  </si>
  <si>
    <t>L9.J.17010002</t>
  </si>
  <si>
    <t>Sam Street</t>
  </si>
  <si>
    <t>Forty South - Upgrades EU Subcontractors</t>
  </si>
  <si>
    <t>L9.DNZ.810.21000</t>
  </si>
  <si>
    <t>Forty South New Builds EU Subcontractors</t>
  </si>
  <si>
    <t>L9.DNZ.810.21009</t>
  </si>
  <si>
    <t>Forty South Out of Scope EU Subcontractors</t>
  </si>
  <si>
    <t>L9.DNZ.810.20999</t>
  </si>
  <si>
    <t>Fowlers Asphalting, Trafalgar Depot</t>
  </si>
  <si>
    <t>50 Settlement Road</t>
  </si>
  <si>
    <t>Trafalgar</t>
  </si>
  <si>
    <t>Fowler's Restatement</t>
  </si>
  <si>
    <t>L9.J.17091208</t>
  </si>
  <si>
    <t>FSA Bay of Plenty Build EU Subcontractors</t>
  </si>
  <si>
    <t>L9.DNZ.810.20839</t>
  </si>
  <si>
    <t>FSA Bay of Plenty Deployment EU Subcontractors</t>
  </si>
  <si>
    <t>L9.DNZ.810.20947</t>
  </si>
  <si>
    <t>FSA Bay of Plenty ISP Build EU Subcontractors</t>
  </si>
  <si>
    <t>L9.DNZ.810.20959</t>
  </si>
  <si>
    <t>FSA Bay of Plenty ISP Maintain EU Subcontractors</t>
  </si>
  <si>
    <t>L9.DNZ.810.20940</t>
  </si>
  <si>
    <t>FSA Bay of Plenty Proactive EU Subcontractors</t>
  </si>
  <si>
    <t>L9.DNZ.810.20953</t>
  </si>
  <si>
    <t>FSA Central Deployment EU Subcontractors</t>
  </si>
  <si>
    <t>L9.DNZ.810.20946</t>
  </si>
  <si>
    <t>FSA Central ISP Build EU Subcontractors</t>
  </si>
  <si>
    <t>L9.DNZ.810.20958</t>
  </si>
  <si>
    <t>FSA Central Otg/Southland Mtce EU Subcontractors</t>
  </si>
  <si>
    <t>L9.DNZ.810.20926</t>
  </si>
  <si>
    <t>FSA Central Proactive EU Subcontractors</t>
  </si>
  <si>
    <t>L9.DNZ.810.20952</t>
  </si>
  <si>
    <t>FSA Christchurch Maintain EU Subcontractors</t>
  </si>
  <si>
    <t>L9.DNZ.810.20923</t>
  </si>
  <si>
    <t>FSA Copper Provisioning EU Subcontractors</t>
  </si>
  <si>
    <t>L9.DNZ.810.20922</t>
  </si>
  <si>
    <t>FSA Eastern NI Deployment EU Subcontractors</t>
  </si>
  <si>
    <t>L9.DNZ.810.20965</t>
  </si>
  <si>
    <t>FSA Eastern NI Proactive EU Subcontractors</t>
  </si>
  <si>
    <t>L9.DNZ.810.20966</t>
  </si>
  <si>
    <t>FSA Gisborne/Whakatane Mtce EU Subcontractors</t>
  </si>
  <si>
    <t>L9.DNZ.810.20931</t>
  </si>
  <si>
    <t>FSA Hawkes Bay/Dannevirke Mtce EU Subcontractors</t>
  </si>
  <si>
    <t>L9.DNZ.810.20930</t>
  </si>
  <si>
    <t>FSA Nelson/Marlborough Mtce EU Subcontractors</t>
  </si>
  <si>
    <t>L9.DNZ.810.20927</t>
  </si>
  <si>
    <t>FSA Otago/Sth Canty Maintain EU Subcontractors</t>
  </si>
  <si>
    <t>L9.DNZ.810.20924</t>
  </si>
  <si>
    <t>FSA Palmrstn Nth/Whnganui Mtce EU Subcontractors</t>
  </si>
  <si>
    <t>L9.DNZ.810.20929</t>
  </si>
  <si>
    <t>FSA Rotorua/Taupo Maintain EU Subcontractors</t>
  </si>
  <si>
    <t>L9.DNZ.810.20932</t>
  </si>
  <si>
    <t>FSA Southern Deployment EU Subcontractors</t>
  </si>
  <si>
    <t>L9.DNZ.810.20943</t>
  </si>
  <si>
    <t>FSA Southern ISP Build EU Subcontractors</t>
  </si>
  <si>
    <t>L9.DNZ.810.20955</t>
  </si>
  <si>
    <t>FSA Southern ISP Maintain EU Subcontractors</t>
  </si>
  <si>
    <t>L9.DNZ.810.20936</t>
  </si>
  <si>
    <t>FSA Southern Proactive EU Subcontractors</t>
  </si>
  <si>
    <t>L9.DNZ.810.20949</t>
  </si>
  <si>
    <t>FSA Taranaki Maintain EU Subcontractors</t>
  </si>
  <si>
    <t>L9.DNZ.810.20934</t>
  </si>
  <si>
    <t>FSA Tauranga Maintain EU Subcontractors</t>
  </si>
  <si>
    <t>L9.DNZ.810.20933</t>
  </si>
  <si>
    <t>FSA Thames/Coromandel Maintain EU Subcontractors</t>
  </si>
  <si>
    <t>FSA Upper Sth Island Build EU Subcontractors</t>
  </si>
  <si>
    <t>L9.DNZ.810.20834</t>
  </si>
  <si>
    <t>FSA Upper Sth Island ISP Build EU Subcontractors</t>
  </si>
  <si>
    <t>L9.DNZ.810.20956</t>
  </si>
  <si>
    <t>FSA Upper Sth Island ISP Mtce EU Subcontractors</t>
  </si>
  <si>
    <t>L9.DNZ.810.20937</t>
  </si>
  <si>
    <t>FSA Upper Sth Island Proactive EU Subcontractors</t>
  </si>
  <si>
    <t>L9.DNZ.810.20950</t>
  </si>
  <si>
    <t>FSA Uppr Sth Island Deployment EU Subcontractors</t>
  </si>
  <si>
    <t>L9.DNZ.810.20944</t>
  </si>
  <si>
    <t>FSA Waikato Build EU Subcontractors</t>
  </si>
  <si>
    <t>L9.DNZ.810.20851</t>
  </si>
  <si>
    <t>FSA Wellington Deployment EU Subcontractors</t>
  </si>
  <si>
    <t>L9.DNZ.810.20945</t>
  </si>
  <si>
    <t>FSA Wellington ISP Build EU Subcontractors</t>
  </si>
  <si>
    <t>L9.DNZ.810.20957</t>
  </si>
  <si>
    <t>FSA Wellington Maintain EU Subcontractors</t>
  </si>
  <si>
    <t>L9.DNZ.810.20928</t>
  </si>
  <si>
    <t>FSA Wellington Proactive EU Subcontractors</t>
  </si>
  <si>
    <t>L9.DNZ.810.20951</t>
  </si>
  <si>
    <t>FSA West Coast Maintain EU Subcontractors</t>
  </si>
  <si>
    <t>L9.DNZ.810.20925</t>
  </si>
  <si>
    <t>FSA Wstn Nth Island Deployment EU Subcontractors</t>
  </si>
  <si>
    <t>L9.DNZ.810.20948</t>
  </si>
  <si>
    <t>FSA Wstn Nth Island ISP Build EU Subcontractors</t>
  </si>
  <si>
    <t>L9.DNZ.810.20960</t>
  </si>
  <si>
    <t>FSA Wstn Nth Island ISP Mtce EU Subcontractors</t>
  </si>
  <si>
    <t>L9.DNZ.810.20941</t>
  </si>
  <si>
    <t>FSA Wstn Nth Island Proactive EU Subcontractors</t>
  </si>
  <si>
    <t>L9.DNZ.810.20954</t>
  </si>
  <si>
    <t>FSC Central Deployment EU Subcontractors</t>
  </si>
  <si>
    <t>L9.DNZ.810.20780</t>
  </si>
  <si>
    <t>FSC Central Proactive EU Subcontractors</t>
  </si>
  <si>
    <t>L9.DNZ.810.20588</t>
  </si>
  <si>
    <t>FSC Southern Deployment EU Subcontractors</t>
  </si>
  <si>
    <t>L9.DNZ.810.20903</t>
  </si>
  <si>
    <t>FSC Wellington Deployment EU Subcontractors</t>
  </si>
  <si>
    <t>L9.DNZ.810.20879</t>
  </si>
  <si>
    <t>FSNI HEAD OFFICE</t>
  </si>
  <si>
    <t>JP_HA0385</t>
  </si>
  <si>
    <t>FTTC - Construction EU Subcontractors</t>
  </si>
  <si>
    <t>L9.EMS.410.15677</t>
  </si>
  <si>
    <t>Fuel Cards - ADS-3197 - Asset &amp; Development Servic</t>
  </si>
  <si>
    <t>FCF3197</t>
  </si>
  <si>
    <t>OMS fuel data-Australia</t>
  </si>
  <si>
    <t>Fuel Cards - COR-101 - CEO office</t>
  </si>
  <si>
    <t>L9.J.100202</t>
  </si>
  <si>
    <t>FCC101</t>
  </si>
  <si>
    <t>Fuel Cards - COR-101 - Corporate HO</t>
  </si>
  <si>
    <t>L9.WAU.003010</t>
  </si>
  <si>
    <t>Fuel Cards - COR-103 - Group Services</t>
  </si>
  <si>
    <t>L9.J.109102</t>
  </si>
  <si>
    <t>Fuel Cards - COR-354 - CFO Office</t>
  </si>
  <si>
    <t>L9.J.362990</t>
  </si>
  <si>
    <t>FCC354</t>
  </si>
  <si>
    <t>Will need to move to 354 when group is available.</t>
  </si>
  <si>
    <t>Fuel Cards - DNZ-NZH-Historical</t>
  </si>
  <si>
    <t>L9.DNZJ.1220</t>
  </si>
  <si>
    <t>Fuel Cards - DOW-JVS-Joint Ventures</t>
  </si>
  <si>
    <t>L9.WAU.001501</t>
  </si>
  <si>
    <t>Fuel Cards - DT-201 - DT Infrastructure</t>
  </si>
  <si>
    <t>L9.J.201</t>
  </si>
  <si>
    <t>Fuel Cards - EU-242 - Utilities Legacy &amp; Other</t>
  </si>
  <si>
    <t>L9.J.230102</t>
  </si>
  <si>
    <t>Fuel Cards - EU-243 - Utilities Management</t>
  </si>
  <si>
    <t>L9.J.241101</t>
  </si>
  <si>
    <t>Fuel Cards - EU-245 - Technology &amp; Comms Services</t>
  </si>
  <si>
    <t>L9.J.23440001</t>
  </si>
  <si>
    <t>Fuel Cards - EU-246 - Energy Networks</t>
  </si>
  <si>
    <t>L9.J.22910013</t>
  </si>
  <si>
    <t>Fuel Cards - EU-252 - Strategy &amp; Growth</t>
  </si>
  <si>
    <t>L9.J.2411000407</t>
  </si>
  <si>
    <t>Fuel Cards - EU-253 - Water Services</t>
  </si>
  <si>
    <t>L9.J.23020005</t>
  </si>
  <si>
    <t>Fuel Cards - EU-3195.121 - Utilities Power, Gas &amp; Comms</t>
  </si>
  <si>
    <t>L9.S.13000917</t>
  </si>
  <si>
    <t>Fuel Cards - EU-360 - Power Transmission &amp; Storage</t>
  </si>
  <si>
    <t>L9.J.371003</t>
  </si>
  <si>
    <t>Fuel Cards - EU-362 - I&amp;PG - East</t>
  </si>
  <si>
    <t>L9.J.38210104</t>
  </si>
  <si>
    <t>Previously named: Fuel Cards - IE-362 - I&amp;E - East</t>
  </si>
  <si>
    <t>Fuel Cards - EU-363 - Future Energy and Integrated Gas 01</t>
  </si>
  <si>
    <t>L9.J.24130117</t>
  </si>
  <si>
    <t>Previously named: Fuel Cards - IE-363 - Future Energy Solutions</t>
  </si>
  <si>
    <t>Fuel Cards - EU-363 - Future Energy and Integrated Gas 02</t>
  </si>
  <si>
    <t>L9.J.38250003</t>
  </si>
  <si>
    <t>Previously named: Fuel Cards - IE-364 - Integrated Gas</t>
  </si>
  <si>
    <t>Fuel Cards - EU-365 - I&amp;PG - West 01</t>
  </si>
  <si>
    <t>L9.J.38130005</t>
  </si>
  <si>
    <t>Previously named: Fuel Cards - IE-365 - I&amp;E - West</t>
  </si>
  <si>
    <t>Fuel Cards - EU-365 - I&amp;PG - West 02</t>
  </si>
  <si>
    <t>L9.J.38225116</t>
  </si>
  <si>
    <t>FCF365</t>
  </si>
  <si>
    <t>Previously named: Fuel Cards - IE-365 - Industrial &amp; Marine</t>
  </si>
  <si>
    <t>Fuel Cards - EU-366 - I&amp;E - Support 01</t>
  </si>
  <si>
    <t>L9.J.381160</t>
  </si>
  <si>
    <t>FCF363</t>
  </si>
  <si>
    <t>Previously named: Fuel Cards - IE-363 - Power &amp; Energy</t>
  </si>
  <si>
    <t>Fuel Cards - EU-366 - I&amp;E - Support 02</t>
  </si>
  <si>
    <t>L9.J.382010</t>
  </si>
  <si>
    <t>FCF366</t>
  </si>
  <si>
    <t>Previously named: Fuel Cards - IE-366 - AS Business Support</t>
  </si>
  <si>
    <t>Fuel Cards - EU-366 - I&amp;E - Support 03</t>
  </si>
  <si>
    <t>L9.J.382157</t>
  </si>
  <si>
    <t>Previously named: Fuel Cards - IE-366 - I&amp;E - Support</t>
  </si>
  <si>
    <t>Fuel Cards - IE-357 - Mineral Technologies</t>
  </si>
  <si>
    <t>L9.MIN.8010.ADMI.OFF</t>
  </si>
  <si>
    <t>Fuel Cards - IP-205 - Rail Infrastructure</t>
  </si>
  <si>
    <t>L9.D.201422</t>
  </si>
  <si>
    <t>Fuel Cards - RTS-705 - Rolling Stock</t>
  </si>
  <si>
    <t>Fuel Cards - RTS-706 - Rail MPM</t>
  </si>
  <si>
    <t>L9.J.70700016</t>
  </si>
  <si>
    <t>Fuel Cards - SI-0012 - Base &amp; Estate Management</t>
  </si>
  <si>
    <t>L9.S.14000496</t>
  </si>
  <si>
    <t>Fuel Cards - SI-0012 - Defence</t>
  </si>
  <si>
    <t>L9.S.13000771</t>
  </si>
  <si>
    <t>Fuel Cards - SI-3174 - Government &amp; IFM</t>
  </si>
  <si>
    <t>L9.S.13000854</t>
  </si>
  <si>
    <t>Fuel Cards - SI-3175 - Health and Education</t>
  </si>
  <si>
    <t>L9.S.13000910</t>
  </si>
  <si>
    <t>Fuel Cards - SI-3176 - Precinct Upgrade &amp; New Ener</t>
  </si>
  <si>
    <t>L9.S.13001519</t>
  </si>
  <si>
    <t>Fuel Cards - SPT-3199 - Corporate Australia</t>
  </si>
  <si>
    <t>L9.S.12000332</t>
  </si>
  <si>
    <t>Fuel Cards - TI-171 - TI-HO Office 01</t>
  </si>
  <si>
    <t>L9.J.170834</t>
  </si>
  <si>
    <t>FCR171</t>
  </si>
  <si>
    <t>Previous named: Fuel Cards - TI-171 - RO-HO Office</t>
  </si>
  <si>
    <t>Fuel Cards - TI-171 - TI-HO Office 02</t>
  </si>
  <si>
    <t>L9.J.170821</t>
  </si>
  <si>
    <t>Previously named: Fuel Cards - TI-172 - Transport &amp; Infrastructure H</t>
  </si>
  <si>
    <t>Fuel Cards - TI-174 - Maintenance &amp; ITS</t>
  </si>
  <si>
    <t>L9.J.170278</t>
  </si>
  <si>
    <t>FCR174</t>
  </si>
  <si>
    <t>Previously named: Fuel Cards - TI-174 - DM Roads</t>
  </si>
  <si>
    <t>Fuel Cards - TI-187 - Asphalt &amp; Products 01</t>
  </si>
  <si>
    <t>L9.J.170321</t>
  </si>
  <si>
    <t>Previously named: Fuel Cards - TI-173 - National Ops AU</t>
  </si>
  <si>
    <t>Fuel Cards - TI-187 - Asphalt &amp; Products 03</t>
  </si>
  <si>
    <t>L9.J.170325</t>
  </si>
  <si>
    <t>FCR178</t>
  </si>
  <si>
    <t>Previously named: Fuel Cards - TI-178 - Tasmania Operations</t>
  </si>
  <si>
    <t>Fuel Cards - TI-188 - Pavement Rehab &amp; Civils</t>
  </si>
  <si>
    <t>L9.J.170968</t>
  </si>
  <si>
    <t>TI-170968 - Pave Rehab &amp; Civils Admin</t>
  </si>
  <si>
    <t>Fuel Cards - TI-189 - Specialised Pavements &amp; Projec</t>
  </si>
  <si>
    <t>L9.J.17093326</t>
  </si>
  <si>
    <t>Fuel Cards - TI-190 - Thin Surfacing</t>
  </si>
  <si>
    <t>L9.J.170526</t>
  </si>
  <si>
    <t>FCR175</t>
  </si>
  <si>
    <t>Previously named: Fuel Cards - TI-175 - National Bituminous Product</t>
  </si>
  <si>
    <t>Fuel Cards - TI-191 - T&amp;I AU Management</t>
  </si>
  <si>
    <t>L9.J.170123</t>
  </si>
  <si>
    <t>FCR173</t>
  </si>
  <si>
    <t>Previously named: Fuel Cards - TI-173 - Pavements</t>
  </si>
  <si>
    <t>Fuel Cards - TI-192 - AU Fleet &amp; TI 01</t>
  </si>
  <si>
    <t>L9.J.170136</t>
  </si>
  <si>
    <t>Previously named: Fuel Cards - TI-174 - ANZ Operations</t>
  </si>
  <si>
    <t>Fuel Cards - TI-192 - AU Fleet &amp; TI 02</t>
  </si>
  <si>
    <t>FCR176</t>
  </si>
  <si>
    <t>Previously named: Fuel Cards - TI-176 - Plant &amp; Equipment</t>
  </si>
  <si>
    <t>Fuel Cards - TI-193 - AU Fleet - Fleet</t>
  </si>
  <si>
    <t>L9.J.170802</t>
  </si>
  <si>
    <t>Fuel Cards - UTIL-242 Utilities Legacy &amp; Other</t>
  </si>
  <si>
    <t>L9.DUA.301100</t>
  </si>
  <si>
    <t>FCU242</t>
  </si>
  <si>
    <t>Fuel Cards - UTIL-243 Utilities Management</t>
  </si>
  <si>
    <t>L9.DUA.12010</t>
  </si>
  <si>
    <t>FCU243</t>
  </si>
  <si>
    <t>Fuel Cards - UTIL-245 - Technology &amp; Comms Service</t>
  </si>
  <si>
    <t>L9.J.23440160</t>
  </si>
  <si>
    <t>FCU245</t>
  </si>
  <si>
    <t>Fuel Cards - UTIL-246 - Power&amp;Gas Distribution Net</t>
  </si>
  <si>
    <t>FCU246</t>
  </si>
  <si>
    <t>Fuel Cards - UTIL-252 - Water Services Projects NS</t>
  </si>
  <si>
    <t>L9.J.241607</t>
  </si>
  <si>
    <t>FCU252</t>
  </si>
  <si>
    <t>Fuel Cards - UTIL-253 - Water Services Programs</t>
  </si>
  <si>
    <t>L9.J.241503</t>
  </si>
  <si>
    <t>FCU253</t>
  </si>
  <si>
    <t>Needs to move to new group (253) when created</t>
  </si>
  <si>
    <t>Fuel Cards - UTIL-359 - Engineering</t>
  </si>
  <si>
    <t>L9.J.377102</t>
  </si>
  <si>
    <t>FCI359</t>
  </si>
  <si>
    <t>Fuel Cards - UTIL-360 - Power Systems</t>
  </si>
  <si>
    <t>L9.J.37210031</t>
  </si>
  <si>
    <t>FCI360</t>
  </si>
  <si>
    <t>Fuel MT-997</t>
  </si>
  <si>
    <t>Future Energy Projects EU Subcontractors</t>
  </si>
  <si>
    <t>L9.J.382111</t>
  </si>
  <si>
    <t>FY25 Bay Of Plenty Proactive EU Subcontractors</t>
  </si>
  <si>
    <t>L9.DNZ.810.21124</t>
  </si>
  <si>
    <t>Gas Hutt Valley Cvl Direct OH</t>
  </si>
  <si>
    <t>L9.DUN.50132</t>
  </si>
  <si>
    <t>PG50132</t>
  </si>
  <si>
    <t>Gas Hutt Valley Indirect OH</t>
  </si>
  <si>
    <t>L9.DUN.50130</t>
  </si>
  <si>
    <t>PG50130</t>
  </si>
  <si>
    <t>Gas Hutt Valley Tech Direct OH</t>
  </si>
  <si>
    <t>PG50131</t>
  </si>
  <si>
    <t>Gas Projects Indirect OH</t>
  </si>
  <si>
    <t>L9.DUN.50110</t>
  </si>
  <si>
    <t>PG50110</t>
  </si>
  <si>
    <t>Gas Projects PM/Des Direct OH</t>
  </si>
  <si>
    <t>L9.DUN.50113</t>
  </si>
  <si>
    <t>PG50113</t>
  </si>
  <si>
    <t>Gas Vector AMS Direct OH</t>
  </si>
  <si>
    <t>L9.DUN.50211</t>
  </si>
  <si>
    <t>PG50211</t>
  </si>
  <si>
    <t>Gas Vector AMS Indirect OH</t>
  </si>
  <si>
    <t>L9.DUN.50210</t>
  </si>
  <si>
    <t>PG50210</t>
  </si>
  <si>
    <t>GCI Solutions (Downer Ventia JV)</t>
  </si>
  <si>
    <t>L9.J.241615</t>
  </si>
  <si>
    <t>Gold Coast</t>
  </si>
  <si>
    <t>General Workspace</t>
  </si>
  <si>
    <t>L9.J.258101</t>
  </si>
  <si>
    <t>UTIL-258101</t>
  </si>
  <si>
    <t>General Workspace for SFP JV</t>
  </si>
  <si>
    <t>Gepps Cross</t>
  </si>
  <si>
    <t>L9.J.10920031</t>
  </si>
  <si>
    <t>Utilities site</t>
  </si>
  <si>
    <t>535 Prospect Road</t>
  </si>
  <si>
    <t>Gillman - BIT</t>
  </si>
  <si>
    <t>L9.J.170517</t>
  </si>
  <si>
    <t>GBIT</t>
  </si>
  <si>
    <t>Gillman - P&amp;E</t>
  </si>
  <si>
    <t>L9.J.170592</t>
  </si>
  <si>
    <t>Gillman - PAV</t>
  </si>
  <si>
    <t>L9.J.17050664</t>
  </si>
  <si>
    <t>6 Matson Court</t>
  </si>
  <si>
    <t>Gillman</t>
  </si>
  <si>
    <t>Gisborne (222 Dunstan Road)</t>
  </si>
  <si>
    <t>Land</t>
  </si>
  <si>
    <t>L9.DNZJ.91201</t>
  </si>
  <si>
    <t>COR-NZHO.91201-Gisborne (222 Dunstan Road)
T&amp;I Land - NZ property listing</t>
  </si>
  <si>
    <t>Gisborne (3-58 Peel Street)</t>
  </si>
  <si>
    <t>L9.DNZJ.91200</t>
  </si>
  <si>
    <t>3-58 Peel Street</t>
  </si>
  <si>
    <t>Gisborne COS - Recharge</t>
  </si>
  <si>
    <t>L9.DNZJ.54985</t>
  </si>
  <si>
    <t>Gisborne Depot</t>
  </si>
  <si>
    <t>L9.DNZJ.55580</t>
  </si>
  <si>
    <t>187 Awapuni Road</t>
  </si>
  <si>
    <t>Awapuni</t>
  </si>
  <si>
    <t>Gisborne Telco Ops</t>
  </si>
  <si>
    <t>L9.DNZ.810.10.169</t>
  </si>
  <si>
    <t>Goldfields EU Subcontractors</t>
  </si>
  <si>
    <t>L9.J.38280125</t>
  </si>
  <si>
    <t>Green Vision Recycling Admin</t>
  </si>
  <si>
    <t>Green Vision Recycling Product</t>
  </si>
  <si>
    <t>39 Miami Parade</t>
  </si>
  <si>
    <t>Onehunga</t>
  </si>
  <si>
    <t>Group Travel - Australia</t>
  </si>
  <si>
    <t>L9.J.150214</t>
  </si>
  <si>
    <t>Group Travel - New Zealand</t>
  </si>
  <si>
    <t>L9.COR.120.20.820</t>
  </si>
  <si>
    <t>not listed</t>
  </si>
  <si>
    <t>c/- Group Office, T3, Triniti Business Campus, 39 Delhi Rd</t>
  </si>
  <si>
    <t>Group Travel - Spotless</t>
  </si>
  <si>
    <t>L9.COR.120.20.801</t>
  </si>
  <si>
    <t>GSC - GMR EU Subcontractors</t>
  </si>
  <si>
    <t>L9.J.241720</t>
  </si>
  <si>
    <t>GSC - Overhead EU Subcontractors</t>
  </si>
  <si>
    <t>L9.J.24170058</t>
  </si>
  <si>
    <t>GSC - Unitised/Non-unitised EU Subcontractors</t>
  </si>
  <si>
    <t>GVR Truck Fleet</t>
  </si>
  <si>
    <t>L9.DNZJ.3203</t>
  </si>
  <si>
    <t>Associated with TI-NZT.T32.321 - Green Vision Recycling (INX); TI-NZT-3203 - GVR Truck Fleet</t>
  </si>
  <si>
    <t>GWW - Campbellfield Depot</t>
  </si>
  <si>
    <t>L9.J.239501</t>
  </si>
  <si>
    <t>41-43 Fordson Rd, Campbellfield</t>
  </si>
  <si>
    <t>41-43 FORDSON RD</t>
  </si>
  <si>
    <t>CAMPBELLFIELD</t>
  </si>
  <si>
    <t>Gympie</t>
  </si>
  <si>
    <t>L9.J.17040613</t>
  </si>
  <si>
    <t>3 Rafter Road</t>
  </si>
  <si>
    <t>HAM/TGA Mobile Network</t>
  </si>
  <si>
    <t>L9.DNZ.810.10.259</t>
  </si>
  <si>
    <t>HAM/TGA Mobile Network EU Subcontractors</t>
  </si>
  <si>
    <t>L9.DNZJ.10259</t>
  </si>
  <si>
    <t>Hamilton (Gilchrist Rd)</t>
  </si>
  <si>
    <t>L9.DNZJ.91411</t>
  </si>
  <si>
    <t>COR-NZHO.91411-Hamil</t>
  </si>
  <si>
    <t>HAMILTON CITY C 45001378</t>
  </si>
  <si>
    <t>L9.S.26008480</t>
  </si>
  <si>
    <t>Hamilton Depot</t>
  </si>
  <si>
    <t>10 Charlies Way</t>
  </si>
  <si>
    <t>Frankton</t>
  </si>
  <si>
    <t>Hamilton East Telco Ops</t>
  </si>
  <si>
    <t>L9.DNZ.810.10.173</t>
  </si>
  <si>
    <t>Hamilton West Telco Ops</t>
  </si>
  <si>
    <t>L9.DNZ.810.10.172</t>
  </si>
  <si>
    <t>Hamner Springs (22 River Road)</t>
  </si>
  <si>
    <t>L9.DNZJ.91324</t>
  </si>
  <si>
    <t>22 River Road</t>
  </si>
  <si>
    <t>Hard Surface Reinstatement EU Subcontractors</t>
  </si>
  <si>
    <t>L9.J.24010010</t>
  </si>
  <si>
    <t>Harewood (397 Mcleans Island R</t>
  </si>
  <si>
    <t>L9.DNZJ.91327</t>
  </si>
  <si>
    <t>HARLEY GRAY RADIOLOGY</t>
  </si>
  <si>
    <t>Medical Office</t>
  </si>
  <si>
    <t>L9.DNZ.HA0418</t>
  </si>
  <si>
    <t>HA0418</t>
  </si>
  <si>
    <t>TI-NZT-BP.HA0418-Harley Gray Radiology</t>
  </si>
  <si>
    <t>Hastings Depot</t>
  </si>
  <si>
    <t>1436 Omahu Road</t>
  </si>
  <si>
    <t>Twyford</t>
  </si>
  <si>
    <t>Hawera - WM 214</t>
  </si>
  <si>
    <t>PG60214</t>
  </si>
  <si>
    <t>Hawera (329 Waihi Rd)</t>
  </si>
  <si>
    <t>L9.DNZJ.91253</t>
  </si>
  <si>
    <t>329 Waihi Road</t>
  </si>
  <si>
    <t>Hāwera</t>
  </si>
  <si>
    <t>South Taranaki</t>
  </si>
  <si>
    <t>Hawera Depot</t>
  </si>
  <si>
    <t>Hawkes Bay Telco Ops</t>
  </si>
  <si>
    <t>L9.DNZ.810.10.193</t>
  </si>
  <si>
    <t>Hawkes Bay/P. North Mobile/ISP</t>
  </si>
  <si>
    <t>Hawkins - Recharge</t>
  </si>
  <si>
    <t>L9.DNZ.HS0165</t>
  </si>
  <si>
    <t>Hawkins Construction Recharges</t>
  </si>
  <si>
    <t>L9.DNZJ.9010</t>
  </si>
  <si>
    <t>HB HOSPITAL-RADIOLOGY 2.0</t>
  </si>
  <si>
    <t>Hospital</t>
  </si>
  <si>
    <t>L9.DNZ.HW0268</t>
  </si>
  <si>
    <t>JP_HW0268</t>
  </si>
  <si>
    <t>TI-NZT-BP.HW0268-HB Radiology</t>
  </si>
  <si>
    <t>Hawke's Bay</t>
  </si>
  <si>
    <t>HB Overhead</t>
  </si>
  <si>
    <t>L9.DNZJ.54938</t>
  </si>
  <si>
    <t>TI-NZT-54938 - HB Ov</t>
  </si>
  <si>
    <t>HB REGIONAL STAFF FACILITIES</t>
  </si>
  <si>
    <t>L9.DNZ.HW0232</t>
  </si>
  <si>
    <t>JP_HW0232</t>
  </si>
  <si>
    <t>HCMT -  East Pakenham Depot</t>
  </si>
  <si>
    <t>Heavy Metalling (Uawa)</t>
  </si>
  <si>
    <t>L9.DNZJ.551024</t>
  </si>
  <si>
    <t>Heinz Watties (Food) - 45002891</t>
  </si>
  <si>
    <t>L9.S.24000171</t>
  </si>
  <si>
    <t>Henderson Depot (Water)</t>
  </si>
  <si>
    <t>9 Rabone Street</t>
  </si>
  <si>
    <t>Henderson</t>
  </si>
  <si>
    <t>Hertz AU</t>
  </si>
  <si>
    <t>Hexham Office</t>
  </si>
  <si>
    <t>COR-10920006</t>
  </si>
  <si>
    <t>16-17 Galleghan Road</t>
  </si>
  <si>
    <t>Hexham</t>
  </si>
  <si>
    <t>HO_SubContractors</t>
  </si>
  <si>
    <t>L9.DNZJ.9008</t>
  </si>
  <si>
    <t>HOMAI PEDESTRIAN LEVEL CROSSIN</t>
  </si>
  <si>
    <t>L9.DNZJ.DN1212</t>
  </si>
  <si>
    <t>JP_DN1212</t>
  </si>
  <si>
    <t>TI-NZT-DN1212 - Homai</t>
  </si>
  <si>
    <t>Horowhenua DC Water Alliance EU Subcontractors</t>
  </si>
  <si>
    <t>L9.DNZJ.56133</t>
  </si>
  <si>
    <t>Horowhenua Depot</t>
  </si>
  <si>
    <t>Horowhenua</t>
  </si>
  <si>
    <t>Horsham - Ballinger St</t>
  </si>
  <si>
    <t>L9.J.24170007</t>
  </si>
  <si>
    <t>10 Ballinger Street</t>
  </si>
  <si>
    <t>Horsham</t>
  </si>
  <si>
    <t>HR - Utilities</t>
  </si>
  <si>
    <t>L9.DNZJ.63950</t>
  </si>
  <si>
    <t>HRC Bus Shelters</t>
  </si>
  <si>
    <t>L9.DNZJ.552411</t>
  </si>
  <si>
    <t>TI-NZT-552411 - HRC</t>
  </si>
  <si>
    <t>HSF (Zero Harm)</t>
  </si>
  <si>
    <t>L9.DNZJ.63960</t>
  </si>
  <si>
    <t>Human Resources</t>
  </si>
  <si>
    <t>L9.DNZJ.55910</t>
  </si>
  <si>
    <t>Hume - P&amp;E</t>
  </si>
  <si>
    <t>L9.J.170137</t>
  </si>
  <si>
    <t>HUTT VALLEY HIGH SCHL NEW</t>
  </si>
  <si>
    <t>L9.DNZ.HW0229</t>
  </si>
  <si>
    <t>JP_HW0229</t>
  </si>
  <si>
    <t>84-114 Woburn Road</t>
  </si>
  <si>
    <t>Woburn</t>
  </si>
  <si>
    <t>Hutt Valley Telco Ops</t>
  </si>
  <si>
    <t>L9.DNZ.810.10.163</t>
  </si>
  <si>
    <t>Hydrogen Jobs Plan</t>
  </si>
  <si>
    <t>l9.J.37740124</t>
  </si>
  <si>
    <t>Whyalla</t>
  </si>
  <si>
    <t>ICC Piped Network Mtnc 2017</t>
  </si>
  <si>
    <t>L9.DNZJ.56132</t>
  </si>
  <si>
    <t>ICC Piped Network Mtnc 2017 EU Subcontractors</t>
  </si>
  <si>
    <t>ICC STREETSCAPES</t>
  </si>
  <si>
    <t>L9.DNZJ.DS2669</t>
  </si>
  <si>
    <t>JP_DS2669</t>
  </si>
  <si>
    <t>69 Don Street</t>
  </si>
  <si>
    <t>ICON EU Subcontractors</t>
  </si>
  <si>
    <t>L9.J.239015</t>
  </si>
  <si>
    <t>Industrial NSW North EU Subcontractors</t>
  </si>
  <si>
    <t>L9.J.38220078</t>
  </si>
  <si>
    <t>Industrial NSW South / VIC EU Subcontractors</t>
  </si>
  <si>
    <t>L9.J.38220081</t>
  </si>
  <si>
    <t>Infrastructure Del Overheads</t>
  </si>
  <si>
    <t>L9.DNZJ.8801</t>
  </si>
  <si>
    <t>TI-NZT-8801 - Divisional Overheads</t>
  </si>
  <si>
    <t>Infrastructure Delivery Admin</t>
  </si>
  <si>
    <t>L9.DNZJ.8805</t>
  </si>
  <si>
    <t>Inland EU Subcontractors</t>
  </si>
  <si>
    <t>L9.J.38280142</t>
  </si>
  <si>
    <t>Internal FM EU Subcontractors</t>
  </si>
  <si>
    <t>L9.DNZJ.564300</t>
  </si>
  <si>
    <t>Invercargill (12 Fern Street)</t>
  </si>
  <si>
    <t>L9.DNZJ.91364</t>
  </si>
  <si>
    <t>12 Fern Street</t>
  </si>
  <si>
    <t>Hargest</t>
  </si>
  <si>
    <t>Invercargill (122B Rockdale Rd</t>
  </si>
  <si>
    <t>L9.DNZJ.91405</t>
  </si>
  <si>
    <t>COR-NZHO-91405 - Invercargill (122B Rockdale Rd
122 Rockdale Road  Rockdale  Invercargill 9810  Southland Region</t>
  </si>
  <si>
    <t>Invercargill (82 Lothian St)</t>
  </si>
  <si>
    <t>L9.DNZJ.91368</t>
  </si>
  <si>
    <t>82 Lothian Crescent</t>
  </si>
  <si>
    <t>Strathern</t>
  </si>
  <si>
    <t>Invercargill Communications</t>
  </si>
  <si>
    <t>L9.DNZJ.561531</t>
  </si>
  <si>
    <t>Mid Dome</t>
  </si>
  <si>
    <t>Lumsden</t>
  </si>
  <si>
    <t>Invercargill Depot</t>
  </si>
  <si>
    <t>159-174 Liddel Street</t>
  </si>
  <si>
    <t>Invercargill(1/78 Islington St</t>
  </si>
  <si>
    <t>L9.DNZJ.91366</t>
  </si>
  <si>
    <t>1/78 Islington Street</t>
  </si>
  <si>
    <t>Turnbull Thomson Park</t>
  </si>
  <si>
    <t>Invermay</t>
  </si>
  <si>
    <t>L9.J.17030229</t>
  </si>
  <si>
    <t>44 Gleadow Street</t>
  </si>
  <si>
    <t>IS National</t>
  </si>
  <si>
    <t>L9.DNZJ.55948</t>
  </si>
  <si>
    <t>ISP Designers</t>
  </si>
  <si>
    <t>L9.DNZ.810.10.082</t>
  </si>
  <si>
    <t>ITG Devices</t>
  </si>
  <si>
    <t>L9.DNZJ.92007</t>
  </si>
  <si>
    <t>ITG Servers &amp; Data Centres</t>
  </si>
  <si>
    <t>L9.DNZJ.92006</t>
  </si>
  <si>
    <t>ITS - Projects</t>
  </si>
  <si>
    <t>L9.DNZJ.54402</t>
  </si>
  <si>
    <t>ITS Christchurch - People</t>
  </si>
  <si>
    <t>L9.DNZJ.54326</t>
  </si>
  <si>
    <t>TI-NZT-54326 - ITS Christchurch - People</t>
  </si>
  <si>
    <t>ITS Christchurch - Plant</t>
  </si>
  <si>
    <t>L9.DNZJ.54336</t>
  </si>
  <si>
    <t>ITS CWA Alliance Holding EU Subcontractors</t>
  </si>
  <si>
    <t>L9.DUN.79212</t>
  </si>
  <si>
    <t>ITS Intersection Renewals</t>
  </si>
  <si>
    <t>L9.DNZJ.554560</t>
  </si>
  <si>
    <t>TI-NZT-554560 - ITS Intersection Renewals</t>
  </si>
  <si>
    <t>ITS Kaikoura NCTIR</t>
  </si>
  <si>
    <t>L9.DNZJ.561535</t>
  </si>
  <si>
    <t>Maui Street</t>
  </si>
  <si>
    <t>ITS National - People</t>
  </si>
  <si>
    <t>L9.DNZJ.54328</t>
  </si>
  <si>
    <t>ITS National - Plant</t>
  </si>
  <si>
    <t>L9.DNZJ.54338</t>
  </si>
  <si>
    <t>ITS North - Plant</t>
  </si>
  <si>
    <t>L9.DNZJ.54331</t>
  </si>
  <si>
    <t>ITS NSW</t>
  </si>
  <si>
    <t>L9.J.252102</t>
  </si>
  <si>
    <t>ITS Operations Central</t>
  </si>
  <si>
    <t>L9.DNZJ.56903</t>
  </si>
  <si>
    <t>ITS Overheads</t>
  </si>
  <si>
    <t>L9.DNZJ.3511</t>
  </si>
  <si>
    <t>ITS South - Plant</t>
  </si>
  <si>
    <t>L9.DNZJ.54337</t>
  </si>
  <si>
    <t>ITS Support Services</t>
  </si>
  <si>
    <t>ITS VIC</t>
  </si>
  <si>
    <t>ITSVIC</t>
  </si>
  <si>
    <t>ITS Wellington - Plant</t>
  </si>
  <si>
    <t>L9.DNZJ.54335</t>
  </si>
  <si>
    <t>TI-NZT-54335 - ITS Wellington - Plant</t>
  </si>
  <si>
    <t>JAMES HARGEST SCHOOL- RDVLPMNT</t>
  </si>
  <si>
    <t>L9.DNZ.HS0169</t>
  </si>
  <si>
    <t>JP_HS0169</t>
  </si>
  <si>
    <t>TI-NZT.BP.HS0169 James Hargest College</t>
  </si>
  <si>
    <t>Judgeford (Paremata Haywards)</t>
  </si>
  <si>
    <t>L9.DNZJ.91251</t>
  </si>
  <si>
    <t>COR-NZHO.91251-Judge</t>
  </si>
  <si>
    <t>Kaikoura Depot</t>
  </si>
  <si>
    <t>89 Kowhai Ford Road</t>
  </si>
  <si>
    <t>Kaipara DC EU Subcontractors</t>
  </si>
  <si>
    <t>L9.DNZJ.561126</t>
  </si>
  <si>
    <t>Kaipara People/Plant</t>
  </si>
  <si>
    <t>L9.DNZJ.66201</t>
  </si>
  <si>
    <t>Kalgoorlie</t>
  </si>
  <si>
    <t>L9.J.382852</t>
  </si>
  <si>
    <t>ASV-382852, ASV-13381, ASV-13382, ASV-13387</t>
  </si>
  <si>
    <t>Cnr Gt Eastern Hwy &amp; Hunter St</t>
  </si>
  <si>
    <t>Katherine</t>
  </si>
  <si>
    <t>L9.J.17050041</t>
  </si>
  <si>
    <t>Lot 2378 Emungalan Road</t>
  </si>
  <si>
    <t>KDC - Stormwater</t>
  </si>
  <si>
    <t>L9.DNZJ.561124</t>
  </si>
  <si>
    <t>Kensington - Hobsons Rd</t>
  </si>
  <si>
    <t>L9.S.13001208</t>
  </si>
  <si>
    <t>41-45 Hobsons Rd</t>
  </si>
  <si>
    <t>Kensington</t>
  </si>
  <si>
    <t>Keolis Downer-Australia based travel</t>
  </si>
  <si>
    <t>L9.KD.YT.5720</t>
  </si>
  <si>
    <t>Knights Drain Wetland</t>
  </si>
  <si>
    <t>L9.DNZJ.554553</t>
  </si>
  <si>
    <t>TI-NZT-554553 - Knights Drain Wetland
589 Pages Road, Christchurch,  8061 New Zealand</t>
  </si>
  <si>
    <t>Kunda Park</t>
  </si>
  <si>
    <t>L9.J.10920046</t>
  </si>
  <si>
    <t>This site was originally put under 170431 BU code under T&amp;I. 30/04/2025 reassign to Corporate based on INX COR-10920046 - 32 Page St, Kunda Park, QLD.</t>
  </si>
  <si>
    <t>32 Page Street</t>
  </si>
  <si>
    <t>Kwinana &amp; SW EU Subcontractors</t>
  </si>
  <si>
    <t>L9.J.38270070</t>
  </si>
  <si>
    <t>Laboratories - Admin</t>
  </si>
  <si>
    <t>LAHC NSW - Central Coast</t>
  </si>
  <si>
    <t>L9.S.3174.45002371</t>
  </si>
  <si>
    <t>LAHC NSW - Kingsgrove</t>
  </si>
  <si>
    <t>6 The Crescent</t>
  </si>
  <si>
    <t>Kingsgrove</t>
  </si>
  <si>
    <t>LAHC NSW - Macarthur</t>
  </si>
  <si>
    <t>LAHC NSW - Springhill</t>
  </si>
  <si>
    <t>5 Edney Lane</t>
  </si>
  <si>
    <t>Spring Hill</t>
  </si>
  <si>
    <t>Largs Bay</t>
  </si>
  <si>
    <t>L9.J.17090106</t>
  </si>
  <si>
    <t>188-194 Jetty Road</t>
  </si>
  <si>
    <t>Lawrence (6 Irvine St)</t>
  </si>
  <si>
    <t>L9.DNZJ.91419</t>
  </si>
  <si>
    <t>Lawrence Depot</t>
  </si>
  <si>
    <t>36 Waipori Road</t>
  </si>
  <si>
    <t>Gabriels Gully</t>
  </si>
  <si>
    <t>LBI FM - Wellington EU Subcontractors</t>
  </si>
  <si>
    <t>L9.DNZ.810.20876</t>
  </si>
  <si>
    <t>LBI National Operations EU Subcontractors</t>
  </si>
  <si>
    <t>L9.DNZ.810.20785</t>
  </si>
  <si>
    <t>Learning EU Subcontractors</t>
  </si>
  <si>
    <t>L9.DNZ.810.10.060</t>
  </si>
  <si>
    <t>LGWM - SP2 THORNDON QUAY</t>
  </si>
  <si>
    <t>L9.DNZJ.DS2677</t>
  </si>
  <si>
    <t>JP_DS2677</t>
  </si>
  <si>
    <t>TI-NZT-DS2677 - LGWM - SP2 Thorndon Quay
LVL2/202 Thorndon Quay  Pipitea  Wellington 6011</t>
  </si>
  <si>
    <t>L2, Tenancy 4, 202 Thorndon Quay</t>
  </si>
  <si>
    <t>Pipitea</t>
  </si>
  <si>
    <t>Light Vehicles</t>
  </si>
  <si>
    <t>L9.DNZJ.1904</t>
  </si>
  <si>
    <t>Linton Operations - 45002412</t>
  </si>
  <si>
    <t>L9.S.24000046</t>
  </si>
  <si>
    <t>Fosters Rd (Linton Military Camp)</t>
  </si>
  <si>
    <t>Linton Park Dam Construction</t>
  </si>
  <si>
    <t>L9.DNZJ.550718</t>
  </si>
  <si>
    <t>LINTON PARK SPILLWAY</t>
  </si>
  <si>
    <t>L9.DNZJ.DN1202</t>
  </si>
  <si>
    <t>JP_DN1202</t>
  </si>
  <si>
    <t>Lloyd Elsmore Park</t>
  </si>
  <si>
    <t>L9.DNZJ.553198</t>
  </si>
  <si>
    <t>Pakuranga Heights</t>
  </si>
  <si>
    <t>LOGAN WIPA EU Subcontractors</t>
  </si>
  <si>
    <t>L9.J.241697</t>
  </si>
  <si>
    <t>LOGISTICS OPERATIONS EU Subcontractors</t>
  </si>
  <si>
    <t>L9.DNZJ.63985</t>
  </si>
  <si>
    <t>Logistics Ops North Island</t>
  </si>
  <si>
    <t>Logistics Ops South Island</t>
  </si>
  <si>
    <t>L9.DNZJ.63981</t>
  </si>
  <si>
    <t>31 Canada Crescent</t>
  </si>
  <si>
    <t>Hornby South</t>
  </si>
  <si>
    <t>LOGISTICS PROJECTS EU Subcontractors</t>
  </si>
  <si>
    <t>L9.DNZ.810.10.039</t>
  </si>
  <si>
    <t>Lotus Creek Transmission Line</t>
  </si>
  <si>
    <t>L9.J.37740125</t>
  </si>
  <si>
    <t>Lotus Creek, QLD Australia</t>
  </si>
  <si>
    <t>Lotus Creek</t>
  </si>
  <si>
    <t>Lower Hutt (26A Bracken St)</t>
  </si>
  <si>
    <t>L9.DNZJ.91266</t>
  </si>
  <si>
    <t>26A Bracken Street</t>
  </si>
  <si>
    <t>Petone</t>
  </si>
  <si>
    <t>Lower Hutt (3-69 Hutt Rd)</t>
  </si>
  <si>
    <t>L9.DNZJ.91377</t>
  </si>
  <si>
    <t>3/69 Hutt Rd</t>
  </si>
  <si>
    <t>Lower North Design</t>
  </si>
  <si>
    <t>L9.DNZ.810.10.261</t>
  </si>
  <si>
    <t>Lower North Island Corrections</t>
  </si>
  <si>
    <t>L9.DNZ.810.10.135</t>
  </si>
  <si>
    <t>Lower North Regional</t>
  </si>
  <si>
    <t>L9.DNZ.810.10.136</t>
  </si>
  <si>
    <t>LSE - Perth Convention &amp; Exhibition Centre (WA)</t>
  </si>
  <si>
    <t>L9.S.16011871</t>
  </si>
  <si>
    <t>21 Mounts Bay Rd</t>
  </si>
  <si>
    <t>LSE - Zinc (VIC)</t>
  </si>
  <si>
    <t>L9.S.16008450</t>
  </si>
  <si>
    <t>Cnr Swanston and Flinders St Federation Bld</t>
  </si>
  <si>
    <t>LTP Reservoirs Construction</t>
  </si>
  <si>
    <t>L9.DNZJ.DN1181</t>
  </si>
  <si>
    <t>JP_DN1181</t>
  </si>
  <si>
    <t>43 Rawiri Drive</t>
  </si>
  <si>
    <t>Bell Block</t>
  </si>
  <si>
    <t>LYTTELTON PORT WORKSHOPS-PCSA</t>
  </si>
  <si>
    <t>L9.DNZ.HS0160</t>
  </si>
  <si>
    <t>JP_HS0160</t>
  </si>
  <si>
    <t>Maddington - BIT</t>
  </si>
  <si>
    <t>L9.J.170617</t>
  </si>
  <si>
    <t>5 Marion Road</t>
  </si>
  <si>
    <t>Maddington</t>
  </si>
  <si>
    <t>Maddington - P&amp;E</t>
  </si>
  <si>
    <t>Maintenance &amp; OPEX</t>
  </si>
  <si>
    <t>L9.DNZJ.553302</t>
  </si>
  <si>
    <t>MAIREHAU HS - CSR RDLPM STG2</t>
  </si>
  <si>
    <t>L9.DNZ.HS0152</t>
  </si>
  <si>
    <t>JP_HS0153</t>
  </si>
  <si>
    <t>Maitland Depot</t>
  </si>
  <si>
    <t>L9.J.17023128</t>
  </si>
  <si>
    <t>Temporarily allocate to TI-17023128 - Downer- Maitland Depot</t>
  </si>
  <si>
    <t>28-34 Yorketown Rd, Maitland</t>
  </si>
  <si>
    <t>Maitland</t>
  </si>
  <si>
    <t>Major Projects Leadership</t>
  </si>
  <si>
    <t>L9.DNZJ.8803</t>
  </si>
  <si>
    <t>TI-NZT.MAP.MPR.MPR - Major Projects
TI-NZT-8803 - Estimating</t>
  </si>
  <si>
    <t>Management &amp; Support EU Subcontractors</t>
  </si>
  <si>
    <t>Management EU Subcontractors</t>
  </si>
  <si>
    <t>L9.DUA.RESCKW</t>
  </si>
  <si>
    <t>Manawatu Overhead</t>
  </si>
  <si>
    <t>L9.DNZJ.54939</t>
  </si>
  <si>
    <t>TI-NZT-54939 - Manawatu Overhead</t>
  </si>
  <si>
    <t>Manawatu SIP Long Life</t>
  </si>
  <si>
    <t>L9.DNZJ.552412</t>
  </si>
  <si>
    <t>Manawatu Support Services - 45002412</t>
  </si>
  <si>
    <t>L9.S.24000034</t>
  </si>
  <si>
    <t>Mangawhai (10 Nautical Heights</t>
  </si>
  <si>
    <t>10 Nautical Heights  Mangawhai Heads  Mangawhai 0505  Northland Region</t>
  </si>
  <si>
    <t>Manufacturing EU Subcontractors</t>
  </si>
  <si>
    <t>L9.S.GNMANUFC00</t>
  </si>
  <si>
    <t>Marini Mobile Asphalt Plant</t>
  </si>
  <si>
    <t>Maritime NZ EU Subcontractors</t>
  </si>
  <si>
    <t>L9.DNZ.810.20206</t>
  </si>
  <si>
    <t>Marketing Dept</t>
  </si>
  <si>
    <t>Marlborough People/Plant</t>
  </si>
  <si>
    <t>L9.DNZJ.66205</t>
  </si>
  <si>
    <t>Maryborough</t>
  </si>
  <si>
    <t>L9.J.709203</t>
  </si>
  <si>
    <t>23 Bowen Street</t>
  </si>
  <si>
    <t>MASSEY SOVS STAGE 1A/1B</t>
  </si>
  <si>
    <t>L9.DNZ.HW0194</t>
  </si>
  <si>
    <t>JP_HW0194</t>
  </si>
  <si>
    <t>Masterton - Lines 242</t>
  </si>
  <si>
    <t>PG60242</t>
  </si>
  <si>
    <t>Masterton Area Manager</t>
  </si>
  <si>
    <t>L9.DUN.60240</t>
  </si>
  <si>
    <t>PG60240</t>
  </si>
  <si>
    <t>73-77 Ngaumutawa Road</t>
  </si>
  <si>
    <t>Masterton School - 45003005</t>
  </si>
  <si>
    <t>L9.S.24000265</t>
  </si>
  <si>
    <t>Matamata - Depot</t>
  </si>
  <si>
    <t>L9.DUN.60126</t>
  </si>
  <si>
    <t>PG60126</t>
  </si>
  <si>
    <t>Matamata - SP 124</t>
  </si>
  <si>
    <t>PG60124</t>
  </si>
  <si>
    <t>Maungatoroto (32 Hurndall St)</t>
  </si>
  <si>
    <t>L9.DNZJ.91409</t>
  </si>
  <si>
    <t>COR-NZHO-91409 - Maungatoroto (32 Hurndall St)</t>
  </si>
  <si>
    <t>32 Hurndall Street East</t>
  </si>
  <si>
    <t>Maungaturoto</t>
  </si>
  <si>
    <t>0520</t>
  </si>
  <si>
    <t>MC Const Minor Works</t>
  </si>
  <si>
    <t>L9.DNZJ.552302</t>
  </si>
  <si>
    <t>MCR Northern Line</t>
  </si>
  <si>
    <t>L9.DNZJ.554557</t>
  </si>
  <si>
    <t>Metallurgical Test Labs EU Subcontractors</t>
  </si>
  <si>
    <t>L9.J.395311</t>
  </si>
  <si>
    <t>Methven Depot (Excell)</t>
  </si>
  <si>
    <t>76 Racecourse Avenue</t>
  </si>
  <si>
    <t>MFAT - People &amp; Plant</t>
  </si>
  <si>
    <t>L9.DNZJ.69701</t>
  </si>
  <si>
    <t>SI-NZF-69701-MFAT - People &amp; Plant</t>
  </si>
  <si>
    <t>Mgmt &amp; Support EU Subcontractors</t>
  </si>
  <si>
    <t>L9.J.382110</t>
  </si>
  <si>
    <t>MICROSOFT DATA CENTRE</t>
  </si>
  <si>
    <t>L9.DNZ.HA0394</t>
  </si>
  <si>
    <t>JP_HA0394</t>
  </si>
  <si>
    <t>Microsurfacing</t>
  </si>
  <si>
    <t>Middlemore Espresso Plus - 45002515</t>
  </si>
  <si>
    <t>L9.S.26016960</t>
  </si>
  <si>
    <t>As per INX, DNZ-NZF-26016960 - Middlemore Espresso Plus SD
L9.S.26016960</t>
  </si>
  <si>
    <t>Milford Road Alliance</t>
  </si>
  <si>
    <t>L9.DNZJ.55393</t>
  </si>
  <si>
    <t>Millings</t>
  </si>
  <si>
    <t>Milton - Brisbane (QLD)</t>
  </si>
  <si>
    <t>L9.J.10920032</t>
  </si>
  <si>
    <t>Milton Head Office</t>
  </si>
  <si>
    <t>135 Coronation Drive</t>
  </si>
  <si>
    <t>MIMA EU Subcontractors</t>
  </si>
  <si>
    <t>L9.J.234853</t>
  </si>
  <si>
    <t>MIMA FY18 Construction EU Subcontractors</t>
  </si>
  <si>
    <t>L9.J.23440326</t>
  </si>
  <si>
    <t>Min of Justice Taupo/Rotorua 45003763</t>
  </si>
  <si>
    <t>L9.S.26018214</t>
  </si>
  <si>
    <t>Ministry of Social Development</t>
  </si>
  <si>
    <t>L9.DNZJ.55946</t>
  </si>
  <si>
    <t>Minor Construction Works</t>
  </si>
  <si>
    <t>L9.DNZJ.561366</t>
  </si>
  <si>
    <t>UT-NZU-561366-Minor (UT-NZU-Water Northern)</t>
  </si>
  <si>
    <t>Minor Site Works</t>
  </si>
  <si>
    <t>L9.DNZJ.312010</t>
  </si>
  <si>
    <t>Minor Works EU Subcontractors</t>
  </si>
  <si>
    <t>L9.J.39220118</t>
  </si>
  <si>
    <t>Minor Works Kaikoura 2018-19</t>
  </si>
  <si>
    <t>L9.DNZJ.553624</t>
  </si>
  <si>
    <t>Minor Works Whanganui Const</t>
  </si>
  <si>
    <t>L9.DNZJ.552400</t>
  </si>
  <si>
    <t>Miscellaneous Utilities</t>
  </si>
  <si>
    <t>Allocation in the absence of further information for:
251 Princes Highway, Bega (original code 1583586 unable to find in record. Use Location Ref 241599)</t>
  </si>
  <si>
    <t>MMA</t>
  </si>
  <si>
    <t>L9.DNZJ.883005</t>
  </si>
  <si>
    <t>Moana (2178b Arnold Valley Rd)</t>
  </si>
  <si>
    <t>L9.DNZJ.91386</t>
  </si>
  <si>
    <t>COR-NZHO.91386-Moana (2178b Arnold Valley Rd)
2178B Arnold Valley Road  Moana 7872  West Coast Region</t>
  </si>
  <si>
    <t>Moana (2180 Arnold Valley Rd)</t>
  </si>
  <si>
    <t>L9.DNZJ.91385</t>
  </si>
  <si>
    <t>COR-NZHO.91385-Moana (2180 Arnold Valley Rd)
2180 Arnold Valley Road  Moana 7872  West Coast Region</t>
  </si>
  <si>
    <t>2180 Arnold Valley Road  Moana</t>
  </si>
  <si>
    <t>Moana</t>
  </si>
  <si>
    <t>Mobile AC Plant</t>
  </si>
  <si>
    <t>Mobile Data Collection</t>
  </si>
  <si>
    <t>L9.DNZJ.3526</t>
  </si>
  <si>
    <t>Mobile Laboratory</t>
  </si>
  <si>
    <t>Mobile.ISP Miscellaneous Work EU Subcontractors</t>
  </si>
  <si>
    <t>Mogo - P&amp;E</t>
  </si>
  <si>
    <t>MOGOP&amp;E</t>
  </si>
  <si>
    <t>Molonglo Zone Substation</t>
  </si>
  <si>
    <t>L9.J.37740119</t>
  </si>
  <si>
    <t>MRPV Clyde Road</t>
  </si>
  <si>
    <t>Berwick</t>
  </si>
  <si>
    <t>MT BD &amp; Int'l Operations EU Subcontractors</t>
  </si>
  <si>
    <t>L9.ENG.982.11.845</t>
  </si>
  <si>
    <t>MT Business Development OH EU Subcontractors</t>
  </si>
  <si>
    <t>L9.J.395204</t>
  </si>
  <si>
    <t>MT Equipment R&amp;D Eng Mfg AS EU Subcontractors</t>
  </si>
  <si>
    <t>L9.J.39530679</t>
  </si>
  <si>
    <t>Mt Maunganui Laboratory</t>
  </si>
  <si>
    <t>9/2 Owens Place</t>
  </si>
  <si>
    <t>MT Process Design &amp; Proj Ctrls EU Subcontractors</t>
  </si>
  <si>
    <t>L9.J.39530375</t>
  </si>
  <si>
    <t>Mt Smart Stadium Administration</t>
  </si>
  <si>
    <t>L9.S.26017088</t>
  </si>
  <si>
    <t>2 Beasley Avenue</t>
  </si>
  <si>
    <t>Mt Smart Stadium Recovery</t>
  </si>
  <si>
    <t>MT-Brazil_Office</t>
  </si>
  <si>
    <t>L9.J.402201</t>
  </si>
  <si>
    <t>Av. Alvares Cabral 593 - Sala 1303 
Belo Horizonte</t>
  </si>
  <si>
    <t>Lourdes</t>
  </si>
  <si>
    <t>Minas Gerais</t>
  </si>
  <si>
    <t>CEP 30.170-2606</t>
  </si>
  <si>
    <t>Brazil</t>
  </si>
  <si>
    <t>Estado de Minas Gerais</t>
  </si>
  <si>
    <t>MT-Brazil_Warehouse</t>
  </si>
  <si>
    <t>L9.J.402211</t>
  </si>
  <si>
    <t>MT-39520009</t>
  </si>
  <si>
    <t>Rua Alcides Fonseca 215 CO</t>
  </si>
  <si>
    <t>Henrique Neri</t>
  </si>
  <si>
    <t>Sete Lagoas</t>
  </si>
  <si>
    <t>35700-332</t>
  </si>
  <si>
    <t>MT-Carrara</t>
  </si>
  <si>
    <t>L9.J.39510068</t>
  </si>
  <si>
    <t>MT-39510068</t>
  </si>
  <si>
    <t>2-8 Keller Crescent</t>
  </si>
  <si>
    <t>Carrara</t>
  </si>
  <si>
    <t>MT-Dulwich (SA)</t>
  </si>
  <si>
    <t>Changed from DI-East to DI-IS per R.Brookshaw email 21-Jan-2014</t>
  </si>
  <si>
    <t>191 Fullarton Road</t>
  </si>
  <si>
    <t>Dulwich</t>
  </si>
  <si>
    <t>MT-India</t>
  </si>
  <si>
    <t>L9.J.401201</t>
  </si>
  <si>
    <t>MT-39530274</t>
  </si>
  <si>
    <t>14/81b Alliance Junction, Thevarakavu Road, Tripunithura Po, Ernakulam ,Kerala ,India, 682301</t>
  </si>
  <si>
    <t>India</t>
  </si>
  <si>
    <t>State of Kerala</t>
  </si>
  <si>
    <t>MT-Sth Africa</t>
  </si>
  <si>
    <t>L9.J.398201</t>
  </si>
  <si>
    <t>MT-39520105</t>
  </si>
  <si>
    <t>14 Bauxite Bay, Alton Richards Bay 39900 Sth Africa</t>
  </si>
  <si>
    <t>South Africa</t>
  </si>
  <si>
    <t>Richards Bay</t>
  </si>
  <si>
    <t>Mulgrave - Wellington Rd, Clayton</t>
  </si>
  <si>
    <t>U2 200 Wellington Road</t>
  </si>
  <si>
    <t>MultiNet EU Subcontractors</t>
  </si>
  <si>
    <t>L9.J.24190191</t>
  </si>
  <si>
    <t>N01 Anzac Square - Terrica Place</t>
  </si>
  <si>
    <t>L9.J.799996</t>
  </si>
  <si>
    <t>Temporarily allocate to RTS-799996 - Creek St, Brisbane City.  Jay Whatley: 140 Creek St, this is a multiple offices floors in Brisbane CBD.  RTS are the occupants.</t>
  </si>
  <si>
    <t>140 CREEK ST, BRISBANE QLD 4000</t>
  </si>
  <si>
    <t>BRISBANE</t>
  </si>
  <si>
    <t>N2P Evolution EU Subcontractors</t>
  </si>
  <si>
    <t>L9.J.23440310</t>
  </si>
  <si>
    <t>N2P Pilot EU Subcontractors</t>
  </si>
  <si>
    <t>L9.J.23440233</t>
  </si>
  <si>
    <t>NAP Onekawa (41 Wakefield St)</t>
  </si>
  <si>
    <t>L9.DNZJ.91823</t>
  </si>
  <si>
    <t>41 Wakefield Street, Onekawa</t>
  </si>
  <si>
    <t>Napier</t>
  </si>
  <si>
    <t>Nat Ops Management</t>
  </si>
  <si>
    <t>L9.DNZJ.54950</t>
  </si>
  <si>
    <t>National Asset Management</t>
  </si>
  <si>
    <t>L9.DNZJ.55966</t>
  </si>
  <si>
    <t>NATIONAL CARS EU Subcontractors</t>
  </si>
  <si>
    <t>L9.DNZJ.10267</t>
  </si>
  <si>
    <t>National Performance Improveme</t>
  </si>
  <si>
    <t>L9.DNZJ.55964</t>
  </si>
  <si>
    <t>National Plant</t>
  </si>
  <si>
    <t>National Plant Group Bal Sheet</t>
  </si>
  <si>
    <t>L9.DNZJ.1900</t>
  </si>
  <si>
    <t>National Project Support</t>
  </si>
  <si>
    <t>L9.DNZJ.8808</t>
  </si>
  <si>
    <t>National Projects Team EU Subcontractors</t>
  </si>
  <si>
    <t>L9.J.24160075</t>
  </si>
  <si>
    <t>National Road Marking</t>
  </si>
  <si>
    <t>L9.DNZJ.55916</t>
  </si>
  <si>
    <t>National Survey</t>
  </si>
  <si>
    <t>L9.DNZJ.55973</t>
  </si>
  <si>
    <t>National Traffic Management</t>
  </si>
  <si>
    <t>L9.DNZJ.55972</t>
  </si>
  <si>
    <t>Natl Ops Support North</t>
  </si>
  <si>
    <t>L9.DNZ.810.10.200</t>
  </si>
  <si>
    <t>Natl Telco Quality Team</t>
  </si>
  <si>
    <t>L9.DNZ.810.10.091</t>
  </si>
  <si>
    <t>NBN FIXED WIRELESS EU Subcontractors</t>
  </si>
  <si>
    <t>L9.J.23440295</t>
  </si>
  <si>
    <t>NBN Unify EU Subcontractors</t>
  </si>
  <si>
    <t>L9.J.234470</t>
  </si>
  <si>
    <t>NCC (2019) - RCM</t>
  </si>
  <si>
    <t>L9.DNZJ.55195</t>
  </si>
  <si>
    <t>NCNOC - AWT - Benmore</t>
  </si>
  <si>
    <t>L9.DNZJ.555313</t>
  </si>
  <si>
    <t>TI-NZT-555313-NCNOC - AWT - Benmore</t>
  </si>
  <si>
    <t>NCNOC - AWT - Castle Hill</t>
  </si>
  <si>
    <t>L9.DNZJ.555311</t>
  </si>
  <si>
    <t>TI-NZT-555311 - NCNOC - AWT - Castle Hill</t>
  </si>
  <si>
    <t>NCNOC - AWT - Handy Side</t>
  </si>
  <si>
    <t>L9.DNZJ.555316</t>
  </si>
  <si>
    <t>TI-NZT-555316 - NCNOC - AWT - Handy Side</t>
  </si>
  <si>
    <t>NCNOC - AWT - Weka Pass</t>
  </si>
  <si>
    <t>L9.DNZJ.555315</t>
  </si>
  <si>
    <t>TI-NZT-555315 - NCNOC - AWT - Weka Pass</t>
  </si>
  <si>
    <t>NCNOC - AWT-East Birdling Flat</t>
  </si>
  <si>
    <t>L9.DNZJ.555314</t>
  </si>
  <si>
    <t>TI-NZT.I38.I10.55404 - NZTA Nth Cant NOC - RCM</t>
  </si>
  <si>
    <t>NCNOC-AWT-KDC-Hawthorn Rd</t>
  </si>
  <si>
    <t>L9.DNZJ.555310</t>
  </si>
  <si>
    <t>TI-NZT-555310 - NCNOC-AWT-KDC-Hawthorn Rd</t>
  </si>
  <si>
    <t>NCNOC-Const-Minor Var - W/O</t>
  </si>
  <si>
    <t>L9.DNZJ.555271</t>
  </si>
  <si>
    <t>TI-NZT-555271 - NCNOC-Const-Minor Var - W/O (TI-NZT - Canterbury Road Corridor Maintenance)</t>
  </si>
  <si>
    <t>NCNOC-Sealing</t>
  </si>
  <si>
    <t>L9.DNZJ.555080</t>
  </si>
  <si>
    <t>Nelson (22 Iwa St)</t>
  </si>
  <si>
    <t>L9.DNZJ.91380</t>
  </si>
  <si>
    <t>Nelson (41a Kendall View)</t>
  </si>
  <si>
    <t>L9.DNZJ.91308</t>
  </si>
  <si>
    <t>41 Kendall View</t>
  </si>
  <si>
    <t>Stoke</t>
  </si>
  <si>
    <t>Nelson CC - York</t>
  </si>
  <si>
    <t>L9.DNZJ.55304</t>
  </si>
  <si>
    <t>Nelson Depot</t>
  </si>
  <si>
    <t>4/750 Lower Queen Street</t>
  </si>
  <si>
    <t>Nelson Telco Ops</t>
  </si>
  <si>
    <t>L9.DNZ.810.10.179</t>
  </si>
  <si>
    <t>NELSON TELCO OPS EU Subcontractors</t>
  </si>
  <si>
    <t>L9.DNZJ.10179</t>
  </si>
  <si>
    <t>Nelson/Blenheim ISP</t>
  </si>
  <si>
    <t>L9.DNZ.810.10.170</t>
  </si>
  <si>
    <t>Network Services EU Subcontractors</t>
  </si>
  <si>
    <t>L9.J.24170236</t>
  </si>
  <si>
    <t>Network Services Leadership</t>
  </si>
  <si>
    <t>L9.DNZ.810.10.081</t>
  </si>
  <si>
    <t>Networks - ESC EU Subcontractors</t>
  </si>
  <si>
    <t>L9.J.24189967</t>
  </si>
  <si>
    <t>Networks - External Gas EU Subcontractors</t>
  </si>
  <si>
    <t>L9.DUA.130015</t>
  </si>
  <si>
    <t>Networks - GSC EU Subcontractors</t>
  </si>
  <si>
    <t>L9.DUA.13000</t>
  </si>
  <si>
    <t>Networks - O&amp;M Electricity EU Subcontractors</t>
  </si>
  <si>
    <t>L9.J.241999</t>
  </si>
  <si>
    <t>Networks - Other EU Subcontractors</t>
  </si>
  <si>
    <t>L9.J.24170153</t>
  </si>
  <si>
    <t>Networks - Power Cor EU Subcontractors</t>
  </si>
  <si>
    <t>L9.J.241910</t>
  </si>
  <si>
    <t>New Plymonth (477 Devon Street</t>
  </si>
  <si>
    <t>L9.DNZJ.91241</t>
  </si>
  <si>
    <t>2/477 Devon Street East</t>
  </si>
  <si>
    <t>Strandon</t>
  </si>
  <si>
    <t>New Plymouth - TM 212</t>
  </si>
  <si>
    <t>L9.DUN.60212</t>
  </si>
  <si>
    <t>PG60212</t>
  </si>
  <si>
    <t>New Plymouth - WM 211</t>
  </si>
  <si>
    <t>L9.DUN.60211</t>
  </si>
  <si>
    <t>PG60211</t>
  </si>
  <si>
    <t>New Plymouth (33 Papawhero Dr)</t>
  </si>
  <si>
    <t>L9.DNZJ.91239</t>
  </si>
  <si>
    <t>33 Papawhero Drive</t>
  </si>
  <si>
    <t>New Plymouth Area Manager</t>
  </si>
  <si>
    <t>PG60210</t>
  </si>
  <si>
    <t>35 Junction Street</t>
  </si>
  <si>
    <t>Welbourn</t>
  </si>
  <si>
    <t>New Plymouth Depot</t>
  </si>
  <si>
    <t>New Plymouth Telco Ops</t>
  </si>
  <si>
    <t>L9.DNZ.810.10.177</t>
  </si>
  <si>
    <t>NEW PLYMOUTH TELCO OPS EU Subcontractors</t>
  </si>
  <si>
    <t>L9.DNZJ.10177</t>
  </si>
  <si>
    <t>NEW PLYMOUTH THERMAL DRYER</t>
  </si>
  <si>
    <t>L9.DNZJ.UN0002</t>
  </si>
  <si>
    <t>UN0002</t>
  </si>
  <si>
    <t>New Zealand Steel (FM) - 45002887</t>
  </si>
  <si>
    <t>L9.S.24000170</t>
  </si>
  <si>
    <t>131 Mission Bush Road</t>
  </si>
  <si>
    <t>Glenbrook</t>
  </si>
  <si>
    <t>Waiuku</t>
  </si>
  <si>
    <t>Newcastle - Stenhouse Dr, Cameron Pk</t>
  </si>
  <si>
    <t>L9.S.13000985</t>
  </si>
  <si>
    <t>113 Stenhouse Drive</t>
  </si>
  <si>
    <t>Cameron Park</t>
  </si>
  <si>
    <t>Newman Mobile 1</t>
  </si>
  <si>
    <t>L9.J.17060634</t>
  </si>
  <si>
    <t>Big Rock Quarry, Great Northern Highway</t>
  </si>
  <si>
    <t>Newman</t>
  </si>
  <si>
    <t>Newport</t>
  </si>
  <si>
    <t>L9.J.709401</t>
  </si>
  <si>
    <t>Champion Road</t>
  </si>
  <si>
    <t>NGT EU Subcontractors</t>
  </si>
  <si>
    <t>L9.J.38210115</t>
  </si>
  <si>
    <t>Nokia DWDM Replacement EU Subcontractors</t>
  </si>
  <si>
    <t>L9.DNZ.810.20995</t>
  </si>
  <si>
    <t>North Island Management</t>
  </si>
  <si>
    <t>L9.DNZJ.8804</t>
  </si>
  <si>
    <t>North Ryde T1 - Level 1</t>
  </si>
  <si>
    <t>Shared Services</t>
  </si>
  <si>
    <t>T1, Triniti Business Campus, 39 Delhi Road</t>
  </si>
  <si>
    <t>North Ryde T1 - Level 2</t>
  </si>
  <si>
    <t>L9.J.102001</t>
  </si>
  <si>
    <t>North Ryde T1 - Level 3</t>
  </si>
  <si>
    <t>L9.J.103001</t>
  </si>
  <si>
    <t>occupied space: Keolis-Downer (1/4), Mouchel (1/4), IT (1/2) occupied from April 2015, bill data starts at May 2015</t>
  </si>
  <si>
    <t>North Ryde T1 - Level 4</t>
  </si>
  <si>
    <t>L9.J.104001</t>
  </si>
  <si>
    <t>Utilities, IT. Occupied from April 2015, bill data from May 2015</t>
  </si>
  <si>
    <t>North Ryde T3 - Level 2</t>
  </si>
  <si>
    <t>L9.J.107001</t>
  </si>
  <si>
    <t>North Ryde T3 - Level 3</t>
  </si>
  <si>
    <t>L9.J.109001</t>
  </si>
  <si>
    <t>Group, IT &amp; Infrastructure Services</t>
  </si>
  <si>
    <t>T3, Triniti Business Campus, 39 Delhi Road</t>
  </si>
  <si>
    <t>NORTH WANAKA WW CONVEYANCE</t>
  </si>
  <si>
    <t>L9.DNZJ.DS2671</t>
  </si>
  <si>
    <t>JP_DS2671</t>
  </si>
  <si>
    <t>North Wollongong Office</t>
  </si>
  <si>
    <t>Was previously called "LAHC - North Wollongong"</t>
  </si>
  <si>
    <t>5/13 Ralph Black Drive</t>
  </si>
  <si>
    <t>North Wollongong</t>
  </si>
  <si>
    <t>Northern BPL's</t>
  </si>
  <si>
    <t>L9.DNZ.810.10.237</t>
  </si>
  <si>
    <t>Northern Corrections</t>
  </si>
  <si>
    <t>Northern Food AOR</t>
  </si>
  <si>
    <t>L9.S.26019466</t>
  </si>
  <si>
    <t>NORTHERN NETWORK TRANSPORTATIO</t>
  </si>
  <si>
    <t>JP_DN1171</t>
  </si>
  <si>
    <t>Northern Operations Manager</t>
  </si>
  <si>
    <t>L9.DUN.70100</t>
  </si>
  <si>
    <t>PG70100</t>
  </si>
  <si>
    <t>Northern Overhead</t>
  </si>
  <si>
    <t>L9.DNZJ.55923</t>
  </si>
  <si>
    <t>Northern Regional</t>
  </si>
  <si>
    <t>L9.DUN.10132</t>
  </si>
  <si>
    <t>Northland Hlth 45000806</t>
  </si>
  <si>
    <t>L9.S.26006372</t>
  </si>
  <si>
    <t>Northland Hospital Operations - 45002552</t>
  </si>
  <si>
    <t>L9.S.24000130</t>
  </si>
  <si>
    <t>NPT Overheads (Other) EU Subcontractors</t>
  </si>
  <si>
    <t>L9.J.239009</t>
  </si>
  <si>
    <t>NSW Police Capital Works Management Services</t>
  </si>
  <si>
    <t>L9.S.0392.1029</t>
  </si>
  <si>
    <t>NSW Spray Seal</t>
  </si>
  <si>
    <t>L9.J.171210</t>
  </si>
  <si>
    <t>Includes all RPQ NSW spray seal depots</t>
  </si>
  <si>
    <t>3 Tyson Street</t>
  </si>
  <si>
    <t>South Grafton</t>
  </si>
  <si>
    <t>NSW Telco EU Subcontractors</t>
  </si>
  <si>
    <t>L9.J.23440129</t>
  </si>
  <si>
    <t>NSW/ACT/Vic other customers EU Subcontractors</t>
  </si>
  <si>
    <t>L9.J.24160024</t>
  </si>
  <si>
    <t>NSW/ACT/VIC Overhead EU Subcontractors</t>
  </si>
  <si>
    <t>L9.J.240102</t>
  </si>
  <si>
    <t>NSW/ACT/VIC Recoveries EU Subcontractors</t>
  </si>
  <si>
    <t>L9.J.240107</t>
  </si>
  <si>
    <t>NZ Aluminium (Food) - 45002914</t>
  </si>
  <si>
    <t>L9.S.24000203</t>
  </si>
  <si>
    <t>Tiwai Road</t>
  </si>
  <si>
    <t>Tiwai Point</t>
  </si>
  <si>
    <t>NZ Aluminium Smelters  45000887</t>
  </si>
  <si>
    <t>L9.S.26005890</t>
  </si>
  <si>
    <t>NZ ANZ Ops Overheads</t>
  </si>
  <si>
    <t>NZ Asset Management</t>
  </si>
  <si>
    <t>L9.DNZJ.1936</t>
  </si>
  <si>
    <t>Fleet-NZ Asset Management</t>
  </si>
  <si>
    <t>NZ Car Rentals</t>
  </si>
  <si>
    <t>L9.DNZJ.9006</t>
  </si>
  <si>
    <t>NZ Construction Direct Overhead</t>
  </si>
  <si>
    <t>L9.S.26020301</t>
  </si>
  <si>
    <t>NZ Construction Electrical 45003670</t>
  </si>
  <si>
    <t>L9.S.26019357</t>
  </si>
  <si>
    <t>NZ Construction Overhead</t>
  </si>
  <si>
    <t>L9.S.23016600</t>
  </si>
  <si>
    <t>NZ Construction Resource Pool</t>
  </si>
  <si>
    <t>L9.S.26020300</t>
  </si>
  <si>
    <t>NZ Education Food - Management</t>
  </si>
  <si>
    <t>L9.S.23000789</t>
  </si>
  <si>
    <t>NZ Govt Housing - 45002376</t>
  </si>
  <si>
    <t>L9.S.24000003</t>
  </si>
  <si>
    <t>NZ I &amp; C Overhead</t>
  </si>
  <si>
    <t>NZ Overhead</t>
  </si>
  <si>
    <t>L9.S.23016602</t>
  </si>
  <si>
    <t>NZ Sch-Kumeu PS 45003777</t>
  </si>
  <si>
    <t>L9.S.26018544</t>
  </si>
  <si>
    <t>NZ Sch-Shirley Boys HS 45003777</t>
  </si>
  <si>
    <t>L9.S.26018555</t>
  </si>
  <si>
    <t>209 Travis Road</t>
  </si>
  <si>
    <t>New Brighton</t>
  </si>
  <si>
    <t>NZ Sch-Sylvester PS 45003777</t>
  </si>
  <si>
    <t>L9.S.26018577</t>
  </si>
  <si>
    <t>NZ Service Direct Overhead</t>
  </si>
  <si>
    <t>L9.S.26020303</t>
  </si>
  <si>
    <t>NZ Service Resource Pool</t>
  </si>
  <si>
    <t>L9.S.26020302</t>
  </si>
  <si>
    <t>NZ_Nauru</t>
  </si>
  <si>
    <t>L9.DNZJ.300210</t>
  </si>
  <si>
    <t>TI-NZT-300210 - Pacific Recharge - Nauru</t>
  </si>
  <si>
    <t>Yaren</t>
  </si>
  <si>
    <t>Nauru</t>
  </si>
  <si>
    <t>NZ_Solomon Islands</t>
  </si>
  <si>
    <t>L9.DNZJ.8060</t>
  </si>
  <si>
    <t>Seghe</t>
  </si>
  <si>
    <t>Solomon Islands</t>
  </si>
  <si>
    <t>NZ_Vanuatu</t>
  </si>
  <si>
    <t>L9.DNZJ.300201</t>
  </si>
  <si>
    <t>Final obligations August 2012, coincided with expiry of DNP for final part of the works. Reported up to FY15. Divisional restructure &amp; data input to "facility" modified from FY16 - see Lisa Martin or Emily Townsend for detail.</t>
  </si>
  <si>
    <t>Lot 31 Stella-Marie Subdivision, Second Lagoon, Port Vila</t>
  </si>
  <si>
    <t>Vanuatu</t>
  </si>
  <si>
    <t>Port Vila</t>
  </si>
  <si>
    <t>NZTA 9970 SH3 Stewart Rd SIP</t>
  </si>
  <si>
    <t>L9.DNZJ.552415</t>
  </si>
  <si>
    <t>TI-NZT-552415 - NZTA 9970 SH3 Stewart Rd SIP (TI-NZT - Taranaki Whanganui Projects)</t>
  </si>
  <si>
    <t>NZTA BOP West - RCM</t>
  </si>
  <si>
    <t>L9.DNZJ.55143</t>
  </si>
  <si>
    <t>NZTA CO NOC - Construction</t>
  </si>
  <si>
    <t>L9.DNZJ.556224</t>
  </si>
  <si>
    <t>NZTA CO NOC - RCM</t>
  </si>
  <si>
    <t>L9.DNZJ.55383</t>
  </si>
  <si>
    <t>NZTA CO NOC - Reseals</t>
  </si>
  <si>
    <t>L9.DNZJ.556227</t>
  </si>
  <si>
    <t>NZTA Contract PW S88/01</t>
  </si>
  <si>
    <t>L9.DNZJ.556260</t>
  </si>
  <si>
    <t>401 Kakapo Road</t>
  </si>
  <si>
    <t>NZTA Nth Cant NOC - RCM</t>
  </si>
  <si>
    <t>L9.DNZJ.55404</t>
  </si>
  <si>
    <t>NZTA TNOC - Maintenance LS</t>
  </si>
  <si>
    <t>L9.DNZJ.551983</t>
  </si>
  <si>
    <t>NZTA TNOC - Surfacing 22/23</t>
  </si>
  <si>
    <t>L9.DNZJ.552038</t>
  </si>
  <si>
    <t>NZTA Weigh Right - SP1 Ohakea</t>
  </si>
  <si>
    <t>L9.DNZJ.558020</t>
  </si>
  <si>
    <t>TI-NZT.558020-NZTA Weigh Right - SP1 Ohakea</t>
  </si>
  <si>
    <t>Oamaru (39 Chelmers St)</t>
  </si>
  <si>
    <t>L9.DNZJ.91335</t>
  </si>
  <si>
    <t>39B Chelmer Street</t>
  </si>
  <si>
    <t>Oamaru Depot</t>
  </si>
  <si>
    <t>3A Main North Road</t>
  </si>
  <si>
    <t>Oamaru North</t>
  </si>
  <si>
    <t>OCD Landscape + Road Repairs</t>
  </si>
  <si>
    <t>L9.DNZJ.312035</t>
  </si>
  <si>
    <t>Ocean Oufall Pump Station</t>
  </si>
  <si>
    <t>L9.DNZJ.8109</t>
  </si>
  <si>
    <t>Oceana Gold (NZ)  45000822</t>
  </si>
  <si>
    <t>L9.S.26004890</t>
  </si>
  <si>
    <t>SI-NZG-26004890-Oceana Gold</t>
  </si>
  <si>
    <t>ODM - BDOD EU Subcontractors</t>
  </si>
  <si>
    <t>L9.J.23440412</t>
  </si>
  <si>
    <t>ODM - SD2 EU Subcontractors</t>
  </si>
  <si>
    <t>L9.J.23440353</t>
  </si>
  <si>
    <t>ODM Other Works EU Subcontractors</t>
  </si>
  <si>
    <t>L9.J.23440330</t>
  </si>
  <si>
    <t>Ohakea Operations - 45002412</t>
  </si>
  <si>
    <t>L9.S.24000037</t>
  </si>
  <si>
    <t>Ohakea Weigh Right</t>
  </si>
  <si>
    <t>L9.DNZ.HW0253</t>
  </si>
  <si>
    <t>HW0253</t>
  </si>
  <si>
    <t>In INX, it's named as TI-NZT-BP.HW0253 Ohakea Weigh Right.
in EDW, it's named as WHAKATANE MENTAL HEALTH</t>
  </si>
  <si>
    <t>Oil and Gas QLD EU Subcontractors</t>
  </si>
  <si>
    <t>L9.J.381393</t>
  </si>
  <si>
    <t>OM&amp;S Growth &amp; Development EU Subcontractors</t>
  </si>
  <si>
    <t>L9.J.382016</t>
  </si>
  <si>
    <t>One Melbourne Quarter</t>
  </si>
  <si>
    <t>02109</t>
  </si>
  <si>
    <t>temporarily use COR-02109 - IT St Kilda Rd Move</t>
  </si>
  <si>
    <t>Level 10, 699 Collins Street</t>
  </si>
  <si>
    <t>One NZ Fxd Proj Mangmt</t>
  </si>
  <si>
    <t>L9.DNZJ.10086</t>
  </si>
  <si>
    <t>EU-NZU-10086-One NZ Fxd Proj Mangmt</t>
  </si>
  <si>
    <t>One NZ Maintenance North EU Subcontractors</t>
  </si>
  <si>
    <t>L9.DNZ.810.21011</t>
  </si>
  <si>
    <t>One NZ Wireless - New Builds EU Subcontractors</t>
  </si>
  <si>
    <t>L9.DNZ.810.20991</t>
  </si>
  <si>
    <t>One NZ Wireless - Upgrades EU Subcontractors</t>
  </si>
  <si>
    <t>L9.DNZ.810.20992</t>
  </si>
  <si>
    <t>ONSLOW COLLEGE BOARD OF TRUSTE</t>
  </si>
  <si>
    <t>L9.DNZ.HW0231</t>
  </si>
  <si>
    <t>JP_HW0242</t>
  </si>
  <si>
    <t>Operations</t>
  </si>
  <si>
    <t>L9.DNZJ.8810</t>
  </si>
  <si>
    <t>Operations - Lower North</t>
  </si>
  <si>
    <t>Operations - Recharge 2</t>
  </si>
  <si>
    <t>Operations - Southern</t>
  </si>
  <si>
    <t>Operations Leadership</t>
  </si>
  <si>
    <t>Operations OSM</t>
  </si>
  <si>
    <t>L9.DNZJ.66901</t>
  </si>
  <si>
    <t>Operations South EU Subcontractors</t>
  </si>
  <si>
    <t>L9.DNZJ.1518</t>
  </si>
  <si>
    <t>Operations Support Leadership</t>
  </si>
  <si>
    <t>Origin EU Subcontractors</t>
  </si>
  <si>
    <t>L9.J.39210321</t>
  </si>
  <si>
    <t>Otago Overhead</t>
  </si>
  <si>
    <t>L9.DNZJ.54943</t>
  </si>
  <si>
    <t>TI-NZT-54943 - Otago Overhead</t>
  </si>
  <si>
    <t>Otago Telco Ops</t>
  </si>
  <si>
    <t>Otaki (91 Riverbank Rd)</t>
  </si>
  <si>
    <t>L9.DNZJ.91401</t>
  </si>
  <si>
    <t>COR-NZHO-91401 - Otaki (91 Riverbank Rd)
91 RIVERBANK ROAD  OTAKI 0</t>
  </si>
  <si>
    <t>Otaki</t>
  </si>
  <si>
    <t>Overheads EU Subcontractors</t>
  </si>
  <si>
    <t>L9.J.382037</t>
  </si>
  <si>
    <t>Pacific Region Balance Sheet</t>
  </si>
  <si>
    <t>L9.DNZJ.8000</t>
  </si>
  <si>
    <t>Paeroa - Faults 127</t>
  </si>
  <si>
    <t>L9.DUN.60127</t>
  </si>
  <si>
    <t>PG60127</t>
  </si>
  <si>
    <t>Paeroa - WM 121</t>
  </si>
  <si>
    <t>L9.DUN.60121</t>
  </si>
  <si>
    <t>PG60121</t>
  </si>
  <si>
    <t>Paeroa - WM 122</t>
  </si>
  <si>
    <t>PG60122</t>
  </si>
  <si>
    <t>Paeroa Depot</t>
  </si>
  <si>
    <t>Pahiatua - WM 232</t>
  </si>
  <si>
    <t>L9.DUN.60233</t>
  </si>
  <si>
    <t>PG60233</t>
  </si>
  <si>
    <t>15 Mangahao Road</t>
  </si>
  <si>
    <t>Pahiatua</t>
  </si>
  <si>
    <t>Palm North (315 Albert St)</t>
  </si>
  <si>
    <t>L9.DNZJ.91261</t>
  </si>
  <si>
    <t>315 Albert Street</t>
  </si>
  <si>
    <t>Hokowhitu</t>
  </si>
  <si>
    <t>Palm North (Tennant Dr Massey)</t>
  </si>
  <si>
    <t>L9.DNZJ.91190</t>
  </si>
  <si>
    <t>Tennent Drive</t>
  </si>
  <si>
    <t>Massey University</t>
  </si>
  <si>
    <t>Palmerston Depot</t>
  </si>
  <si>
    <t>Palmerston Lines (TL2)</t>
  </si>
  <si>
    <t>L9.DUN.80121</t>
  </si>
  <si>
    <t>PG80121</t>
  </si>
  <si>
    <t>Palmerston North - WM 231</t>
  </si>
  <si>
    <t>L9.DUN.60231</t>
  </si>
  <si>
    <t>PG60231</t>
  </si>
  <si>
    <t>Palmerston North - WM 232</t>
  </si>
  <si>
    <t>PG60232</t>
  </si>
  <si>
    <t>Palmerston North (24 Ashford A</t>
  </si>
  <si>
    <t>L9.DNZJ.91742</t>
  </si>
  <si>
    <t>24 Ashford Avenue</t>
  </si>
  <si>
    <t>Palmerston North (3a Miles Pl)</t>
  </si>
  <si>
    <t>L9.DNZJ.91269</t>
  </si>
  <si>
    <t>3A Miles Place</t>
  </si>
  <si>
    <t>Palmerston North (572 Church S</t>
  </si>
  <si>
    <t>L9.DNZJ.91640</t>
  </si>
  <si>
    <t>572 Church Street</t>
  </si>
  <si>
    <t>Terrace End</t>
  </si>
  <si>
    <t>Palmerston North (62 West Stre</t>
  </si>
  <si>
    <t>L9.DNZJ.91642</t>
  </si>
  <si>
    <t>62 West Street</t>
  </si>
  <si>
    <t>West End</t>
  </si>
  <si>
    <t>Palmerston North Area Manager</t>
  </si>
  <si>
    <t>L9.DUN.60230</t>
  </si>
  <si>
    <t>PG60230</t>
  </si>
  <si>
    <t>50 Mihaere Drive</t>
  </si>
  <si>
    <t>Kelvin Grove</t>
  </si>
  <si>
    <t>Palmerston North Depot</t>
  </si>
  <si>
    <t>Milson</t>
  </si>
  <si>
    <t>Palmerston North NGA</t>
  </si>
  <si>
    <t>L9.DNZ.810.10.113</t>
  </si>
  <si>
    <t>Palmerston North Telco Ops</t>
  </si>
  <si>
    <t>L9.DNZ.810.10.161</t>
  </si>
  <si>
    <t>Paving - Waikato</t>
  </si>
  <si>
    <t>L9.DNZJ.55403</t>
  </si>
  <si>
    <t>TI-NZT-55403 - Paving - Waikato</t>
  </si>
  <si>
    <t>PB0202 - Cleaning NZ Ctrl Auckland</t>
  </si>
  <si>
    <t>L9.S.26007390</t>
  </si>
  <si>
    <t>PC0201 - Cleaning NZ Central Otago</t>
  </si>
  <si>
    <t>L9.S.23000180</t>
  </si>
  <si>
    <t>PC0201 - Cleaning NZ Christchurch1</t>
  </si>
  <si>
    <t>L9.S.26001700</t>
  </si>
  <si>
    <t>PC0201 - Cleaning NZ Dunedin Management</t>
  </si>
  <si>
    <t>L9.S.23000270</t>
  </si>
  <si>
    <t>PC0201 - Cleaning NZ Dunedin4</t>
  </si>
  <si>
    <t>L9.S.23000250</t>
  </si>
  <si>
    <t>PC0201 - Cleaning NZ Invcargll Managemen</t>
  </si>
  <si>
    <t>L9.S.26019486</t>
  </si>
  <si>
    <t>PC0201 - Cleaning NZ Nelson2</t>
  </si>
  <si>
    <t>L9.S.26000740</t>
  </si>
  <si>
    <t>PC0201 - Cleaning NZ Timaru</t>
  </si>
  <si>
    <t>L9.S.26003470</t>
  </si>
  <si>
    <t>PC0201 - Cleaning NZ West Coast</t>
  </si>
  <si>
    <t>L9.S.26002660</t>
  </si>
  <si>
    <t>Confirmed from Krishna Patten, this project belongs to SI-NZF-26002660 - Downer West Coast.</t>
  </si>
  <si>
    <t>PC0202 - Cleaning NZ Gisborne</t>
  </si>
  <si>
    <t>L9.S.26011910</t>
  </si>
  <si>
    <t>PC0202 - Cleaning NZ Hamilton1</t>
  </si>
  <si>
    <t>L9.S.26008880</t>
  </si>
  <si>
    <t>PC0202 - Cleaning NZ Hawkes Bay</t>
  </si>
  <si>
    <t>L9.S.26012560</t>
  </si>
  <si>
    <t>PC0202 - Cleaning NZ Palmerston</t>
  </si>
  <si>
    <t>L9.S.26013450</t>
  </si>
  <si>
    <t>PC0202 - Cleaning NZ Taranaki</t>
  </si>
  <si>
    <t>L9.S.26018535</t>
  </si>
  <si>
    <t>PC0202 - Cleaning NZ Tauranga</t>
  </si>
  <si>
    <t>L9.S.26010610</t>
  </si>
  <si>
    <t>PC0202 - Cleaning NZ Welington Managemen</t>
  </si>
  <si>
    <t>L9.S.26016560</t>
  </si>
  <si>
    <t>PC0202 - Cleaning NZ Whakatane</t>
  </si>
  <si>
    <t>L9.S.26010640</t>
  </si>
  <si>
    <t>PC0202 - Cleaning NZ Whangarei</t>
  </si>
  <si>
    <t>L9.S.26006860</t>
  </si>
  <si>
    <t>PCONW Whanganui Lines - Direct</t>
  </si>
  <si>
    <t>L9.DUN.85413</t>
  </si>
  <si>
    <t>PG40222</t>
  </si>
  <si>
    <t>Peacockes Project</t>
  </si>
  <si>
    <t>L9.DNZJ.352405</t>
  </si>
  <si>
    <t>Penrose Depot</t>
  </si>
  <si>
    <t>People - AC Stormwater North</t>
  </si>
  <si>
    <t>L9.DNZJ.56703</t>
  </si>
  <si>
    <t>People - Automation Nth Is.</t>
  </si>
  <si>
    <t>L9.DNZJ.56719</t>
  </si>
  <si>
    <t>People - Automation Sth Is.</t>
  </si>
  <si>
    <t>L9.DNZJ.56720</t>
  </si>
  <si>
    <t>People - Const. Canterbury/WTC</t>
  </si>
  <si>
    <t>L9.DNZJ.56747</t>
  </si>
  <si>
    <t>People - Const. Otago/Southlnd</t>
  </si>
  <si>
    <t>L9.DNZJ.56746</t>
  </si>
  <si>
    <t>People - Const. Otago/Southlnd EU Subcontractors</t>
  </si>
  <si>
    <t>People - Cranes Auckland</t>
  </si>
  <si>
    <t>L9.DNZJ.54745</t>
  </si>
  <si>
    <t>TI-NZT-54745 - People - Cranes Auckland</t>
  </si>
  <si>
    <t>People - Engineering Services</t>
  </si>
  <si>
    <t>L9.DNZJ.56751</t>
  </si>
  <si>
    <t>People - ICC Piped Network Mtn</t>
  </si>
  <si>
    <t>L9.DNZJ.56718</t>
  </si>
  <si>
    <t>People - Kaipara</t>
  </si>
  <si>
    <t>L9.DNZJ.56702</t>
  </si>
  <si>
    <t>People - Kaipara DC</t>
  </si>
  <si>
    <t>L9.DNZJ.54786</t>
  </si>
  <si>
    <t>TI-NZT-54786 - People - Kaipara DC</t>
  </si>
  <si>
    <t>People - Levin</t>
  </si>
  <si>
    <t>L9.DNZJ.56708</t>
  </si>
  <si>
    <t>People - Microsurfacing</t>
  </si>
  <si>
    <t>L9.DNZJ.54217</t>
  </si>
  <si>
    <t>People - Products Cranes</t>
  </si>
  <si>
    <t>L9.DNZJ.54744</t>
  </si>
  <si>
    <t>TI-NZT-54744 - People - Products Cranes</t>
  </si>
  <si>
    <t>People - Projects O&amp;M</t>
  </si>
  <si>
    <t>L9.DNZJ.56712</t>
  </si>
  <si>
    <t>People - Rejuv Surfacing</t>
  </si>
  <si>
    <t>L9.DNZJ.553439</t>
  </si>
  <si>
    <t>Allocate to INX prj: 
TI-NZT - NTH PRJ Microsurfacing
TI-NZT-553439 - Rejuvenation Establish Plan
Region TBC</t>
  </si>
  <si>
    <t>People - Southland</t>
  </si>
  <si>
    <t>L9.DNZJ.56711</t>
  </si>
  <si>
    <t>People - Specialist Civil Con.</t>
  </si>
  <si>
    <t>L9.DNZJ.56739</t>
  </si>
  <si>
    <t>People - T2W Project</t>
  </si>
  <si>
    <t>L9.DNZJ.54751</t>
  </si>
  <si>
    <t>TI-NZT-54751 - Peopl</t>
  </si>
  <si>
    <t>People - Tasman</t>
  </si>
  <si>
    <t>L9.DNZJ.56710</t>
  </si>
  <si>
    <t>People - Taupo 3 Waters</t>
  </si>
  <si>
    <t>L9.DNZJ.56714</t>
  </si>
  <si>
    <t>People - Tauranga</t>
  </si>
  <si>
    <t>L9.DNZJ.56707</t>
  </si>
  <si>
    <t>326 Devonport Road</t>
  </si>
  <si>
    <t>People - Water Const Nth Is.</t>
  </si>
  <si>
    <t>L9.DNZJ.56749</t>
  </si>
  <si>
    <t>People - Watercare</t>
  </si>
  <si>
    <t>L9.DNZJ.56705</t>
  </si>
  <si>
    <t>People - Whangarei</t>
  </si>
  <si>
    <t>L9.DNZJ.56701</t>
  </si>
  <si>
    <t>People (Auckland Roadmarking)</t>
  </si>
  <si>
    <t>L9.DNZJ.55744</t>
  </si>
  <si>
    <t>People (BOP Traffic Control)</t>
  </si>
  <si>
    <t>L9.DNZJ.55710</t>
  </si>
  <si>
    <t>People (Cen Hawkes Bay Maint)</t>
  </si>
  <si>
    <t>L9.DNZJ.54736</t>
  </si>
  <si>
    <t>People (CHCH Roadmarking)</t>
  </si>
  <si>
    <t>L9.DNZJ.55295</t>
  </si>
  <si>
    <t>People (CN Technical Services)</t>
  </si>
  <si>
    <t>L9.DNZJ.55274</t>
  </si>
  <si>
    <t>People (Construction BOP)</t>
  </si>
  <si>
    <t>L9.DNZJ.55273</t>
  </si>
  <si>
    <t>People (Construction CHCH)</t>
  </si>
  <si>
    <t>L9.DNZJ.55292</t>
  </si>
  <si>
    <t>People (Construction CNI)</t>
  </si>
  <si>
    <t>L9.DNZJ.55275</t>
  </si>
  <si>
    <t>People (Construction Gisborne)</t>
  </si>
  <si>
    <t>L9.DNZJ.55285</t>
  </si>
  <si>
    <t>People (Construction HB)</t>
  </si>
  <si>
    <t>L9.DNZJ.55286</t>
  </si>
  <si>
    <t>People (Construction Otago)</t>
  </si>
  <si>
    <t>L9.DNZJ.55294</t>
  </si>
  <si>
    <t>People (Construction Taranaki)</t>
  </si>
  <si>
    <t>L9.DNZJ.55748</t>
  </si>
  <si>
    <t>People (Construction Waikato)</t>
  </si>
  <si>
    <t>L9.DNZJ.55272</t>
  </si>
  <si>
    <t>People (Construction Wgtn)</t>
  </si>
  <si>
    <t>L9.DNZJ.55715</t>
  </si>
  <si>
    <t>People (Gisborne LR)</t>
  </si>
  <si>
    <t>L9.DNZJ.55283</t>
  </si>
  <si>
    <t>People (Gisborne NOC)</t>
  </si>
  <si>
    <t>L9.DNZJ.55284</t>
  </si>
  <si>
    <t>People (Gisborne Other)</t>
  </si>
  <si>
    <t>L9.DNZJ.55750</t>
  </si>
  <si>
    <t>445B Nelson Road</t>
  </si>
  <si>
    <t>Riverdale</t>
  </si>
  <si>
    <t>People (Hamilton Alliance)</t>
  </si>
  <si>
    <t>L9.DNZJ.55706</t>
  </si>
  <si>
    <t>People (Hastings DC Maint)</t>
  </si>
  <si>
    <t>L9.DNZJ.55281</t>
  </si>
  <si>
    <t>it was previously named 'People (Hawkes Bay Maint)'. As per EDW dashboard, this is allocated to People (Hastings DC Maint) with code 55281 (updated by 2024.07.08)</t>
  </si>
  <si>
    <t>People (Hawkes Bay Other)</t>
  </si>
  <si>
    <t>L9.DNZJ.55751</t>
  </si>
  <si>
    <t>People (ITS - Rail)</t>
  </si>
  <si>
    <t>L9.DNZJ.54704</t>
  </si>
  <si>
    <t>People (ITS)</t>
  </si>
  <si>
    <t>L9.DNZJ.54702</t>
  </si>
  <si>
    <t>People (Kaikoura)</t>
  </si>
  <si>
    <t>L9.DNZJ.55768</t>
  </si>
  <si>
    <t>People (LS Roadmarking)</t>
  </si>
  <si>
    <t>L9.DNZJ.55296</t>
  </si>
  <si>
    <t>People (Maintenance CHCH)</t>
  </si>
  <si>
    <t>L9.DNZJ.55780</t>
  </si>
  <si>
    <t>People (Manawatu Construction)</t>
  </si>
  <si>
    <t>L9.DNZJ.55758</t>
  </si>
  <si>
    <t>People (Milford Road Alliance)</t>
  </si>
  <si>
    <t>L9.DNZJ.55793</t>
  </si>
  <si>
    <t>People (Napier CC Alliance)</t>
  </si>
  <si>
    <t>L9.DNZJ.54723</t>
  </si>
  <si>
    <t>People (NP Other)</t>
  </si>
  <si>
    <t>L9.DNZJ.55746</t>
  </si>
  <si>
    <t>People (NPDC)</t>
  </si>
  <si>
    <t>L9.DNZJ.55278</t>
  </si>
  <si>
    <t>People (Nthn Young Professns)</t>
  </si>
  <si>
    <t>L9.DNZJ.55270</t>
  </si>
  <si>
    <t>People (NZTA Taranaki NOC)</t>
  </si>
  <si>
    <t>L9.DNZJ.55277</t>
  </si>
  <si>
    <t>People (Otago Maintenance)</t>
  </si>
  <si>
    <t>L9.DNZJ.55787</t>
  </si>
  <si>
    <t>People (Paeroa)</t>
  </si>
  <si>
    <t>L9.DNZJ.55713</t>
  </si>
  <si>
    <t>People (Pavement Services)</t>
  </si>
  <si>
    <t>L9.DNZJ.55739</t>
  </si>
  <si>
    <t>TI-NZT-55739 - People (Pavement Services)</t>
  </si>
  <si>
    <t>People (Paving - BOP)</t>
  </si>
  <si>
    <t>L9.DNZJ.54717</t>
  </si>
  <si>
    <t>People (Paving - CHCH)</t>
  </si>
  <si>
    <t>L9.DNZJ.55796</t>
  </si>
  <si>
    <t>People (Paving - Gisborne)</t>
  </si>
  <si>
    <t>L9.DNZJ.54710</t>
  </si>
  <si>
    <t>People (Paving - Otago/Sthld)</t>
  </si>
  <si>
    <t>L9.DNZJ.55792</t>
  </si>
  <si>
    <t>People (Paving - Waikato)</t>
  </si>
  <si>
    <t>L9.DNZJ.55738</t>
  </si>
  <si>
    <t>People (Paving - Wellington)</t>
  </si>
  <si>
    <t>L9.DNZJ.55763</t>
  </si>
  <si>
    <t>People (PCC Wgtn)</t>
  </si>
  <si>
    <t>L9.DNZJ.55717</t>
  </si>
  <si>
    <t>People (Queenstown)</t>
  </si>
  <si>
    <t>L9.DNZJ.55785</t>
  </si>
  <si>
    <t>People (Rangitikei)</t>
  </si>
  <si>
    <t>L9.DNZJ.54776</t>
  </si>
  <si>
    <t>TI-NZT-54776 - People (Rangitikei)</t>
  </si>
  <si>
    <t>People (RM Wgtn)</t>
  </si>
  <si>
    <t>L9.DNZJ.55719</t>
  </si>
  <si>
    <t>People (Roadmarking National)</t>
  </si>
  <si>
    <t>L9.DNZJ.55297</t>
  </si>
  <si>
    <t>People (Roadmarking Nthland)</t>
  </si>
  <si>
    <t>L9.DNZJ.55727</t>
  </si>
  <si>
    <t>People (Roadmarking TKI)</t>
  </si>
  <si>
    <t>L9.DNZJ.55287</t>
  </si>
  <si>
    <t>People (Roadmarking)</t>
  </si>
  <si>
    <t>L9.DNZJ.55276</t>
  </si>
  <si>
    <t>People (Sealing - BOP)</t>
  </si>
  <si>
    <t>L9.DNZJ.54716</t>
  </si>
  <si>
    <t>People (Sealing - CHCH)</t>
  </si>
  <si>
    <t>L9.DNZJ.55798</t>
  </si>
  <si>
    <t>People (Sealing - Hawkes Bay)</t>
  </si>
  <si>
    <t>L9.DNZJ.55762</t>
  </si>
  <si>
    <t>People (Sealing - Otago/Sthld)</t>
  </si>
  <si>
    <t>L9.DNZJ.55795</t>
  </si>
  <si>
    <t>People (Sealing - Taranaki)</t>
  </si>
  <si>
    <t>L9.DNZJ.55760</t>
  </si>
  <si>
    <t>People (Sealing - Tasman)</t>
  </si>
  <si>
    <t>L9.DNZJ.55794</t>
  </si>
  <si>
    <t>People (Sealing - Waikato)</t>
  </si>
  <si>
    <t>L9.DNZJ.55733</t>
  </si>
  <si>
    <t>People (Sealing - Whanganui)</t>
  </si>
  <si>
    <t>L9.DNZJ.55237</t>
  </si>
  <si>
    <t>People (Services Wgtn)</t>
  </si>
  <si>
    <t>L9.DNZJ.54741</t>
  </si>
  <si>
    <t>People (South Canterbury)</t>
  </si>
  <si>
    <t>L9.DNZJ.55782</t>
  </si>
  <si>
    <t>People (South/Central Const.)</t>
  </si>
  <si>
    <t>L9.DNZJ.55789</t>
  </si>
  <si>
    <t>People (Taranaki Traffic Serv)</t>
  </si>
  <si>
    <t>L9.DNZJ.55299</t>
  </si>
  <si>
    <t>People (Tararua)</t>
  </si>
  <si>
    <t>People (Tasman Construction)</t>
  </si>
  <si>
    <t>L9.DNZJ.55766</t>
  </si>
  <si>
    <t>People (Tasman Road Services)</t>
  </si>
  <si>
    <t>L9.DNZJ.55290</t>
  </si>
  <si>
    <t>People (Tasman Roadmarking)</t>
  </si>
  <si>
    <t>L9.DNZJ.55289</t>
  </si>
  <si>
    <t>People (Taumarunui)</t>
  </si>
  <si>
    <t>L9.DNZJ.55724</t>
  </si>
  <si>
    <t>People (Taupo)</t>
  </si>
  <si>
    <t>L9.DNZJ.55723</t>
  </si>
  <si>
    <t>People (Tauranga)</t>
  </si>
  <si>
    <t>L9.DNZJ.55712</t>
  </si>
  <si>
    <t>People (TC - Otago)</t>
  </si>
  <si>
    <t>L9.DNZJ.54714</t>
  </si>
  <si>
    <t>People (TC CHCH)</t>
  </si>
  <si>
    <t>L9.DNZJ.55293</t>
  </si>
  <si>
    <t>People (TC Gisborne)</t>
  </si>
  <si>
    <t>L9.DNZJ.54728</t>
  </si>
  <si>
    <t>People (TC Hawkes Bay)</t>
  </si>
  <si>
    <t>L9.DNZJ.54740</t>
  </si>
  <si>
    <t>People (TDC Alliance)</t>
  </si>
  <si>
    <t>L9.DNZJ.55288</t>
  </si>
  <si>
    <t>People (Technical Services)</t>
  </si>
  <si>
    <t>L9.DNZJ.55282</t>
  </si>
  <si>
    <t>People (Tirau)</t>
  </si>
  <si>
    <t>L9.DNZJ.55720</t>
  </si>
  <si>
    <t>People (TM Wgtn)</t>
  </si>
  <si>
    <t>L9.DNZJ.55726</t>
  </si>
  <si>
    <t>People (TNOC Taumaranui)</t>
  </si>
  <si>
    <t>L9.DNZJ.54727</t>
  </si>
  <si>
    <t>People (TRC Construction)</t>
  </si>
  <si>
    <t>L9.DNZJ.3121</t>
  </si>
  <si>
    <t>People (TRC Crushing)</t>
  </si>
  <si>
    <t>L9.DNZJ.3131</t>
  </si>
  <si>
    <t>People (Waikato Alliance)</t>
  </si>
  <si>
    <t>L9.DNZJ.55707</t>
  </si>
  <si>
    <t>People (Waikato Reg Services)</t>
  </si>
  <si>
    <t>L9.DNZJ.54721</t>
  </si>
  <si>
    <t>People (Waikato TS)</t>
  </si>
  <si>
    <t>L9.DNZJ.54719</t>
  </si>
  <si>
    <t>People (Waipa DC)</t>
  </si>
  <si>
    <t>L9.DNZJ.54839</t>
  </si>
  <si>
    <t>People (WCC Maintenance Wgtn)</t>
  </si>
  <si>
    <t>L9.DNZJ.55716</t>
  </si>
  <si>
    <t>People (Wellington Other)</t>
  </si>
  <si>
    <t>L9.DNZJ.55756</t>
  </si>
  <si>
    <t>People (Whanganui Alliance)</t>
  </si>
  <si>
    <t>L9.DNZJ.55754</t>
  </si>
  <si>
    <t>People (Whanganui Other)</t>
  </si>
  <si>
    <t>L9.DNZJ.54735</t>
  </si>
  <si>
    <t>People AT Central Urban RCM</t>
  </si>
  <si>
    <t>L9.DNZJ.55740</t>
  </si>
  <si>
    <t>People AT North Rural RCM</t>
  </si>
  <si>
    <t>L9.DNZJ.55704</t>
  </si>
  <si>
    <t>People AT Waiheke-Rakino RCM</t>
  </si>
  <si>
    <t>L9.DNZJ.55705</t>
  </si>
  <si>
    <t>People Concrete Akld</t>
  </si>
  <si>
    <t>L9.DNZJ.55736</t>
  </si>
  <si>
    <t>People Construction Akld</t>
  </si>
  <si>
    <t>L9.DNZJ.55725</t>
  </si>
  <si>
    <t>People Construction Nthld</t>
  </si>
  <si>
    <t>L9.DNZJ.55702</t>
  </si>
  <si>
    <t>People Facility (Hamilton All)</t>
  </si>
  <si>
    <t>L9.DNZJ.55709</t>
  </si>
  <si>
    <t>People Facility (Napier Allia)</t>
  </si>
  <si>
    <t>L9.DNZJ.54722</t>
  </si>
  <si>
    <t>People Facility (Tararua All)</t>
  </si>
  <si>
    <t>L9.DNZJ.55759</t>
  </si>
  <si>
    <t>People Facility (Whanganui All</t>
  </si>
  <si>
    <t>L9.DNZJ.55753</t>
  </si>
  <si>
    <t>People NTA WDC Mtce</t>
  </si>
  <si>
    <t>L9.DNZJ.55730</t>
  </si>
  <si>
    <t>People Nthld</t>
  </si>
  <si>
    <t>People OSM - Blenheim</t>
  </si>
  <si>
    <t>L9.DNZJ.55775</t>
  </si>
  <si>
    <t>People OSM - Canterbury</t>
  </si>
  <si>
    <t>L9.DNZJ.55735</t>
  </si>
  <si>
    <t>TI-NZT-55735-People OSM - Canterbury</t>
  </si>
  <si>
    <t>People Paving Akld</t>
  </si>
  <si>
    <t>L9.DNZJ.55734</t>
  </si>
  <si>
    <t>People Penrose Akld</t>
  </si>
  <si>
    <t>L9.DNZJ.55703</t>
  </si>
  <si>
    <t>People Quarry (Gisborne)</t>
  </si>
  <si>
    <t>L9.DNZJ.55749</t>
  </si>
  <si>
    <t>People Sealing Akld</t>
  </si>
  <si>
    <t>L9.DNZJ.55732</t>
  </si>
  <si>
    <t>People Sealing Nthld</t>
  </si>
  <si>
    <t>L9.DNZJ.55799</t>
  </si>
  <si>
    <t>People Tech. Servs Akl</t>
  </si>
  <si>
    <t>L9.DNZJ.55742</t>
  </si>
  <si>
    <t>People Traffic Management Akld</t>
  </si>
  <si>
    <t>L9.DNZJ.55743</t>
  </si>
  <si>
    <t>People Traffic Management Nthl</t>
  </si>
  <si>
    <t>L9.DNZJ.55728</t>
  </si>
  <si>
    <t>People Traffic Signs &amp; Proj Ak</t>
  </si>
  <si>
    <t>L9.DNZJ.54724</t>
  </si>
  <si>
    <t>People(Construction Whanganui)</t>
  </si>
  <si>
    <t>L9.DNZJ.55279</t>
  </si>
  <si>
    <t>People(Manawatu Traffic Svces)</t>
  </si>
  <si>
    <t>L9.DNZJ.54725</t>
  </si>
  <si>
    <t>Petone (201/2 Campbell St)</t>
  </si>
  <si>
    <t>L9.DNZJ.91406</t>
  </si>
  <si>
    <t>COR-NZHO-91406 - Petone (201/2 Campbell St)</t>
  </si>
  <si>
    <t>201/2 Campbell Terrace</t>
  </si>
  <si>
    <t>PG Gas Lower Hutt EU Subcontractors</t>
  </si>
  <si>
    <t>PG Gas Wellington EU Subcontractors</t>
  </si>
  <si>
    <t>L9.DUN.50140</t>
  </si>
  <si>
    <t>PG Power Auckland EU Subcontractors</t>
  </si>
  <si>
    <t>L9.DUN.70111</t>
  </si>
  <si>
    <t>PG Power Coromandel EU Subcontractors</t>
  </si>
  <si>
    <t>L9.DUN.60125</t>
  </si>
  <si>
    <t>PG Power Hawera EU Subcontractors</t>
  </si>
  <si>
    <t>PG Power Masterton EU Subcontractors</t>
  </si>
  <si>
    <t>L9.DUN.69240</t>
  </si>
  <si>
    <t>PG Power Matamata EU Subcontractors</t>
  </si>
  <si>
    <t>PG Power New Plymouth EU Subcontractors</t>
  </si>
  <si>
    <t>L9.DUN.69210</t>
  </si>
  <si>
    <t>PG Power Paeroa EU Subcontractors</t>
  </si>
  <si>
    <t>PG Power Pahiatua EU Subcontractors</t>
  </si>
  <si>
    <t>L9.DUN.79121</t>
  </si>
  <si>
    <t>PG Power Palmerston North EU Subcontractors</t>
  </si>
  <si>
    <t>PG Power Tauranga EU Subcontractors</t>
  </si>
  <si>
    <t>L9.DUN.60110</t>
  </si>
  <si>
    <t>PG Power Wanganui EU Subcontractors</t>
  </si>
  <si>
    <t>L9.DUN.60220</t>
  </si>
  <si>
    <t>PG Power Wellington EU Subcontractors</t>
  </si>
  <si>
    <t>L9.DUN.70311</t>
  </si>
  <si>
    <t>PG WEL Network EU Subcontractors</t>
  </si>
  <si>
    <t>L9.DUN.79313</t>
  </si>
  <si>
    <t>Picton (12 - 14 Kent Street)</t>
  </si>
  <si>
    <t>L9.DNZJ.91389</t>
  </si>
  <si>
    <t>UT-NZU-564424-Picton Depot
COR-NZHO.91389-Picton (12 - 14 Kent Street)
12A Kent Street  Picton 7220  Marlborough Region</t>
  </si>
  <si>
    <t>12-14 Kent Street</t>
  </si>
  <si>
    <t>Picton Depot</t>
  </si>
  <si>
    <t>Piling</t>
  </si>
  <si>
    <t>L9.DNZJ.8817</t>
  </si>
  <si>
    <t>PINEHAVEN STREAM IMPROVEMENTS</t>
  </si>
  <si>
    <t>L9.DNZJ.DS2662</t>
  </si>
  <si>
    <t>JP_DS2662</t>
  </si>
  <si>
    <t>Pipe Bursting &amp; SLip Lining EU Subcontractors</t>
  </si>
  <si>
    <t>L9.J.24160295</t>
  </si>
  <si>
    <t>Pipeline Renewal EU Subcontractors</t>
  </si>
  <si>
    <t>L9.J.24010015</t>
  </si>
  <si>
    <t>Pipetech - Fyshwick Depot</t>
  </si>
  <si>
    <t>L9.J.30168101</t>
  </si>
  <si>
    <t>51 Whyalla Street</t>
  </si>
  <si>
    <t>40 Bunda Street</t>
  </si>
  <si>
    <t>Planning and Programming</t>
  </si>
  <si>
    <t>L9.DNZJ.8812</t>
  </si>
  <si>
    <t>Plant - AC Stormwater Central</t>
  </si>
  <si>
    <t>L9.DNZJ.56803</t>
  </si>
  <si>
    <t>Plant - AC Stormwater North</t>
  </si>
  <si>
    <t>Plant - Administration</t>
  </si>
  <si>
    <t>L9.DNZJ.8010</t>
  </si>
  <si>
    <t>Plant - Automation Nth Is.</t>
  </si>
  <si>
    <t>Plant - Automation Sth Is.</t>
  </si>
  <si>
    <t>Plant - Const. Canterbury/WTC</t>
  </si>
  <si>
    <t>L9.DNZJ.56847</t>
  </si>
  <si>
    <t>Plant - Const. Otago/Southlnd</t>
  </si>
  <si>
    <t>Plant - Const. Otago/Southlnd EU Subcontractors</t>
  </si>
  <si>
    <t>L9.DNZJ.56846</t>
  </si>
  <si>
    <t>Plant - Cranes Auckland</t>
  </si>
  <si>
    <t>L9.DNZJ.54845</t>
  </si>
  <si>
    <t>Not in INX.</t>
  </si>
  <si>
    <t>Plant - Engineering Services</t>
  </si>
  <si>
    <t>L9.DUN.20300</t>
  </si>
  <si>
    <t>Plant - ICC Piped Network Mtnc</t>
  </si>
  <si>
    <t>Plant - Kaipara</t>
  </si>
  <si>
    <t>L9.DNZJ.56111</t>
  </si>
  <si>
    <t>Plant - Kaipara DC</t>
  </si>
  <si>
    <t>L9.DNZJ.54886</t>
  </si>
  <si>
    <t>Plant - Levin</t>
  </si>
  <si>
    <t>L9.DNZJ.561350</t>
  </si>
  <si>
    <t>Plant – Microsurfacing</t>
  </si>
  <si>
    <t>L9.DNZJ.553443</t>
  </si>
  <si>
    <t>As per INX, allocate to prj: 
TI-NZT - NTH PRJ Microsurfacing
TI-NZT-553443 - Tauranga City FH Rejuves</t>
  </si>
  <si>
    <t>Plant - Products Cranes</t>
  </si>
  <si>
    <t>L9.DNZJ.54844</t>
  </si>
  <si>
    <t>Plant - Projects O&amp;M</t>
  </si>
  <si>
    <t>L9.DNZJ.56812</t>
  </si>
  <si>
    <t>Plant - Projects O&amp;M EU Subcontractors</t>
  </si>
  <si>
    <t>Plant - Southland</t>
  </si>
  <si>
    <t>L9.DNZJ.56811</t>
  </si>
  <si>
    <t>Plant - Specialist Civil Con.</t>
  </si>
  <si>
    <t>L9.DNZJ.56839</t>
  </si>
  <si>
    <t>Plant - Tasman</t>
  </si>
  <si>
    <t>L9.DNZJ.56125</t>
  </si>
  <si>
    <t>Plant - Taupo 3 Waters</t>
  </si>
  <si>
    <t>Plant - Tauranga</t>
  </si>
  <si>
    <t>L9.DNZJ.56807</t>
  </si>
  <si>
    <t>Plant - Water Const Nth Is.</t>
  </si>
  <si>
    <t>L9.DNZJ.56849</t>
  </si>
  <si>
    <t>Plant - Watercare</t>
  </si>
  <si>
    <t>Plant - Whangarei</t>
  </si>
  <si>
    <t>L9.DNZJ.564418</t>
  </si>
  <si>
    <t>Plant (Auckland Roadmarking)</t>
  </si>
  <si>
    <t>L9.DNZJ.55844</t>
  </si>
  <si>
    <t>Plant (BOP Traffic Control)</t>
  </si>
  <si>
    <t>Plant (Cen Hawkes Bay Maint)</t>
  </si>
  <si>
    <t>L9.DNZJ.54836</t>
  </si>
  <si>
    <t>TI-NZT-54836 - Plant</t>
  </si>
  <si>
    <t>Plant (CHCH Roadmarking)</t>
  </si>
  <si>
    <t>L9.DNZJ.55495</t>
  </si>
  <si>
    <t>Plant (Construction BOP)</t>
  </si>
  <si>
    <t>L9.DNZJ.55473</t>
  </si>
  <si>
    <t>Plant (Construction CHCH)</t>
  </si>
  <si>
    <t>L9.DNZJ.55492</t>
  </si>
  <si>
    <t>Plant (Construction CNI)</t>
  </si>
  <si>
    <t>Plant (Construction Gisborne)</t>
  </si>
  <si>
    <t>L9.DNZJ.55485</t>
  </si>
  <si>
    <t>Plant (Construction HB)</t>
  </si>
  <si>
    <t>L9.DNZJ.55486</t>
  </si>
  <si>
    <t>Plant (Construction Otago)</t>
  </si>
  <si>
    <t>L9.DNZJ.55494</t>
  </si>
  <si>
    <t>Plant (Construction Taranaki)</t>
  </si>
  <si>
    <t>L9.DNZJ.55848</t>
  </si>
  <si>
    <t>Plant (Construction Waikato)</t>
  </si>
  <si>
    <t>L9.DNZJ.55472</t>
  </si>
  <si>
    <t>Plant (Construction Wgtn)</t>
  </si>
  <si>
    <t>L9.DNZJ.55815</t>
  </si>
  <si>
    <t>Plant (Construction Whanganui)</t>
  </si>
  <si>
    <t>L9.DNZJ.55479</t>
  </si>
  <si>
    <t>Plant (Gisborne LR)</t>
  </si>
  <si>
    <t>L9.DNZJ.55483</t>
  </si>
  <si>
    <t>Plant (Gisborne NOC)</t>
  </si>
  <si>
    <t>L9.DNZJ.55484</t>
  </si>
  <si>
    <t>Plant (Gisborne Other)</t>
  </si>
  <si>
    <t>Plant (Hamilton Alliance)</t>
  </si>
  <si>
    <t>L9.DNZJ.55806</t>
  </si>
  <si>
    <t>Plant (Hastings DC Maint)</t>
  </si>
  <si>
    <t>L9.DNZJ.55481</t>
  </si>
  <si>
    <t>previously named 'Plant (Hawkes Bay Maint)'. As per INX, latest name used is TI-NZT-55481 - Plant (Hastings DC Maint) (2024.07.08)</t>
  </si>
  <si>
    <t>Plant (Hawkes Bay Other)</t>
  </si>
  <si>
    <t>L9.DNZJ.55851</t>
  </si>
  <si>
    <t>Plant (ITS)</t>
  </si>
  <si>
    <t>L9.DNZJ.54802</t>
  </si>
  <si>
    <t>Plant (Kaikoura)</t>
  </si>
  <si>
    <t>L9.DNZJ.55868</t>
  </si>
  <si>
    <t>Plant (LS Roadmarking)</t>
  </si>
  <si>
    <t>L9.DNZJ.55496</t>
  </si>
  <si>
    <t>Plant (Maintenance CHCH)</t>
  </si>
  <si>
    <t>Plant (Manawatu Construction)</t>
  </si>
  <si>
    <t>L9.DNZJ.55858</t>
  </si>
  <si>
    <t>Plant (Milford Road Alliance)</t>
  </si>
  <si>
    <t>L9.DNZJ.55893</t>
  </si>
  <si>
    <t>Plant (Napier CC Alliance)</t>
  </si>
  <si>
    <t>L9.DNZJ.54823</t>
  </si>
  <si>
    <t>Plant (NP Other)</t>
  </si>
  <si>
    <t>Plant (NPDC)</t>
  </si>
  <si>
    <t>L9.DNZJ.55478</t>
  </si>
  <si>
    <t>Plant (NZTA Taranaki NOC)</t>
  </si>
  <si>
    <t>L9.DNZJ.55477</t>
  </si>
  <si>
    <t>Plant (Otago Maintenance)</t>
  </si>
  <si>
    <t>Plant (Paeroa)</t>
  </si>
  <si>
    <t>L9.DNZJ.55813</t>
  </si>
  <si>
    <t>Plant (Pavement Services)</t>
  </si>
  <si>
    <t>L9.DNZJ.55839</t>
  </si>
  <si>
    <t>Plant (Paving - BOP)</t>
  </si>
  <si>
    <t>L9.DNZJ.54817</t>
  </si>
  <si>
    <t>Plant (Paving - CHCH)</t>
  </si>
  <si>
    <t>L9.DNZJ.55896</t>
  </si>
  <si>
    <t>Plant (Paving - Otago/Sthld)</t>
  </si>
  <si>
    <t>Plant (Paving - Waikato)</t>
  </si>
  <si>
    <t>L9.DNZJ.55838</t>
  </si>
  <si>
    <t>Plant (Paving - Wellington)</t>
  </si>
  <si>
    <t>Plant (PCC Wgtn)</t>
  </si>
  <si>
    <t>L9.DNZJ.55817</t>
  </si>
  <si>
    <t>Plant (Queenstown)</t>
  </si>
  <si>
    <t>Plant (Rangitikei)</t>
  </si>
  <si>
    <t>L9.DNZJ.54876</t>
  </si>
  <si>
    <t>Plant (RM Wgtn)</t>
  </si>
  <si>
    <t>L9.DNZJ.55819</t>
  </si>
  <si>
    <t>Plant (Roadmarking Nthland)</t>
  </si>
  <si>
    <t>L9.DNZJ.55827</t>
  </si>
  <si>
    <t>Plant (Roadmarking TKI)</t>
  </si>
  <si>
    <t>L9.DNZJ.55487</t>
  </si>
  <si>
    <t>Plant (Roadmarking)</t>
  </si>
  <si>
    <t>L9.DNZJ.55476</t>
  </si>
  <si>
    <t>Plant (Sealing - CHCH)</t>
  </si>
  <si>
    <t>L9.DNZJ.55898</t>
  </si>
  <si>
    <t>Plant (Sealing - Hawkes Bay)</t>
  </si>
  <si>
    <t>L9.DNZJ.55862</t>
  </si>
  <si>
    <t>Plant (Sealing - Otago/South)</t>
  </si>
  <si>
    <t>Plant (Sealing - Taranaki)</t>
  </si>
  <si>
    <t>L9.DNZJ.55860</t>
  </si>
  <si>
    <t>Plant (Sealing - Tasman)</t>
  </si>
  <si>
    <t>L9.DNZJ.55894</t>
  </si>
  <si>
    <t>Plant (Sealing - Waikato)</t>
  </si>
  <si>
    <t>Plant (Sealing - Whanganui)</t>
  </si>
  <si>
    <t>L9.DNZJ.55206</t>
  </si>
  <si>
    <t>Plant (Sealing Tararua)</t>
  </si>
  <si>
    <t>L9.DNZJ.55865</t>
  </si>
  <si>
    <t>Plant (Services Wgtn)</t>
  </si>
  <si>
    <t>Plant (South Canterbury)</t>
  </si>
  <si>
    <t>L9.DNZJ.55882</t>
  </si>
  <si>
    <t>Plant (South/Central Const.)</t>
  </si>
  <si>
    <t>L9.DNZJ.55889</t>
  </si>
  <si>
    <t>Plant (Taranaki Traffic Serv)</t>
  </si>
  <si>
    <t>L9.DNZJ.55499</t>
  </si>
  <si>
    <t>Plant (Tararua)</t>
  </si>
  <si>
    <t>Plant (Tasman Construction)</t>
  </si>
  <si>
    <t>Plant (Tasman Roadmarking)</t>
  </si>
  <si>
    <t>L9.DNZJ.55489</t>
  </si>
  <si>
    <t>Plant (Taumarunui)</t>
  </si>
  <si>
    <t>L9.DNZJ.55824</t>
  </si>
  <si>
    <t>Plant (Taupo)</t>
  </si>
  <si>
    <t>Plant (Tauranga)</t>
  </si>
  <si>
    <t>Plant (TC - Otago)</t>
  </si>
  <si>
    <t>Plant (TC - Tasman)</t>
  </si>
  <si>
    <t>L9.DNZJ.55490</t>
  </si>
  <si>
    <t>Previously named 'Plant (Tasman Road Services)'. As per EDW/INX, latest name is TI-NZT-55490 - Plant (TC - Tasman). (2024.07.08)</t>
  </si>
  <si>
    <t>Plant (TC CHCH)</t>
  </si>
  <si>
    <t>L9.DNZJ.55493</t>
  </si>
  <si>
    <t>Plant (TC Gisborne)</t>
  </si>
  <si>
    <t>L9.DNZJ.54820</t>
  </si>
  <si>
    <t>Plant (TC Hawkes Bay)</t>
  </si>
  <si>
    <t>L9.DNZJ.54840</t>
  </si>
  <si>
    <t>Plant (TDC Alliance)</t>
  </si>
  <si>
    <t>L9.DNZJ.55488</t>
  </si>
  <si>
    <t>Plant (Thermo National)</t>
  </si>
  <si>
    <t>L9.DNZJ.55497</t>
  </si>
  <si>
    <t>Plant (Tirau)</t>
  </si>
  <si>
    <t>L9.DNZJ.55820</t>
  </si>
  <si>
    <t>Plant (TM Wgtn)</t>
  </si>
  <si>
    <t>L9.DNZJ.55826</t>
  </si>
  <si>
    <t>Plant (TNOC Taumaranui)</t>
  </si>
  <si>
    <t>L9.DNZJ.54827</t>
  </si>
  <si>
    <t>Plant (Transport WGTN)</t>
  </si>
  <si>
    <t>L9.DNZJ.55818</t>
  </si>
  <si>
    <t>Plant (TRC Construction)</t>
  </si>
  <si>
    <t>L9.DNZJ.3122</t>
  </si>
  <si>
    <t>Plant (TRC Crushing)</t>
  </si>
  <si>
    <t>L9.DNZJ.3132</t>
  </si>
  <si>
    <t>Plant (Waikato Alliance)</t>
  </si>
  <si>
    <t>Plant (Waikato TS)</t>
  </si>
  <si>
    <t>L9.DNZJ.55808</t>
  </si>
  <si>
    <t>Plant (Waipa DC)</t>
  </si>
  <si>
    <t>Plant (WCC Maintenance Wgtn)</t>
  </si>
  <si>
    <t>L9.DNZJ.55816</t>
  </si>
  <si>
    <t>Plant (Wellington Other)</t>
  </si>
  <si>
    <t>Plant (Whanganui Alliance)</t>
  </si>
  <si>
    <t>L9.DNZJ.55854</t>
  </si>
  <si>
    <t>Plant Admin</t>
  </si>
  <si>
    <t>L9.DNZJ.1920</t>
  </si>
  <si>
    <t>Plant AT Central Urban RCM</t>
  </si>
  <si>
    <t>L9.DNZJ.55840</t>
  </si>
  <si>
    <t>Plant AT North Rural RCM</t>
  </si>
  <si>
    <t>Plant AT Waiheke-Rakino RCM</t>
  </si>
  <si>
    <t>L9.DNZJ.55805</t>
  </si>
  <si>
    <t>Plant Concrete Akld</t>
  </si>
  <si>
    <t>L9.DNZJ.55836</t>
  </si>
  <si>
    <t>Plant Construction Akld</t>
  </si>
  <si>
    <t>L9.DNZJ.55825</t>
  </si>
  <si>
    <t>Plant Construction Nthld</t>
  </si>
  <si>
    <t>L9.DNZJ.55822</t>
  </si>
  <si>
    <t>Plant Disposal</t>
  </si>
  <si>
    <t>L9.DNZJ.1912</t>
  </si>
  <si>
    <t>Plant NTA WDC Mtce</t>
  </si>
  <si>
    <t>L9.DNZJ.55830</t>
  </si>
  <si>
    <t>Plant Nthld</t>
  </si>
  <si>
    <t>L9.DNZJ.55801</t>
  </si>
  <si>
    <t>Plant OSM - Blenheim</t>
  </si>
  <si>
    <t>Plant Paving Akld</t>
  </si>
  <si>
    <t>Plant Penrose Akld</t>
  </si>
  <si>
    <t>L9.DNZJ.55803</t>
  </si>
  <si>
    <t>Plant Sealing Akld</t>
  </si>
  <si>
    <t>Plant Sealing Nthld</t>
  </si>
  <si>
    <t>L9.DNZJ.55857</t>
  </si>
  <si>
    <t>Plant Surplus</t>
  </si>
  <si>
    <t>Plant Traffic Management Akld</t>
  </si>
  <si>
    <t>L9.DNZJ.55843</t>
  </si>
  <si>
    <t>Plant Traffic Management Nthld</t>
  </si>
  <si>
    <t>L9.DNZJ.55828</t>
  </si>
  <si>
    <t>Plant Traffic Signs &amp; Proj Akl</t>
  </si>
  <si>
    <t>L9.DNZJ.54824</t>
  </si>
  <si>
    <t>Plant Workshops</t>
  </si>
  <si>
    <t>L9.DNZJ.1922</t>
  </si>
  <si>
    <t>Plant Yard</t>
  </si>
  <si>
    <t>L9.DNZJ.8818</t>
  </si>
  <si>
    <t>Plant(Manawatu Traffic Svces)</t>
  </si>
  <si>
    <t>L9.DNZJ.54813</t>
  </si>
  <si>
    <t>PMO</t>
  </si>
  <si>
    <t>L9.DNZJ.56906</t>
  </si>
  <si>
    <t>PN PLAZA SHOPPING CENTRE</t>
  </si>
  <si>
    <t>Shopping Centre</t>
  </si>
  <si>
    <t>L9.DNZ.HW0249</t>
  </si>
  <si>
    <t>JP_HW0249</t>
  </si>
  <si>
    <t>TI-NZT.BP.HW0249 Palmerston North Plaza</t>
  </si>
  <si>
    <t>PNAL Carpark Extension</t>
  </si>
  <si>
    <t>Car Park</t>
  </si>
  <si>
    <t>L9.DNZJ.558024</t>
  </si>
  <si>
    <t>TI-NZT-558024 - PNAL (TI-NZT - Manawatu Projects)</t>
  </si>
  <si>
    <t>PNCC Ferguson Pitt St Upgrade</t>
  </si>
  <si>
    <t>L9.DNZJ.558007</t>
  </si>
  <si>
    <t>Pole Reinforcement EU Subcontractors</t>
  </si>
  <si>
    <t>L9.J.22910033</t>
  </si>
  <si>
    <t>Porirua (105 John Burke Dr)</t>
  </si>
  <si>
    <t>L9.DNZJ.91289</t>
  </si>
  <si>
    <t>105 John Burke Drive</t>
  </si>
  <si>
    <t>Aotea</t>
  </si>
  <si>
    <t>Porirua (25 Ulric Street)</t>
  </si>
  <si>
    <t>L9.DNZJ.91288</t>
  </si>
  <si>
    <t>25 Ulric Street</t>
  </si>
  <si>
    <t>Plimmerton</t>
  </si>
  <si>
    <t>Porirua (4/55 Kenepuru Drive)</t>
  </si>
  <si>
    <t>L9.DNZJ.91845</t>
  </si>
  <si>
    <t>4/55 Kenepuru Drive</t>
  </si>
  <si>
    <t>Kenepuru</t>
  </si>
  <si>
    <t>Porirua Area Capacity Enhancem</t>
  </si>
  <si>
    <t>L9.DNZJ.DS2666</t>
  </si>
  <si>
    <t>JP_DS2666</t>
  </si>
  <si>
    <t>Porirua CCWRT</t>
  </si>
  <si>
    <t>L9.DNZJ.UN0001</t>
  </si>
  <si>
    <t>UN0001</t>
  </si>
  <si>
    <t>UT-NZU-UN0001-Porirua CCWRT
Installation address: BTS - END OF PORIRA PARK AND RIDE/LOT2 DP12953 STATE HIGHWAY 59  PORIRUA CITY CENTRE  PORIRUA 5022 (parking)
Installation address: Wellington (Unit 504, 15 Holland St)</t>
  </si>
  <si>
    <t>504/15 Holland Street</t>
  </si>
  <si>
    <t>Te Aro</t>
  </si>
  <si>
    <t>Port Augusta-Works</t>
  </si>
  <si>
    <t>L9.J.17021038</t>
  </si>
  <si>
    <t>LOT 38C Victoria Parade</t>
  </si>
  <si>
    <t>Port Hedland EU Subcontractors</t>
  </si>
  <si>
    <t>L9.J.38280145</t>
  </si>
  <si>
    <t>Port Lincoln</t>
  </si>
  <si>
    <t>L9.J.17021037</t>
  </si>
  <si>
    <t>Cnr Dublin Street &amp; Brougham Place</t>
  </si>
  <si>
    <t>Port Pirie</t>
  </si>
  <si>
    <t>L9.J.17021087</t>
  </si>
  <si>
    <t>5 Copinger Road</t>
  </si>
  <si>
    <t>Power &amp; Gas - Recharge</t>
  </si>
  <si>
    <t>L9.DNZJ.1501</t>
  </si>
  <si>
    <t>Power Central-Electricity Services Manager</t>
  </si>
  <si>
    <t>L9.DUN.60010</t>
  </si>
  <si>
    <t>PG60010</t>
  </si>
  <si>
    <t>Power Nth Operations</t>
  </si>
  <si>
    <t>Power Nth Overheads</t>
  </si>
  <si>
    <t>Power Projects Yatala Yard – Alberton</t>
  </si>
  <si>
    <t>L9.J.392122</t>
  </si>
  <si>
    <t>temporarily allocated to EU-392122 - Eng Ops Mgt and Support</t>
  </si>
  <si>
    <t>279 Stapylton-Jacobs Well Rd</t>
  </si>
  <si>
    <t>Alberton</t>
  </si>
  <si>
    <t>Power Southern - Generation &amp; Private Networks</t>
  </si>
  <si>
    <t>L9.DUN.20040</t>
  </si>
  <si>
    <t>PG20040</t>
  </si>
  <si>
    <t>UT-NZU-20040-Generation &amp; Private Networks
Region TBC</t>
  </si>
  <si>
    <t>Powerlink EU Subcontractors</t>
  </si>
  <si>
    <t>L9.J.24130092</t>
  </si>
  <si>
    <t>PPO</t>
  </si>
  <si>
    <t>L9.DNZJ.55909</t>
  </si>
  <si>
    <t>Process Design &amp; Proj Ctrls EU Subcontractors</t>
  </si>
  <si>
    <t>L9.J.395333</t>
  </si>
  <si>
    <t>Procurement &amp; Logisitics</t>
  </si>
  <si>
    <t>L9.DUN.30520</t>
  </si>
  <si>
    <t>PG30520</t>
  </si>
  <si>
    <t>Products Cranes</t>
  </si>
  <si>
    <t>Programme Management</t>
  </si>
  <si>
    <t>L9.DNZ.810.10.127</t>
  </si>
  <si>
    <t>Corrections &amp; Justice-Programme Management</t>
  </si>
  <si>
    <t>Programmes Leadership</t>
  </si>
  <si>
    <t>L9.DNZ.810.10.197</t>
  </si>
  <si>
    <t>PROJECT HAUATA - ACC HAMILTON</t>
  </si>
  <si>
    <t>L9.DNZ.HC0346</t>
  </si>
  <si>
    <t>JP_HC0346</t>
  </si>
  <si>
    <t>Project Management Spark &amp; LBI</t>
  </si>
  <si>
    <t>L9.DNZ.810.10.063</t>
  </si>
  <si>
    <t>Projects Corrections &amp; Justice</t>
  </si>
  <si>
    <t>Projects O&amp;M</t>
  </si>
  <si>
    <t>L9.DNZJ.56128</t>
  </si>
  <si>
    <t>Projects O&amp;M EU Subcontractors</t>
  </si>
  <si>
    <t>L9.DNZJ.561299</t>
  </si>
  <si>
    <t>ProMac Harrington EU Subcontractors</t>
  </si>
  <si>
    <t>L9.J.24160212</t>
  </si>
  <si>
    <t>ProMac Prospect EU Subcontractors</t>
  </si>
  <si>
    <t>L9.J.24160213</t>
  </si>
  <si>
    <t>Properties Overheads</t>
  </si>
  <si>
    <t>PS0201-Call Centres NZ</t>
  </si>
  <si>
    <t>L9.S.21030283</t>
  </si>
  <si>
    <t>PT Blowing &amp; Recovery</t>
  </si>
  <si>
    <t>L9.DNZJ.3036</t>
  </si>
  <si>
    <t>Pukekohe Station Civil Works</t>
  </si>
  <si>
    <t>L9.DNZJ.DN1206</t>
  </si>
  <si>
    <t>JP_DN1206</t>
  </si>
  <si>
    <t>Q05707 - Werribee Hangar 1 Refurbishment</t>
  </si>
  <si>
    <t>L9.J.25830004</t>
  </si>
  <si>
    <t>Qantas Dr - Brisbane (QLD)</t>
  </si>
  <si>
    <t>L9.J.10920040</t>
  </si>
  <si>
    <t>Gradual occupation from 1st Dec 2018 to 100% occupation 8th April 2019.</t>
  </si>
  <si>
    <t>QLD Emulsion Plant</t>
  </si>
  <si>
    <t>L9.J.17090747</t>
  </si>
  <si>
    <t>PUMA pay for utilities.</t>
  </si>
  <si>
    <t>398 Tingira Street</t>
  </si>
  <si>
    <t>Pinkenba</t>
  </si>
  <si>
    <t>QLD EU Subcontractors</t>
  </si>
  <si>
    <t>L9.MIN.8704.PROD.WCF</t>
  </si>
  <si>
    <t>QLD/SA Other Customers EU Subcontractors</t>
  </si>
  <si>
    <t>L9.J.23900271</t>
  </si>
  <si>
    <t>QLD/SA Overhead EU Subcontractors</t>
  </si>
  <si>
    <t>L9.J.241673</t>
  </si>
  <si>
    <t>Quarry - Bartletts</t>
  </si>
  <si>
    <t>272 Barlett Rd</t>
  </si>
  <si>
    <t>Quarry - WOK</t>
  </si>
  <si>
    <t>2005 Tiniroto Road</t>
  </si>
  <si>
    <t>Waerengaokuri</t>
  </si>
  <si>
    <t>Queenstown (46 Robins Road)</t>
  </si>
  <si>
    <t>L9.DNZJ.91382</t>
  </si>
  <si>
    <t>COR-NZHO.91382-Queenstown (46 Robins Road)</t>
  </si>
  <si>
    <t>46 Robins Road</t>
  </si>
  <si>
    <t>Queenstown DC - RCM</t>
  </si>
  <si>
    <t>L9.DNZJ.55380</t>
  </si>
  <si>
    <t>Queenstown Depot</t>
  </si>
  <si>
    <t>7-11 Jock Boyd Place</t>
  </si>
  <si>
    <t>QUEENSTOWN FIRESTATION UPGRADE</t>
  </si>
  <si>
    <t>L9.DNZ.HS0142</t>
  </si>
  <si>
    <t>JP_HS0142</t>
  </si>
  <si>
    <t>Queenstown Laboratory</t>
  </si>
  <si>
    <t>L9.DNZJ.3528</t>
  </si>
  <si>
    <t>QUU EU Subcontractors</t>
  </si>
  <si>
    <t>L9.J.23900117</t>
  </si>
  <si>
    <t>Raetihi Depot</t>
  </si>
  <si>
    <t>Rangitata South Irrigation</t>
  </si>
  <si>
    <t>L9.DNZJ.561293</t>
  </si>
  <si>
    <t>RCG Maintenance EU Subcontractors</t>
  </si>
  <si>
    <t>L9.DNZ.810.20859</t>
  </si>
  <si>
    <t>RELOCATABLE CLASSROOMS</t>
  </si>
  <si>
    <t>L9.DNZ.HS0147</t>
  </si>
  <si>
    <t>JP_HS0147</t>
  </si>
  <si>
    <t>Remediation Site_Laundry - Abbotsford (VIC)</t>
  </si>
  <si>
    <t>L9.J.111001</t>
  </si>
  <si>
    <t>Owned</t>
  </si>
  <si>
    <t>18 Victoria Cres</t>
  </si>
  <si>
    <t>Abbotsford</t>
  </si>
  <si>
    <t>Reserved for future use EU Subcontractors</t>
  </si>
  <si>
    <t>L9.J.395208</t>
  </si>
  <si>
    <t>Residences_ACT</t>
  </si>
  <si>
    <t>Residence</t>
  </si>
  <si>
    <t>L9.J.24120142</t>
  </si>
  <si>
    <t>Based on op control form, temporarily assign to UT-24120142 - Bango Wind Farm.</t>
  </si>
  <si>
    <t>Residences_NSW</t>
  </si>
  <si>
    <t>Residences_QLD</t>
  </si>
  <si>
    <t>Residences_VIC</t>
  </si>
  <si>
    <t>Residential properties being leased by Downer in Shepparton. 
Based on op control form, temporarily assign to UT-24120142 - Bango Wind Farm.</t>
  </si>
  <si>
    <t>REV_ANZ Operations</t>
  </si>
  <si>
    <t>L9.J.170240</t>
  </si>
  <si>
    <t>TIANZ</t>
  </si>
  <si>
    <t>REV_Asset &amp; Development Services</t>
  </si>
  <si>
    <t>L9.S.13001513</t>
  </si>
  <si>
    <t>ADS3197S</t>
  </si>
  <si>
    <t>REV_AU Maintenance &amp; Pavements</t>
  </si>
  <si>
    <t>TIAMP</t>
  </si>
  <si>
    <t>REV_AU National Operations</t>
  </si>
  <si>
    <t>TIANO</t>
  </si>
  <si>
    <t>L9.J.100151</t>
  </si>
  <si>
    <t>L9.J.505011</t>
  </si>
  <si>
    <t>REV_E&amp;C Legacy</t>
  </si>
  <si>
    <t>REV_Energy AU</t>
  </si>
  <si>
    <t>L9.J.229500</t>
  </si>
  <si>
    <t>UTLEAU</t>
  </si>
  <si>
    <t>REV_Energy NZ</t>
  </si>
  <si>
    <t>L9.DNZJ.1500</t>
  </si>
  <si>
    <t>UTLENZ</t>
  </si>
  <si>
    <t>REV_EU Gap</t>
  </si>
  <si>
    <t>L9.J.392150</t>
  </si>
  <si>
    <t>REV_Future Energy Solutions</t>
  </si>
  <si>
    <t>IEFES</t>
  </si>
  <si>
    <t>L9.S.13000747</t>
  </si>
  <si>
    <t>REV_Hawkins</t>
  </si>
  <si>
    <t>TIHA</t>
  </si>
  <si>
    <t>L9.S.13000770</t>
  </si>
  <si>
    <t>REV_Industrial &amp; Energy East</t>
  </si>
  <si>
    <t>L9.J.38215096</t>
  </si>
  <si>
    <t>IEIEE</t>
  </si>
  <si>
    <t>REV_Industrial &amp; Energy Support</t>
  </si>
  <si>
    <t>L9.J.382160</t>
  </si>
  <si>
    <t>IEIEW</t>
  </si>
  <si>
    <t>REV_Industrial &amp; Energy West</t>
  </si>
  <si>
    <t>L9.J.38230093</t>
  </si>
  <si>
    <t>REV_Industrial &amp; Power Generation</t>
  </si>
  <si>
    <t>L9.ENG.360.84.105</t>
  </si>
  <si>
    <t>REV_Integrated Gas</t>
  </si>
  <si>
    <t>L9.J.382761</t>
  </si>
  <si>
    <t>IEIG</t>
  </si>
  <si>
    <t>L9.J.100001</t>
  </si>
  <si>
    <t>REV_Mining</t>
  </si>
  <si>
    <t>L9.COR.130.02151</t>
  </si>
  <si>
    <t>REV_New Zealand Transport &amp; Infrastructure</t>
  </si>
  <si>
    <t>L9.DNZJ.8501</t>
  </si>
  <si>
    <t>TINZTI</t>
  </si>
  <si>
    <t>REV_NZ NSC IT Property WF and Elins</t>
  </si>
  <si>
    <t>L9.DNZJ.9003</t>
  </si>
  <si>
    <t>CORNZ</t>
  </si>
  <si>
    <t>REV_NZ NSC, IT, Property, WF &amp; Elins</t>
  </si>
  <si>
    <t>RNZIPWE</t>
  </si>
  <si>
    <t>REV_Precinct Upgrade &amp; New Energy</t>
  </si>
  <si>
    <t>L9.J.234249</t>
  </si>
  <si>
    <t>SICSPUNE</t>
  </si>
  <si>
    <t>REV_Rail Services Victoria Pty Ltd</t>
  </si>
  <si>
    <t>L9.J.10920022</t>
  </si>
  <si>
    <t>RTSRSV</t>
  </si>
  <si>
    <t>REV_Repurpose IT</t>
  </si>
  <si>
    <t>L9.J.150505</t>
  </si>
  <si>
    <t>TIRIT</t>
  </si>
  <si>
    <t>L9.J.70620001</t>
  </si>
  <si>
    <t>L9.J.70900047</t>
  </si>
  <si>
    <t>REV_RTS NSW</t>
  </si>
  <si>
    <t>RTSNSW</t>
  </si>
  <si>
    <t>L9.J.709010</t>
  </si>
  <si>
    <t>REV_RTS QLD</t>
  </si>
  <si>
    <t>L9.J.709202</t>
  </si>
  <si>
    <t>RTSQLD</t>
  </si>
  <si>
    <t>REV_RTS VIC</t>
  </si>
  <si>
    <t>RTSVIC</t>
  </si>
  <si>
    <t>REV_RTS WA</t>
  </si>
  <si>
    <t>REV_Social Infrastructure &amp; Citizen Services Sup</t>
  </si>
  <si>
    <t>L9.S.11001200</t>
  </si>
  <si>
    <t>SICSSICSS</t>
  </si>
  <si>
    <t>REV_T&amp;I Head Office</t>
  </si>
  <si>
    <t>L9.J.170833</t>
  </si>
  <si>
    <t>TITIHO</t>
  </si>
  <si>
    <t>REV_Telco AU</t>
  </si>
  <si>
    <t>L9.S.TSTELWA00</t>
  </si>
  <si>
    <t>UTLTAU</t>
  </si>
  <si>
    <t>REV_Telco NZ</t>
  </si>
  <si>
    <t>L9.DNZ.810.10.057</t>
  </si>
  <si>
    <t>UTLTNZ</t>
  </si>
  <si>
    <t>REV_Telecommunications</t>
  </si>
  <si>
    <t>L9.DNZJ.56900</t>
  </si>
  <si>
    <t>REV_Utilites Gap</t>
  </si>
  <si>
    <t>L9.J.24110010</t>
  </si>
  <si>
    <t>RUG</t>
  </si>
  <si>
    <t>REV_Utilities Gap</t>
  </si>
  <si>
    <t>UTLGAP</t>
  </si>
  <si>
    <t>L9.J.241120</t>
  </si>
  <si>
    <t>REV_Utilities Legacy &amp; Other AU</t>
  </si>
  <si>
    <t>RULO</t>
  </si>
  <si>
    <t>REV_Utilities Projects NZ</t>
  </si>
  <si>
    <t>L9.DNZJ.63920</t>
  </si>
  <si>
    <t>UTLPRONZ</t>
  </si>
  <si>
    <t>REV_Utilities Support</t>
  </si>
  <si>
    <t>UTLSUPP</t>
  </si>
  <si>
    <t>REV_VEC Contracting</t>
  </si>
  <si>
    <t>TIVEC</t>
  </si>
  <si>
    <t>REV_Water &amp; Automation NZ</t>
  </si>
  <si>
    <t>UTLWANZ</t>
  </si>
  <si>
    <t>REV_Water Services AU</t>
  </si>
  <si>
    <t>UTLWSAU</t>
  </si>
  <si>
    <t>RFU - Power Systems - East EU Subcontractors</t>
  </si>
  <si>
    <t>L9.J.24150015</t>
  </si>
  <si>
    <t>Richlands</t>
  </si>
  <si>
    <t>L9.ENG.340.14505</t>
  </si>
  <si>
    <t>145 Archerfield Rd</t>
  </si>
  <si>
    <t>Ringway</t>
  </si>
  <si>
    <t>L9.DNZJ.313250</t>
  </si>
  <si>
    <t>Riversdale Chip Production</t>
  </si>
  <si>
    <t>L9.DNZJ.313450</t>
  </si>
  <si>
    <t>RMA Management</t>
  </si>
  <si>
    <t>L9.DNZ.810.10.128</t>
  </si>
  <si>
    <t>SI-NZF-10.128 RMA Management</t>
  </si>
  <si>
    <t>Rooksby St, Gladstone</t>
  </si>
  <si>
    <t>L9.J.38215021</t>
  </si>
  <si>
    <t>ASV-363.376.302.420</t>
  </si>
  <si>
    <t>Bensted St, Gladstone moved to 7 Rooksby St Gladstone</t>
  </si>
  <si>
    <t>7 Rooksby Street</t>
  </si>
  <si>
    <t>Rotorua Private Hospitals - 45002537</t>
  </si>
  <si>
    <t>L9.S.24000145</t>
  </si>
  <si>
    <t>ROTOTUNA HIGH SCH D&amp;C</t>
  </si>
  <si>
    <t>JP_HC0350</t>
  </si>
  <si>
    <t>RPQ Mackay Depot</t>
  </si>
  <si>
    <t>TI-173130 - RPQ Asphalt Mackay</t>
  </si>
  <si>
    <t>RPQ NSW Chinderah</t>
  </si>
  <si>
    <t>24 Ozone St</t>
  </si>
  <si>
    <t>Chinderah</t>
  </si>
  <si>
    <t>RPQ NSW Lismore Depot</t>
  </si>
  <si>
    <t>L9.J.170426</t>
  </si>
  <si>
    <t>We lease a portion of the quarry. Utilities are paid for by the quarry owner.
Note (26/11/2024): asset type is updated from asphalt plant to depot. Moved asphalt plant data to new Envizi location "Lismore Asphalt plant".
THIS SITE IS NOT THE ASPHALT PLANT SITE, BUT DEPOT FOR CREWS</t>
  </si>
  <si>
    <t>60 Lancaster Dr</t>
  </si>
  <si>
    <t>Goonellabah</t>
  </si>
  <si>
    <t>RPQ NSW Moree</t>
  </si>
  <si>
    <t>L9.J.171220</t>
  </si>
  <si>
    <t>122 Gwydir Str</t>
  </si>
  <si>
    <t>Moree</t>
  </si>
  <si>
    <t>RPQ NSW South Grafton</t>
  </si>
  <si>
    <t>L9.J.171215</t>
  </si>
  <si>
    <t>RPQ Spray Seal</t>
  </si>
  <si>
    <t>L9.J.171230</t>
  </si>
  <si>
    <t>Includes all depot and spray seal depots RPQ Queensland</t>
  </si>
  <si>
    <t>66 Hugh Street</t>
  </si>
  <si>
    <t>RPQ Swanbank</t>
  </si>
  <si>
    <t>L9.J.171505</t>
  </si>
  <si>
    <t>206 - 258 Swanbank Road</t>
  </si>
  <si>
    <t>Swanbank</t>
  </si>
  <si>
    <t>RPQ Townsville</t>
  </si>
  <si>
    <t>L9.J.171235</t>
  </si>
  <si>
    <t>181 Enterprise St</t>
  </si>
  <si>
    <t>Bohle</t>
  </si>
  <si>
    <t>Ruapehu People/Plant</t>
  </si>
  <si>
    <t>L9.DNZJ.66208</t>
  </si>
  <si>
    <t>Rural Connectivity Group (RCG) EU Subcontractors</t>
  </si>
  <si>
    <t>L9.DNZ.810.20793</t>
  </si>
  <si>
    <t>Santos EU Subcontractors</t>
  </si>
  <si>
    <t>L9.J.38250025</t>
  </si>
  <si>
    <t>SAXTON CREEK UPGRADE STAGE 4</t>
  </si>
  <si>
    <t>L9.DNZJ.DS2667</t>
  </si>
  <si>
    <t>JP_DS2667</t>
  </si>
  <si>
    <t>6 Dorset Street</t>
  </si>
  <si>
    <t>SC3.1 - Purchased Goods and Services</t>
  </si>
  <si>
    <t>L9.J.106</t>
  </si>
  <si>
    <t>SC3.10 - Processing of sold products</t>
  </si>
  <si>
    <t>L9.J.109206</t>
  </si>
  <si>
    <t>SC3.11 - Use of sold products</t>
  </si>
  <si>
    <t>L9.J.105</t>
  </si>
  <si>
    <t>SC3.12 - End of life treatment of sold products</t>
  </si>
  <si>
    <t>L9.J.112</t>
  </si>
  <si>
    <t>SC3.13 - Downstream leased assets</t>
  </si>
  <si>
    <t>L9.J.113</t>
  </si>
  <si>
    <t>SC3.14 - Franchises</t>
  </si>
  <si>
    <t>L9.J.100052</t>
  </si>
  <si>
    <t>SC3.15 - Investments</t>
  </si>
  <si>
    <t>L9.J.100096</t>
  </si>
  <si>
    <t>SC3.16 - Water</t>
  </si>
  <si>
    <t>L9.J.100097</t>
  </si>
  <si>
    <t>SC3.2 - Capital Goods</t>
  </si>
  <si>
    <t>L9.J.100098</t>
  </si>
  <si>
    <t>SC3.3 - Fuel and energy related activities</t>
  </si>
  <si>
    <t>L9.J.100099</t>
  </si>
  <si>
    <t>SC3.4 - Upstream transportation and distribution</t>
  </si>
  <si>
    <t>L9.J.100101</t>
  </si>
  <si>
    <t>SC3.5 - Waste generated in operations</t>
  </si>
  <si>
    <t>L9.J.100102</t>
  </si>
  <si>
    <t>SC3.6 - Business Travel</t>
  </si>
  <si>
    <t>L9.J.100149</t>
  </si>
  <si>
    <t>SC3.7 - Employee Commuting</t>
  </si>
  <si>
    <t>L9.J.10015001</t>
  </si>
  <si>
    <t>SC3.8 - Upstream leased assets</t>
  </si>
  <si>
    <t>L9.J.100152</t>
  </si>
  <si>
    <t>SC3.9 - Downstream transportation and distribution</t>
  </si>
  <si>
    <t>L9.J.100156</t>
  </si>
  <si>
    <t>SCNOC - AWT - Half Chain Road</t>
  </si>
  <si>
    <t>L9.DNZJ.554166</t>
  </si>
  <si>
    <t>TI-NZT-554166 - SCNOC - AWT - Half Chain Road</t>
  </si>
  <si>
    <t>SCNOC - AWT - Kitchener Park</t>
  </si>
  <si>
    <t>L9.DNZJ.554168</t>
  </si>
  <si>
    <t>TI-NZT-554168 - SCNOC - AWT - Kitchener Park</t>
  </si>
  <si>
    <t>Scope 3 Accounts</t>
  </si>
  <si>
    <t>Scott Point Primary School</t>
  </si>
  <si>
    <t>L9.DNZ.HA0398</t>
  </si>
  <si>
    <t>JP_HA0398</t>
  </si>
  <si>
    <t>11 Scott Road</t>
  </si>
  <si>
    <t>Hobsonville</t>
  </si>
  <si>
    <t>SDC Footpaths 2021</t>
  </si>
  <si>
    <t>L9.DNZJ.556612</t>
  </si>
  <si>
    <t>SDC Otautau Nightcaps Rd Rehab</t>
  </si>
  <si>
    <t>L9.DNZJ.312032</t>
  </si>
  <si>
    <t>Sealing Stock (South Island)</t>
  </si>
  <si>
    <t>L9.DNZJ.55392</t>
  </si>
  <si>
    <t>SH1/29 SAFETY IMPROVEMENTS</t>
  </si>
  <si>
    <t>L9.DNZJ.DN1208</t>
  </si>
  <si>
    <t>JP_DN1208</t>
  </si>
  <si>
    <t>TI-NZT-DN1208 -SH1/29 Safety Improvements
1833B State Highway 1  Tirau 3484
State Highway 29  Karapiro  Cambridge 3484</t>
  </si>
  <si>
    <t>SH1C Cobham Cambridge Upgrade</t>
  </si>
  <si>
    <t>L9.DNZJ.559620</t>
  </si>
  <si>
    <t>TI-NZT-559620 -  SH1C Cobham Cambridge Upgrade
208 Cambridge Road, Hillcrest, Hamilton 3216</t>
  </si>
  <si>
    <t>SH2 / SH58 Interchange</t>
  </si>
  <si>
    <t>MN4153</t>
  </si>
  <si>
    <t>Temporarily created a new Envizi location under T&amp;I for: 
TI-NZT-MN4153 - SH2/SH58 Haywards Interchange
UT also seems to have an active INX project: 
UT-NZU-159727-SH2 / SH58 Interchange</t>
  </si>
  <si>
    <t>SH25a Roading Redev RFT</t>
  </si>
  <si>
    <t>L9.DNZJ.559321</t>
  </si>
  <si>
    <t>TI-NZT-559321 - SH25a Roading Redev RFT
From Waitomo delpoint: DOWNER UTILITIES ALLIANCE (Address: 25A KOPU HIKUAI HIGHWAY)</t>
  </si>
  <si>
    <t>SH4 Te Oreore Slip Replacement</t>
  </si>
  <si>
    <t>L9.DNZJ.552410</t>
  </si>
  <si>
    <t>SH58 SAFETY IMPROVEMENT STG 2A</t>
  </si>
  <si>
    <t>L9.DNZJ.DN1193</t>
  </si>
  <si>
    <t>JP_DN1193</t>
  </si>
  <si>
    <t>JP_DN1193, JP_DN1177,</t>
  </si>
  <si>
    <t>SH58 SAFETY IMPROVEMENT STG 2B</t>
  </si>
  <si>
    <t>L9.DNZJ.DS2673</t>
  </si>
  <si>
    <t>JP_DS2673</t>
  </si>
  <si>
    <t>TI-NZT-DS2673 - SH58 SAFETY IMPROVEMENT ST</t>
  </si>
  <si>
    <t>SH88 PORT CHALMERS SAFETY IMPR</t>
  </si>
  <si>
    <t>L9.DNZJ.DS2652</t>
  </si>
  <si>
    <t>JP_DS2652</t>
  </si>
  <si>
    <t>Sir John Thorn Drive</t>
  </si>
  <si>
    <t>Roseneath</t>
  </si>
  <si>
    <t>Waitati</t>
  </si>
  <si>
    <t>Shands Rd Occupancy Site Dept</t>
  </si>
  <si>
    <t>L9.DNZ.810.10.150</t>
  </si>
  <si>
    <t>55 Shands Road</t>
  </si>
  <si>
    <t>Hornby</t>
  </si>
  <si>
    <t>SHCF UNIT 14C PROJECT</t>
  </si>
  <si>
    <t>L9.DNZ.HC0354</t>
  </si>
  <si>
    <t>JP_HC0354</t>
  </si>
  <si>
    <t>Shed - 125 Hayward Avenue, Torrensville</t>
  </si>
  <si>
    <t>L9.J.10920030</t>
  </si>
  <si>
    <t>Only captured 50% electricity usage.</t>
  </si>
  <si>
    <t>Unit 1,125 Hayward Avenue</t>
  </si>
  <si>
    <t>Torrensville</t>
  </si>
  <si>
    <t>SHMPAC</t>
  </si>
  <si>
    <t>L9.DNZ.HC0343</t>
  </si>
  <si>
    <t>JP_HC0343</t>
  </si>
  <si>
    <t>SI&amp;CS FY20 and FY23 Subcontractors</t>
  </si>
  <si>
    <t>L9.S.26020558</t>
  </si>
  <si>
    <t>SITE 6 WYNYARD QUARTER</t>
  </si>
  <si>
    <t>L9.DNZ.HA0403</t>
  </si>
  <si>
    <t>JP_HA0403</t>
  </si>
  <si>
    <t>Skilltech - Barwon Water</t>
  </si>
  <si>
    <t>L9.S.16013434</t>
  </si>
  <si>
    <t>Skilltech - Mitchell</t>
  </si>
  <si>
    <t>L9.S.13000908</t>
  </si>
  <si>
    <t>69/71 Darling Street</t>
  </si>
  <si>
    <t>Mitchell</t>
  </si>
  <si>
    <t>Skilltech - Port Macquarie</t>
  </si>
  <si>
    <t>L9.S.13000907</t>
  </si>
  <si>
    <t>1A/19 Short St,</t>
  </si>
  <si>
    <t>Skilltech - Rydalmere</t>
  </si>
  <si>
    <t>Unit S 10-16 South Street</t>
  </si>
  <si>
    <t>Rydalmere</t>
  </si>
  <si>
    <t>Skilltech - Stuart Park</t>
  </si>
  <si>
    <t>Lot 6866
23 A/90 Frances Bay Drive</t>
  </si>
  <si>
    <t>SkyTV Res - Auckland EU Subcontractors</t>
  </si>
  <si>
    <t>L9.DNZ.810.21030</t>
  </si>
  <si>
    <t>SkyTV Res - Canterbury EU Subcontractors</t>
  </si>
  <si>
    <t>L9.DNZ.810.21028</t>
  </si>
  <si>
    <t>SkyTV Res - Central Otago EU Subcontractors</t>
  </si>
  <si>
    <t>L9.DNZ.810.21045</t>
  </si>
  <si>
    <t>SkyTV Res - Gisborne EU Subcontractors</t>
  </si>
  <si>
    <t>L9.DNZ.810.21032</t>
  </si>
  <si>
    <t>SkyTV Res - Hawkes Bay EU Subcontractors</t>
  </si>
  <si>
    <t>L9.DNZ.810.21026</t>
  </si>
  <si>
    <t>SkyTV Res - Manawatu EU Subcontractors</t>
  </si>
  <si>
    <t>SkyTV Res - New Plymouth EU Subcontractors</t>
  </si>
  <si>
    <t>SkyTV Res - Northland EU Subcontractors</t>
  </si>
  <si>
    <t>L9.DNZ.810.21027</t>
  </si>
  <si>
    <t>SkyTV Res - Otago EU Subcontractors</t>
  </si>
  <si>
    <t>SkyTV Res - Rotorua EU Subcontractors</t>
  </si>
  <si>
    <t>SkyTV Res - South Canterbury EU Subcontractors</t>
  </si>
  <si>
    <t>SkyTV Res - Southland EU Subcontractors</t>
  </si>
  <si>
    <t>SkyTV Res - Taupo EU Subcontractors</t>
  </si>
  <si>
    <t>SkyTV Res - Tauranga EU Subcontractors</t>
  </si>
  <si>
    <t>L9.DNZ.810.21031</t>
  </si>
  <si>
    <t>SkyTV Res - Waikato EU Subcontractors</t>
  </si>
  <si>
    <t>SkyTV Res - Wellington EU Subcontractors</t>
  </si>
  <si>
    <t>L9.DNZ.810.21046</t>
  </si>
  <si>
    <t>SkyTV Res - Whanganui EU Subcontractors</t>
  </si>
  <si>
    <t>SL Auckland Area Manager</t>
  </si>
  <si>
    <t>PG70110</t>
  </si>
  <si>
    <t>SL Auckland Operations</t>
  </si>
  <si>
    <t>PG70111</t>
  </si>
  <si>
    <t>SOHO APARTMENTS REMEDIAL WORKS</t>
  </si>
  <si>
    <t>L9.DNZ.HW0192</t>
  </si>
  <si>
    <t>JP_HW0192</t>
  </si>
  <si>
    <t>Somerton Emulsion Plant</t>
  </si>
  <si>
    <t>L9.J.17030134</t>
  </si>
  <si>
    <t>Pakenham emusltion plant relocated to Somerton</t>
  </si>
  <si>
    <t>Somerton Rail Depot</t>
  </si>
  <si>
    <t>L9.J.17032664</t>
  </si>
  <si>
    <t>Somme Pde Water &amp; Gas Renewal</t>
  </si>
  <si>
    <t>L9.DNZJ.552416</t>
  </si>
  <si>
    <t>TI-NZT-552416 - Somme Pde Water &amp; Gas Renewal</t>
  </si>
  <si>
    <t>South Admin Team</t>
  </si>
  <si>
    <t>L9.DNZJ.54946</t>
  </si>
  <si>
    <t>TI-NZT-54946 - South Admin Team</t>
  </si>
  <si>
    <t>South Business Development</t>
  </si>
  <si>
    <t>L9.DNZJ.54951</t>
  </si>
  <si>
    <t>TI-NZT-54951 - South</t>
  </si>
  <si>
    <t>South Canterbury Telco Ops</t>
  </si>
  <si>
    <t>L9.DNZ.810.10.187</t>
  </si>
  <si>
    <t>South East Water EU Subcontractors</t>
  </si>
  <si>
    <t>L9.ENG.340.15550</t>
  </si>
  <si>
    <t>South Island - 45002377</t>
  </si>
  <si>
    <t>L9.S.26016608</t>
  </si>
  <si>
    <t>South Island CJESP</t>
  </si>
  <si>
    <t>L9.DNZ.810.10.140</t>
  </si>
  <si>
    <t>South Island Corrections</t>
  </si>
  <si>
    <t>L9.DNZ.810.10.137</t>
  </si>
  <si>
    <t>South Island Management</t>
  </si>
  <si>
    <t>L9.DNZJ.8101</t>
  </si>
  <si>
    <t>South Island Regional</t>
  </si>
  <si>
    <t>L9.DNZ.810.10.138</t>
  </si>
  <si>
    <t>South Projects 45003019</t>
  </si>
  <si>
    <t>L9.S.26017811</t>
  </si>
  <si>
    <t>South Taranaki People/Plant</t>
  </si>
  <si>
    <t>L9.DNZJ.66211</t>
  </si>
  <si>
    <t>South Taranaki Plant</t>
  </si>
  <si>
    <t>L9.DNZJ.66221</t>
  </si>
  <si>
    <t>Southern BPL's</t>
  </si>
  <si>
    <t>L9.DNZ.810.10.260</t>
  </si>
  <si>
    <t>Southern Design</t>
  </si>
  <si>
    <t>L9.DNZ.810.10.264</t>
  </si>
  <si>
    <t>Southern Management 45003019</t>
  </si>
  <si>
    <t>L9.S.24000082</t>
  </si>
  <si>
    <t>Southern Regions EU Subcontractors</t>
  </si>
  <si>
    <t>L9.J.38239034</t>
  </si>
  <si>
    <t>Southland DC 3 Waters O&amp;M</t>
  </si>
  <si>
    <t>L9.DNZJ.561400</t>
  </si>
  <si>
    <t>EU-NZU-561400-Southland DC 3 Waters O&amp;M</t>
  </si>
  <si>
    <t>Southland DC EU Subcontractors</t>
  </si>
  <si>
    <t>L9.DNZJ.56126</t>
  </si>
  <si>
    <t>Southland NOC-Asset Mgmt</t>
  </si>
  <si>
    <t>L9.DNZJ.556374</t>
  </si>
  <si>
    <t>TI-NZT-556374 - Southland NOC-Asset Mgmt (TI-NZT - Central Otago Southland Chip Sealing)</t>
  </si>
  <si>
    <t>Southland Telco Ops</t>
  </si>
  <si>
    <t>L9.DNZ.810.10.191</t>
  </si>
  <si>
    <t>Spark BOLTE EU Subcontractors</t>
  </si>
  <si>
    <t>L9.DNZ.810.20694</t>
  </si>
  <si>
    <t>Spark COWs/Events EU Subcontractors</t>
  </si>
  <si>
    <t>L9.DNZ.810.20728</t>
  </si>
  <si>
    <t>Spark Fixed Fibre EU Subcontractors</t>
  </si>
  <si>
    <t>L9.DNZ.810.20687</t>
  </si>
  <si>
    <t>Spark Mob Mtc &amp; Reactive Centr EU Subcontractors</t>
  </si>
  <si>
    <t>L9.DNZ.810.20983</t>
  </si>
  <si>
    <t>Spark Mob Mtc &amp; Reactive Sth I EU Subcontractors</t>
  </si>
  <si>
    <t>L9.DNZ.810.20184</t>
  </si>
  <si>
    <t>Spark Mob Mtc &amp; Reactive Wtgn EU Subcontractors</t>
  </si>
  <si>
    <t>L9.DNZ.810.20187</t>
  </si>
  <si>
    <t>Spark Mob Reactive Mtce North EU Subcontractors</t>
  </si>
  <si>
    <t>Spark Mobile - Routine Centr EU Subcontractors</t>
  </si>
  <si>
    <t>L9.DNZ.810.20886</t>
  </si>
  <si>
    <t>Spark Mobile - Routine North EU Subcontractors</t>
  </si>
  <si>
    <t>L9.DNZ.810.20887</t>
  </si>
  <si>
    <t>Spark Mobile Network National</t>
  </si>
  <si>
    <t>L9.DNZ.810.10.220</t>
  </si>
  <si>
    <t>Spark Property</t>
  </si>
  <si>
    <t>L9.DNZ.810.10.196</t>
  </si>
  <si>
    <t>Spark Wireless Build-National EU Subcontractors</t>
  </si>
  <si>
    <t>Specialist Civil Construction</t>
  </si>
  <si>
    <t>L9.DNZJ.56134</t>
  </si>
  <si>
    <t>Spotless - Recharge</t>
  </si>
  <si>
    <t>L9.DNZJ.1998</t>
  </si>
  <si>
    <t>Original location ref &amp; ref no.: L9.S.11001217</t>
  </si>
  <si>
    <t>Spotless SA Housing contract</t>
  </si>
  <si>
    <t>L9.S.3174.45004989</t>
  </si>
  <si>
    <t>Spotless
Temporarily use code: L9.S.3174.45004989</t>
  </si>
  <si>
    <t>301/ 300 Wakefield Street</t>
  </si>
  <si>
    <t>SPP Milling</t>
  </si>
  <si>
    <t>L9.DNZJ.55163</t>
  </si>
  <si>
    <t>TI-NZT.I18 - Specialised Pvmt Preservation
TI-NZT.I18.T38 - SPP Milling
TI-NZT-55163 - Milling</t>
  </si>
  <si>
    <t>SSL NZ Defence Dunedin 45003386</t>
  </si>
  <si>
    <t>L9.S.26017831</t>
  </si>
  <si>
    <t>Sth Canterbury Mob/Maint/Build</t>
  </si>
  <si>
    <t>L9.DNZ.810.10.254</t>
  </si>
  <si>
    <t>Stoney Creek</t>
  </si>
  <si>
    <t>L9.DNZJ.313200</t>
  </si>
  <si>
    <t>Strategic Programs</t>
  </si>
  <si>
    <t>L9.DNZJ.9043</t>
  </si>
  <si>
    <t>Strategy &amp; Growth EU Subcontractors</t>
  </si>
  <si>
    <t>L9.J.377314</t>
  </si>
  <si>
    <t>Stratford Depot</t>
  </si>
  <si>
    <t>Stratford People/Plant</t>
  </si>
  <si>
    <t>L9.DNZJ.66203</t>
  </si>
  <si>
    <t>Street Light Hamilton/Waikato</t>
  </si>
  <si>
    <t>L9.DNZJ.1516</t>
  </si>
  <si>
    <t>Streets for People-TDC</t>
  </si>
  <si>
    <t>L9.DNZJ.553712</t>
  </si>
  <si>
    <t>Sturt</t>
  </si>
  <si>
    <t>L9.J.17021267</t>
  </si>
  <si>
    <t>331 Sturt Road</t>
  </si>
  <si>
    <t>Bedford Park</t>
  </si>
  <si>
    <t>Sub - Powerlink QLD</t>
  </si>
  <si>
    <t>L9.J.23300004</t>
  </si>
  <si>
    <t>IP-356.369.247.278</t>
  </si>
  <si>
    <t>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</si>
  <si>
    <t>Substations East EU Subcontractors</t>
  </si>
  <si>
    <t>L9.J.37740099</t>
  </si>
  <si>
    <t>Sunbury RWP</t>
  </si>
  <si>
    <t>L9.J.24150013</t>
  </si>
  <si>
    <t>Sunbury</t>
  </si>
  <si>
    <t>Harker Street</t>
  </si>
  <si>
    <t>Suncontractors - NZ - Energy Networks</t>
  </si>
  <si>
    <t>Swanbank BESS</t>
  </si>
  <si>
    <t>L9.J.3776003101</t>
  </si>
  <si>
    <t>EU-3776003101 - Swanbank BESS</t>
  </si>
  <si>
    <t>SWDC - Tirau 45004733</t>
  </si>
  <si>
    <t>L9.S.26019877</t>
  </si>
  <si>
    <t>SWDC - Tokoroa 45004733</t>
  </si>
  <si>
    <t>L9.S.26019854</t>
  </si>
  <si>
    <t>SWDC 640/637 Unsealed Rds</t>
  </si>
  <si>
    <t>L9.DNZJ.559614</t>
  </si>
  <si>
    <t>Sydney Water EU Subcontractors</t>
  </si>
  <si>
    <t>L9.J.23900262</t>
  </si>
  <si>
    <t>Sydney Water NFRP EU Subcontractors</t>
  </si>
  <si>
    <t>L9.J.23900053</t>
  </si>
  <si>
    <t>T&amp;Cs - Other EU Subcontractors</t>
  </si>
  <si>
    <t>L9.J.23440142</t>
  </si>
  <si>
    <t>T&amp;I AU Cartage - TI-171 - TI-HO Office</t>
  </si>
  <si>
    <t>T&amp;I AU Cartage - TI-187 - Asphalt &amp; Products</t>
  </si>
  <si>
    <t>L9.J.17040439</t>
  </si>
  <si>
    <t>T&amp;I AU Cartage - TI-189 - Specialised Pavements &amp; Projec</t>
  </si>
  <si>
    <t>L9.J.17093209</t>
  </si>
  <si>
    <t>T&amp;I AU Cartage - TI-190 - Thin Surfacing</t>
  </si>
  <si>
    <t>L9.J.17098065</t>
  </si>
  <si>
    <t>T&amp;I AU Cartage - TI-192 - AU Fleet &amp; TI</t>
  </si>
  <si>
    <t>T&amp;I Capability Strategy</t>
  </si>
  <si>
    <t>L9.DNZJ.57972</t>
  </si>
  <si>
    <t>T&amp;I Cartage Subcontractors AU</t>
  </si>
  <si>
    <t>L9.J.170712</t>
  </si>
  <si>
    <t>T&amp;I Commercial &amp; Risk</t>
  </si>
  <si>
    <t>L9.DNZJ.57965</t>
  </si>
  <si>
    <t>T&amp;I COO</t>
  </si>
  <si>
    <t>L9.DNZJ.57950</t>
  </si>
  <si>
    <t>T&amp;I Environment &amp; Sustain</t>
  </si>
  <si>
    <t>L9.DNZJ.57976</t>
  </si>
  <si>
    <t>T&amp;I Finance &amp; Performance</t>
  </si>
  <si>
    <t>L9.DNZJ.57960</t>
  </si>
  <si>
    <t>T&amp;I People &amp; Culture</t>
  </si>
  <si>
    <t>L9.DNZJ.57970</t>
  </si>
  <si>
    <t>T&amp;I Zero Harm</t>
  </si>
  <si>
    <t>L9.DNZJ.57975</t>
  </si>
  <si>
    <t>T_SubContractors</t>
  </si>
  <si>
    <t>Taihape/Raetihi - Depot</t>
  </si>
  <si>
    <t>PG60224</t>
  </si>
  <si>
    <t>Taihape/Raetihi - WM 223</t>
  </si>
  <si>
    <t>L9.DUN.60223</t>
  </si>
  <si>
    <t>PG60223</t>
  </si>
  <si>
    <t>TAKAKA HILL 5 SITES REMEDIATIO</t>
  </si>
  <si>
    <t>L9.DNZJ.DS2653</t>
  </si>
  <si>
    <t>JP_DS2653</t>
  </si>
  <si>
    <t>Tamworth</t>
  </si>
  <si>
    <t>L9.J.170937</t>
  </si>
  <si>
    <t>15 - 27 Armstrong Street</t>
  </si>
  <si>
    <t>Taranaki Overhead</t>
  </si>
  <si>
    <t>L9.DNZJ.54936</t>
  </si>
  <si>
    <t>TI-NZT-54936 - Manuwatu Overhead (INX name). Envizi location is named after edw dashboard, which is directly linked to JDE.</t>
  </si>
  <si>
    <t>TAREWA ITC - NRHLD DLVR FMWK 1</t>
  </si>
  <si>
    <t>JP_DN1157</t>
  </si>
  <si>
    <t>Otaika Road</t>
  </si>
  <si>
    <t>Raumanga</t>
  </si>
  <si>
    <t>Tarmac Line Marking, Bairnsdale Depot</t>
  </si>
  <si>
    <t>Park up depot - a shed with electricity. All other fuel sources are captured within Fowlers Asphalting.</t>
  </si>
  <si>
    <t>15B Rovan Place</t>
  </si>
  <si>
    <t>Bairnsdale</t>
  </si>
  <si>
    <t>Tasman DC Alliance</t>
  </si>
  <si>
    <t>L9.DNZJ.55308</t>
  </si>
  <si>
    <t>Tasman DC Alliance Emergency</t>
  </si>
  <si>
    <t>L9.DNZJ.553704</t>
  </si>
  <si>
    <t>Tasman DC Alliance Maintenance</t>
  </si>
  <si>
    <t>L9.DNZJ.553701</t>
  </si>
  <si>
    <t>TI-NZT-553701 - Tasman DC Alliance Maintenance (TI-NZT - Tasman Nelson)</t>
  </si>
  <si>
    <t>Tasman DC Alliance UniqueCodes</t>
  </si>
  <si>
    <t>L9.DNZJ.553707</t>
  </si>
  <si>
    <t>Tasman DC Alliance Unscheduled</t>
  </si>
  <si>
    <t>L9.DNZJ.553703</t>
  </si>
  <si>
    <t>Tasman DC EU Subcontractors</t>
  </si>
  <si>
    <t>Taumarunui Depot</t>
  </si>
  <si>
    <t>Taupo - Mechanical</t>
  </si>
  <si>
    <t>L9.DNZJ.561344</t>
  </si>
  <si>
    <t>Taupo - Stormwater</t>
  </si>
  <si>
    <t>L9.DNZJ.561343</t>
  </si>
  <si>
    <t>Taupo - Third Party Jobs</t>
  </si>
  <si>
    <t>L9.DNZJ.561346</t>
  </si>
  <si>
    <t>UT-NZU-561346-Taupo (UT-NZU-Water Northern)</t>
  </si>
  <si>
    <t>Taupo - Wastewater</t>
  </si>
  <si>
    <t>L9.DNZJ.561342</t>
  </si>
  <si>
    <t>Taupo - Water</t>
  </si>
  <si>
    <t>L9.DNZJ.561341</t>
  </si>
  <si>
    <t>Taupo (36-39 Matai St)</t>
  </si>
  <si>
    <t>L9.DNZJ.91648</t>
  </si>
  <si>
    <t>35 Mataī Street</t>
  </si>
  <si>
    <t>Tauhara</t>
  </si>
  <si>
    <t>Taupō</t>
  </si>
  <si>
    <t>Taupo (66 Paro Hapi Street)</t>
  </si>
  <si>
    <t>L9.DNZJ.91237</t>
  </si>
  <si>
    <t>66 Pāora Hapi Street</t>
  </si>
  <si>
    <t>Taupo (Mahoe St) Depot</t>
  </si>
  <si>
    <t>9 Mahoe Street</t>
  </si>
  <si>
    <t>Taupo DC - 3 Waters EU Subcontractors</t>
  </si>
  <si>
    <t>L9.DNZJ.56130</t>
  </si>
  <si>
    <t>Taupo Depot</t>
  </si>
  <si>
    <t>11 Ashwood Avenue</t>
  </si>
  <si>
    <t>Taupo Minor Construction Jobs</t>
  </si>
  <si>
    <t>L9.DNZJ.550692</t>
  </si>
  <si>
    <t>Taupo RT Repeaters &amp; Network</t>
  </si>
  <si>
    <t>L9.DNZJ.550774</t>
  </si>
  <si>
    <t>Pohokura Road</t>
  </si>
  <si>
    <t>Tutira</t>
  </si>
  <si>
    <t>Taupo Teleco Ops</t>
  </si>
  <si>
    <t>L9.DNZ.810.10.194</t>
  </si>
  <si>
    <t>Tauranga - WM 111</t>
  </si>
  <si>
    <t>L9.DUN.60111</t>
  </si>
  <si>
    <t>PG60111</t>
  </si>
  <si>
    <t>Tauranga - WM 112</t>
  </si>
  <si>
    <t>PG60112</t>
  </si>
  <si>
    <t>Tauranga - WM 113</t>
  </si>
  <si>
    <t>L9.DUN.60113</t>
  </si>
  <si>
    <t>PG60113</t>
  </si>
  <si>
    <t>Tauranga (1 Blenheim Pl)</t>
  </si>
  <si>
    <t>L9.DNZJ.91418</t>
  </si>
  <si>
    <t>COR-NZHO-91418 - Tauranga (1 Blenheim Pl)</t>
  </si>
  <si>
    <t>Tauranga (23 Cessna Place)</t>
  </si>
  <si>
    <t>L9.DNZJ.91622</t>
  </si>
  <si>
    <t>23 Cessna Place</t>
  </si>
  <si>
    <t>Tauranga (29a Pillans Rd)</t>
  </si>
  <si>
    <t>L9.DNZJ.91417</t>
  </si>
  <si>
    <t>Tauranga (33b Domain Rd)</t>
  </si>
  <si>
    <t>L9.DNZJ.91415</t>
  </si>
  <si>
    <t>COR-NZHO-91415 - Tauranga (33b Domain Rd)</t>
  </si>
  <si>
    <t>Tauranga (345 Matakoakiri Drive</t>
  </si>
  <si>
    <t>L9.DNZJ.91255</t>
  </si>
  <si>
    <t>COR-NZHO.91255-Tauranga (345 Matakokiri Drive
345 Matakokiri Drive, Tauranga</t>
  </si>
  <si>
    <t>Tauranga (6 Aneta Way)</t>
  </si>
  <si>
    <t>L9.DNZJ.91430</t>
  </si>
  <si>
    <t>COR-NZHO.91430 - Tauranga (6 Aneta Way)</t>
  </si>
  <si>
    <t>Tauranga (9-10 Te Ara Pipopiko</t>
  </si>
  <si>
    <t>L9.DNZJ.91431</t>
  </si>
  <si>
    <t>COR-NZHO.91431 - Tauranga (9-10 Te Ara Pipopiko</t>
  </si>
  <si>
    <t>Tauranga Area Manager</t>
  </si>
  <si>
    <t>PG60110</t>
  </si>
  <si>
    <t>126 Aerodrome Road</t>
  </si>
  <si>
    <t>Tauranga CC EU Subcontractors</t>
  </si>
  <si>
    <t>L9.DNZJ.56122</t>
  </si>
  <si>
    <t>TAURANGA MOANA COURTHOUSE ECI</t>
  </si>
  <si>
    <t>L9.DNZ.HC0357</t>
  </si>
  <si>
    <t>HC0357</t>
  </si>
  <si>
    <t>TI-NZT.BP.HC0357 - Tauranga Moana Courthouse</t>
  </si>
  <si>
    <t>Tauranga Telco Ops</t>
  </si>
  <si>
    <t>L9.DNZ.810.10.175</t>
  </si>
  <si>
    <t>Tauriko (763 SH29)</t>
  </si>
  <si>
    <t>L9.DNZJ.91426</t>
  </si>
  <si>
    <t>Tauriko (Taurikura Dr)</t>
  </si>
  <si>
    <t>L9.DNZJ.91220</t>
  </si>
  <si>
    <t>58 Taurikura Drive</t>
  </si>
  <si>
    <t>TAURIKO WEST ENABLING WORKS</t>
  </si>
  <si>
    <t>L9.DNZJ.DN1210</t>
  </si>
  <si>
    <t>JP_DN1210</t>
  </si>
  <si>
    <t>TI-NZT-DN1210 - Tauriko West Enabling Works</t>
  </si>
  <si>
    <t>TDC Minor Works</t>
  </si>
  <si>
    <t>L9.DNZJ.553679</t>
  </si>
  <si>
    <t>TI-NZT-553679 -  TDC Minor Works (TI-NZT - Tasman Nelson Road Corridor Maintenance)</t>
  </si>
  <si>
    <t>TDC WWPS/SS Elect. Upgrades</t>
  </si>
  <si>
    <t>L9.DNZJ.561369</t>
  </si>
  <si>
    <t>TDCAlliance Emergency Works</t>
  </si>
  <si>
    <t>L9.DNZJ.552207</t>
  </si>
  <si>
    <t>Te Anau (103 Howden St)</t>
  </si>
  <si>
    <t>L9.DNZJ.91336</t>
  </si>
  <si>
    <t>103 Howden Street</t>
  </si>
  <si>
    <t>Te Anau Depot</t>
  </si>
  <si>
    <t>29 Caswell Road</t>
  </si>
  <si>
    <t>Te Pa Tahuna (Ngai Tahu)</t>
  </si>
  <si>
    <t>L9.DNZJ.556598</t>
  </si>
  <si>
    <t>68 Fryer Street</t>
  </si>
  <si>
    <t>Te Puia (Gisborne) Depot</t>
  </si>
  <si>
    <t>6 Waipiro Road</t>
  </si>
  <si>
    <t>Te Puia Springs</t>
  </si>
  <si>
    <t>Tokomaru</t>
  </si>
  <si>
    <t>Te Puke ( 19 Station Road)</t>
  </si>
  <si>
    <t>L9.DNZJ.91217</t>
  </si>
  <si>
    <t>19 Station Road</t>
  </si>
  <si>
    <t>Te Puke</t>
  </si>
  <si>
    <t>Te Pukenga - Otago Poly 45005021</t>
  </si>
  <si>
    <t>Services</t>
  </si>
  <si>
    <t>L9.S.26020505</t>
  </si>
  <si>
    <t>SI-NZG-26020505 - Te Pukenga Otago Poly 45005021</t>
  </si>
  <si>
    <t>Te Pukenga Witt Facilities Main 45005001</t>
  </si>
  <si>
    <t>L9.S.26020493</t>
  </si>
  <si>
    <t>TE WHARE TOROA</t>
  </si>
  <si>
    <t>L9.DNZ.HW0209</t>
  </si>
  <si>
    <t>JP_HW0209</t>
  </si>
  <si>
    <t>Teamtalk Build EU Subcontractors</t>
  </si>
  <si>
    <t>L9.DNZ.810.20205</t>
  </si>
  <si>
    <t>Tech Cap &amp; Supply Chain</t>
  </si>
  <si>
    <t>L9.DNZJ.63980</t>
  </si>
  <si>
    <t>Technical Dept</t>
  </si>
  <si>
    <t>Technology</t>
  </si>
  <si>
    <t>L9.DNZJ.3007</t>
  </si>
  <si>
    <t>Telco - Recharge</t>
  </si>
  <si>
    <t>Telco Co-Ordinators</t>
  </si>
  <si>
    <t>Telco Leadership</t>
  </si>
  <si>
    <t>June 23 - Aug 24 data previously assigned to this location. No longer available on EDW dashboard (checked in Oct 24). Checked asset codes - 140530 &amp; 144416. Close this Envizi location.</t>
  </si>
  <si>
    <t>TELOPS DESIGN - NORTH EU Subcontractors</t>
  </si>
  <si>
    <t>Telstra Blackspot EU Subcontractors</t>
  </si>
  <si>
    <t>L9.J.23440150</t>
  </si>
  <si>
    <t>Telstra Clear &amp; LBI EU Subcontractors</t>
  </si>
  <si>
    <t>L9.DNZ.810.20710</t>
  </si>
  <si>
    <t>Telstra Fixed Connections EU Subcontractors</t>
  </si>
  <si>
    <t>L9.J.234876</t>
  </si>
  <si>
    <t>Telstra RW EU Subcontractors</t>
  </si>
  <si>
    <t>L9.J.23420004</t>
  </si>
  <si>
    <t>Tendering (Nth Island)</t>
  </si>
  <si>
    <t>L9.DNZJ.8802</t>
  </si>
  <si>
    <t>16 Willis Street</t>
  </si>
  <si>
    <t>Wellington Central</t>
  </si>
  <si>
    <t>Teneriffe - Brisbane (QLD)</t>
  </si>
  <si>
    <t>L9.J.10920048</t>
  </si>
  <si>
    <t>Opened 05/04/2019</t>
  </si>
  <si>
    <t>49 Doggett Street</t>
  </si>
  <si>
    <t>Teneriffe</t>
  </si>
  <si>
    <t>Tenix Alliance New Zealand Ltd EU Subcontractors</t>
  </si>
  <si>
    <t>L9.DUN.160</t>
  </si>
  <si>
    <t>Tennant Creek</t>
  </si>
  <si>
    <t>L9.J.170528</t>
  </si>
  <si>
    <t>44 Maloney Street</t>
  </si>
  <si>
    <t>Teralba - P&amp;E</t>
  </si>
  <si>
    <t>L9.J.170146</t>
  </si>
  <si>
    <t>TERP&amp;E</t>
  </si>
  <si>
    <t>Test New Zealand</t>
  </si>
  <si>
    <t>TFO Facilities D&amp;C - Spotless EU Subcontractors</t>
  </si>
  <si>
    <t>L9.J.23440287</t>
  </si>
  <si>
    <t>TFO Recoverable Works EU Subcontractors</t>
  </si>
  <si>
    <t>L9.J.23440263</t>
  </si>
  <si>
    <t>TFO Wideband EU Subcontractors</t>
  </si>
  <si>
    <t>L9.J.23440248</t>
  </si>
  <si>
    <t>Thames/Coromandel Telco Ops</t>
  </si>
  <si>
    <t>L9.DNZ.810.10.174</t>
  </si>
  <si>
    <t>THE PROJECT (MAIN WORKS)</t>
  </si>
  <si>
    <t>L9.DNZ.HA0405</t>
  </si>
  <si>
    <t>JP_HA0411</t>
  </si>
  <si>
    <t>The Roading Company</t>
  </si>
  <si>
    <t>TI-187 - Asphalt &amp; Products 02</t>
  </si>
  <si>
    <t>L9.J.170168</t>
  </si>
  <si>
    <t>Previously named: Fuel Cards - TI-175 - Maint &amp; Pave AU</t>
  </si>
  <si>
    <t>Timaru (100 Pages Road)</t>
  </si>
  <si>
    <t>L9.DNZJ.91287</t>
  </si>
  <si>
    <t>100 Pages Road</t>
  </si>
  <si>
    <t>Marchwiel</t>
  </si>
  <si>
    <t>Timaru (40 Barnes Street)</t>
  </si>
  <si>
    <t>T&amp;I residential - NZ property listing
Not on INX temporarily</t>
  </si>
  <si>
    <t>Timaru Depot</t>
  </si>
  <si>
    <t>86 Meadows Road</t>
  </si>
  <si>
    <t>Washdyke</t>
  </si>
  <si>
    <t>Tirau Depot</t>
  </si>
  <si>
    <t>TM Training</t>
  </si>
  <si>
    <t>L9.DNZJ.556241</t>
  </si>
  <si>
    <t>TMP/Reinstatement Direct OH</t>
  </si>
  <si>
    <t>L9.DUN.50311</t>
  </si>
  <si>
    <t>PG50311</t>
  </si>
  <si>
    <t>TOTARA HAUMARU (WDHB)</t>
  </si>
  <si>
    <t>L9.DNZ.HA0395</t>
  </si>
  <si>
    <t>JP_HA0395</t>
  </si>
  <si>
    <t>Traffic Control - Canterbury</t>
  </si>
  <si>
    <t>L9.DNZJ.55366</t>
  </si>
  <si>
    <t>Traffic Control - Hawkes Bay</t>
  </si>
  <si>
    <t>L9.DNZJ.55209</t>
  </si>
  <si>
    <t>Training Initiatives</t>
  </si>
  <si>
    <t>L9.DNZJ.55942</t>
  </si>
  <si>
    <t>Transformation Bus Resources</t>
  </si>
  <si>
    <t>L9.DNZJ.63994</t>
  </si>
  <si>
    <t>Transgrid EU Subcontractors</t>
  </si>
  <si>
    <t>L9.J.37740021</t>
  </si>
  <si>
    <t>Transmission Grid Services Mgr</t>
  </si>
  <si>
    <t>L9.DUN.80010</t>
  </si>
  <si>
    <t>PG80010</t>
  </si>
  <si>
    <t>Transmission Lines EU Subcontractors</t>
  </si>
  <si>
    <t>L9.J.37740096</t>
  </si>
  <si>
    <t>Transport LT</t>
  </si>
  <si>
    <t>Transport Projects Plant</t>
  </si>
  <si>
    <t>L9.DNZJ.8819</t>
  </si>
  <si>
    <t>Transportation Dept</t>
  </si>
  <si>
    <t>Transpower FM LNI</t>
  </si>
  <si>
    <t>L9.DNZJ.7510</t>
  </si>
  <si>
    <t>Transpower FM Overheads</t>
  </si>
  <si>
    <t>L9.DNZJ.7501</t>
  </si>
  <si>
    <t>Transpower FM SI</t>
  </si>
  <si>
    <t>L9.DNZJ.7511</t>
  </si>
  <si>
    <t>Transpower Ltd</t>
  </si>
  <si>
    <t>L9.DNZJ.10207</t>
  </si>
  <si>
    <t>EU-NZU-10207 - Transpower Ltd</t>
  </si>
  <si>
    <t>Transpower Projects</t>
  </si>
  <si>
    <t>L9.DNZJ.7520</t>
  </si>
  <si>
    <t>TRC - Admin</t>
  </si>
  <si>
    <t>L9.DNZJ.3101</t>
  </si>
  <si>
    <t>18 Gordon Road</t>
  </si>
  <si>
    <t>Wanaka</t>
  </si>
  <si>
    <t>Wānaka</t>
  </si>
  <si>
    <t>TS UFB</t>
  </si>
  <si>
    <t>TSP FM EU Subcontractors</t>
  </si>
  <si>
    <t>L9.DUN.89330</t>
  </si>
  <si>
    <t>TSP FM NI - Direct</t>
  </si>
  <si>
    <t>L9.DUN.80311</t>
  </si>
  <si>
    <t>PG80311</t>
  </si>
  <si>
    <t>TSP FM Projects - Indirect</t>
  </si>
  <si>
    <t>L9.DUN.80330</t>
  </si>
  <si>
    <t>PG80330</t>
  </si>
  <si>
    <t>TSP FM Service Delivery</t>
  </si>
  <si>
    <t>L9.DUN.89320</t>
  </si>
  <si>
    <t>PG80300</t>
  </si>
  <si>
    <t>As per INX:
UT-NZU-89320-TSP FM SI Jobs
L9.DUN.89320
Region TBC</t>
  </si>
  <si>
    <t>TSP FM SI - Direct</t>
  </si>
  <si>
    <t>L9.DUN.80321</t>
  </si>
  <si>
    <t>PG80321</t>
  </si>
  <si>
    <t>TSP Lines EU Subcontractors</t>
  </si>
  <si>
    <t>L9.DUN.89120</t>
  </si>
  <si>
    <t>TSP Subs - Direct</t>
  </si>
  <si>
    <t>L9.DUN.80221</t>
  </si>
  <si>
    <t>PG80221</t>
  </si>
  <si>
    <t>TSP Subs - Indirect</t>
  </si>
  <si>
    <t>L9.DUN.80220</t>
  </si>
  <si>
    <t>PG80220</t>
  </si>
  <si>
    <t>TSP Substations EU Subcontractors</t>
  </si>
  <si>
    <t>L9.DUN.89210</t>
  </si>
  <si>
    <t>Twizel Depot</t>
  </si>
  <si>
    <t>TXL - Davies Creek to Bayview Heights</t>
  </si>
  <si>
    <t>L9.J.37240022</t>
  </si>
  <si>
    <t>57 GREENBANK RD</t>
  </si>
  <si>
    <t>AEROGLEN</t>
  </si>
  <si>
    <t>UAM - Bentleigh East</t>
  </si>
  <si>
    <t>L9.J.23500001</t>
  </si>
  <si>
    <t>2-4 Murra Street</t>
  </si>
  <si>
    <t>Bentleigh East</t>
  </si>
  <si>
    <t>UAM - Kirrawee</t>
  </si>
  <si>
    <t>L9.J.229150</t>
  </si>
  <si>
    <t>31 Marshall Road</t>
  </si>
  <si>
    <t>Kirrawee</t>
  </si>
  <si>
    <t>UAM - Maryborough</t>
  </si>
  <si>
    <t>L9.S.13001212</t>
  </si>
  <si>
    <t>EU-13001212 - UAM National # Overhead</t>
  </si>
  <si>
    <t>UAM - Oakleigh</t>
  </si>
  <si>
    <t>L9.J.24170130</t>
  </si>
  <si>
    <t>2-16 Edward Street</t>
  </si>
  <si>
    <t>Oakleigh</t>
  </si>
  <si>
    <t>UASG - Australia EU Subcontractors</t>
  </si>
  <si>
    <t>L9.J.24180048</t>
  </si>
  <si>
    <t>UFB Remediation EU Subcontractors</t>
  </si>
  <si>
    <t>L9.DNZ.810.20129</t>
  </si>
  <si>
    <t>UFB Services Hub</t>
  </si>
  <si>
    <t>L9.DNZ.810.10.032</t>
  </si>
  <si>
    <t>15 John Seddon Drive</t>
  </si>
  <si>
    <t>Elsdon</t>
  </si>
  <si>
    <t>UFB Wellington Traffic</t>
  </si>
  <si>
    <t>L9.DNZ.810.10.218</t>
  </si>
  <si>
    <t>UFB-C Leadership</t>
  </si>
  <si>
    <t>L9.DNZ.810.10.080</t>
  </si>
  <si>
    <t>Ultimate Load</t>
  </si>
  <si>
    <t>L9.J.24135003</t>
  </si>
  <si>
    <t>Unallocated Accounts</t>
  </si>
  <si>
    <t>Unallocated Cleanaway</t>
  </si>
  <si>
    <t>Unallocated Plant OSM</t>
  </si>
  <si>
    <t>L9.DNZJ.66210</t>
  </si>
  <si>
    <t>Unanderra</t>
  </si>
  <si>
    <t>L9.ENG.360.14899</t>
  </si>
  <si>
    <t>COR-10920015</t>
  </si>
  <si>
    <t>Unit 3A, 3 Investigator Drive</t>
  </si>
  <si>
    <t>L9.J.17051326</t>
  </si>
  <si>
    <t>Underdale - Adelaide (SA)</t>
  </si>
  <si>
    <t>L9.J.10920029</t>
  </si>
  <si>
    <t>Head office SA.  Spotless and Downer.</t>
  </si>
  <si>
    <t>Underground Locators</t>
  </si>
  <si>
    <t>L9.DNZJ.80102</t>
  </si>
  <si>
    <t>EU-NZU-80102-Underground Locators</t>
  </si>
  <si>
    <t>Unitywater - Brendale STP Clarifiers 2 &amp; 3</t>
  </si>
  <si>
    <t>L9.J.24160445</t>
  </si>
  <si>
    <t>Unitywater - Caboolture West SGM</t>
  </si>
  <si>
    <t>L9.J.24160478</t>
  </si>
  <si>
    <t>Unitywater - CCF</t>
  </si>
  <si>
    <t>L9.J.24160405</t>
  </si>
  <si>
    <t>Unitywater - Coach and Grogan</t>
  </si>
  <si>
    <t>L9.J.24160443</t>
  </si>
  <si>
    <t>Unitywater - Kawana Pig Launch and Retrieval</t>
  </si>
  <si>
    <t>L9.J.24160522</t>
  </si>
  <si>
    <t>Unitywater - Landsborough STP</t>
  </si>
  <si>
    <t>L9.J.24160444</t>
  </si>
  <si>
    <t>Unitywater - Maleny STP Membrane Replacement</t>
  </si>
  <si>
    <t>L9.J.24160446</t>
  </si>
  <si>
    <t>Unitywater - Network South Construct Only (Bribie, Beaufort, Rickman, North Quay)</t>
  </si>
  <si>
    <t>L9.J.24160480</t>
  </si>
  <si>
    <t>Unitywater - Noosa STP BR</t>
  </si>
  <si>
    <t>L9.J.24160411</t>
  </si>
  <si>
    <t>Unitywater - Pine Valley WSP</t>
  </si>
  <si>
    <t>L9.J.24160404</t>
  </si>
  <si>
    <t>Unmapped AU Fuel Cards</t>
  </si>
  <si>
    <t>Unmapped EU Subcontractors Q1FY26</t>
  </si>
  <si>
    <t>Administration</t>
  </si>
  <si>
    <t>L9.S.16014560</t>
  </si>
  <si>
    <t>Unmapped JobPac</t>
  </si>
  <si>
    <t>L9.COR.120.20.810</t>
  </si>
  <si>
    <t>FY24</t>
  </si>
  <si>
    <t>Unmapped NZ Corporate</t>
  </si>
  <si>
    <t>Unmapped Roads Subcontractor Data</t>
  </si>
  <si>
    <t>L9.J.17012559</t>
  </si>
  <si>
    <t>not found</t>
  </si>
  <si>
    <t>Unmapped_Bulk</t>
  </si>
  <si>
    <t>L9.DNZJ.9001</t>
  </si>
  <si>
    <t>Unmapped_General</t>
  </si>
  <si>
    <t>Unmapped_Minitanker</t>
  </si>
  <si>
    <t>UOA RWC B310</t>
  </si>
  <si>
    <t>JP_HA0392</t>
  </si>
  <si>
    <t>UOW - THE PA</t>
  </si>
  <si>
    <t>L9.DNZ.HC0344</t>
  </si>
  <si>
    <t>JP_HC0344</t>
  </si>
  <si>
    <t>Upper North Design</t>
  </si>
  <si>
    <t>L9.DNZ.810.10.085</t>
  </si>
  <si>
    <t>USL Direct Cost</t>
  </si>
  <si>
    <t>L9.DNZ.USL</t>
  </si>
  <si>
    <t>PG90100</t>
  </si>
  <si>
    <t>USL EU Subcontractors</t>
  </si>
  <si>
    <t>L9.DUN.90100</t>
  </si>
  <si>
    <t>Util Prj North Ops Team</t>
  </si>
  <si>
    <t>L9.DNZJ.64200</t>
  </si>
  <si>
    <t>Util Prj South Ops Team</t>
  </si>
  <si>
    <t>L9.DNZJ.64250</t>
  </si>
  <si>
    <t>Utilities - Milton (NBN Office)</t>
  </si>
  <si>
    <t>L9.DUA.30161304</t>
  </si>
  <si>
    <t>Utilities Communications EU Subcontractors</t>
  </si>
  <si>
    <t>Utilities Derrimut Office</t>
  </si>
  <si>
    <t>L9.J.24170110</t>
  </si>
  <si>
    <t>Electricity onlyFuel associated with contracts (Ausnet, UE)</t>
  </si>
  <si>
    <t>1 West Park Drive</t>
  </si>
  <si>
    <t>Derrimut</t>
  </si>
  <si>
    <t>Utilities Management EU Subcontractors</t>
  </si>
  <si>
    <t>L9.J.241899</t>
  </si>
  <si>
    <t>Utilities Plant and Equipment</t>
  </si>
  <si>
    <t>L9.DUA.12050</t>
  </si>
  <si>
    <t>Moved from 17 Langton St Garbutt to 15-19 Dalyrmple Rd Garbutt from 1/7/19.  Electricity account comes under Spotless.</t>
  </si>
  <si>
    <t>15-19 Dalrymple Street</t>
  </si>
  <si>
    <t>Utilities Projects GM</t>
  </si>
  <si>
    <t>L9.DNZJ.64901</t>
  </si>
  <si>
    <t>Utilities Projects North Mgmt</t>
  </si>
  <si>
    <t>L9.DNZJ.64920</t>
  </si>
  <si>
    <t>Utilities Projects South Mgmt</t>
  </si>
  <si>
    <t>L9.DNZJ.64960</t>
  </si>
  <si>
    <t>Utilities Reinstatement</t>
  </si>
  <si>
    <t>L9.DNZ.810.10.217</t>
  </si>
  <si>
    <t>Utilities Support Misc Rechges</t>
  </si>
  <si>
    <t>Uungula Wind Farm Connection</t>
  </si>
  <si>
    <t>L9.J.37740122</t>
  </si>
  <si>
    <t>Dubbo</t>
  </si>
  <si>
    <t>Valley Area Manager</t>
  </si>
  <si>
    <t>L9.DUN.60120</t>
  </si>
  <si>
    <t>PG60120</t>
  </si>
  <si>
    <t>5 Coronation Street</t>
  </si>
  <si>
    <t>VEC Civil Engineering (TAS)</t>
  </si>
  <si>
    <t>L9.J.17500008</t>
  </si>
  <si>
    <t>IP-207.210.162.234</t>
  </si>
  <si>
    <t>Vector Auckland Manager</t>
  </si>
  <si>
    <t>L9.DUN.70120</t>
  </si>
  <si>
    <t>PG70120</t>
  </si>
  <si>
    <t>Vector Auckland Operations</t>
  </si>
  <si>
    <t>L9.DUN.70121</t>
  </si>
  <si>
    <t>PG70121</t>
  </si>
  <si>
    <t>Venues Wellington 45003864</t>
  </si>
  <si>
    <t>L9.S.26019669</t>
  </si>
  <si>
    <t>Veolia Reinstatements</t>
  </si>
  <si>
    <t>L9.DNZJ.558027</t>
  </si>
  <si>
    <t>TI-NZT-558027 - Veolia Reinstatements</t>
  </si>
  <si>
    <t>Manukau City</t>
  </si>
  <si>
    <t>VF Fixed Central Maintenance EU Subcontractors</t>
  </si>
  <si>
    <t>L9.DNZ.810.20199</t>
  </si>
  <si>
    <t>VF Fixed Central Provisioning EU Subcontractors</t>
  </si>
  <si>
    <t>L9.DNZ.810.20197</t>
  </si>
  <si>
    <t>VF Fixed Southern Provisioning EU Subcontractors</t>
  </si>
  <si>
    <t>L9.DNZ.810.20196</t>
  </si>
  <si>
    <t>VF Wireless Build - National EU Subcontractors</t>
  </si>
  <si>
    <t>L9.DNZ.810.20967</t>
  </si>
  <si>
    <t>VIC Operations EU Subcontractors</t>
  </si>
  <si>
    <t>L9.S.GNOHDVOP00</t>
  </si>
  <si>
    <t>Vic Uni Victoria House - 45002999</t>
  </si>
  <si>
    <t>L9.S.24000308</t>
  </si>
  <si>
    <t>Vodafone Build Northern EU Subcontractors</t>
  </si>
  <si>
    <t>L9.DNZ.810.20871</t>
  </si>
  <si>
    <t>Vodafone Build Southern EU Subcontractors</t>
  </si>
  <si>
    <t>L9.DNZ.810.20870</t>
  </si>
  <si>
    <t>Vodafone Build Wellington EU Subcontractors</t>
  </si>
  <si>
    <t>L9.DNZ.810.20857</t>
  </si>
  <si>
    <t>Vodafone Configure National</t>
  </si>
  <si>
    <t>L9.DNZ.810.10.256</t>
  </si>
  <si>
    <t>Vodafone COWS Mini repeaters EU Subcontractors</t>
  </si>
  <si>
    <t>L9.DNZ.810.20210</t>
  </si>
  <si>
    <t>Vodafone DriveTesting National</t>
  </si>
  <si>
    <t>L9.DNZ.810.10.255</t>
  </si>
  <si>
    <t>Vodafone Facilities Compliance EU Subcontractors</t>
  </si>
  <si>
    <t>L9.DNZ.810.20212</t>
  </si>
  <si>
    <t>Vodafone Maintenance Central EU Subcontractors</t>
  </si>
  <si>
    <t>L9.DNZ.810.20716</t>
  </si>
  <si>
    <t>Vodafone Maintenance North EU Subcontractors</t>
  </si>
  <si>
    <t>L9.DNZ.810.20777</t>
  </si>
  <si>
    <t>Vodafone Maintenance South EU Subcontractors</t>
  </si>
  <si>
    <t>L9.DNZ.810.20721</t>
  </si>
  <si>
    <t>Vodafone Project Managers</t>
  </si>
  <si>
    <t>L9.DNZ.810.10.258</t>
  </si>
  <si>
    <t>Vodafone RBI Provisioning EU Subcontractors</t>
  </si>
  <si>
    <t>L9.DNZ.810.20774</t>
  </si>
  <si>
    <t>Vodaphone Designers</t>
  </si>
  <si>
    <t>W2QP - WORKS PACKAGE 2</t>
  </si>
  <si>
    <t>L9.DNZJ.DN1201</t>
  </si>
  <si>
    <t>JP_DN1201</t>
  </si>
  <si>
    <t>W2QP - WORKS PACKAGE 3</t>
  </si>
  <si>
    <t>L9.DNZJ.DN1209</t>
  </si>
  <si>
    <t>JP_DN1209</t>
  </si>
  <si>
    <t>TI-NZT-DN1209 - W2QP - WORKS PACKAGE 3</t>
  </si>
  <si>
    <t>W2QP - Works Package 4</t>
  </si>
  <si>
    <t>L9.DNZJ.DN1204</t>
  </si>
  <si>
    <t>JP_DN1204</t>
  </si>
  <si>
    <t>WA Gov Housing - West Perth</t>
  </si>
  <si>
    <t>L9.S.16013284</t>
  </si>
  <si>
    <t>SI-16013284 - Govt Asset Services WA Housing</t>
  </si>
  <si>
    <t>L1, 1238 HAY ST</t>
  </si>
  <si>
    <t>WEST PERTH</t>
  </si>
  <si>
    <t>West Perth</t>
  </si>
  <si>
    <t>WA Power Generation EU Subcontractors</t>
  </si>
  <si>
    <t>L9.J.38270056</t>
  </si>
  <si>
    <t>WAI ARIKI SPA</t>
  </si>
  <si>
    <t>L9.DNZ.HC0348</t>
  </si>
  <si>
    <t>JP_HC0348</t>
  </si>
  <si>
    <t>Waikato - Overhead</t>
  </si>
  <si>
    <t>Waikato People/Plant</t>
  </si>
  <si>
    <t>L9.DNZJ.66209</t>
  </si>
  <si>
    <t>Waikato Traffic Services</t>
  </si>
  <si>
    <t>L9.DNZJ.54103</t>
  </si>
  <si>
    <t>Waikato/Bay of Plenty ISP</t>
  </si>
  <si>
    <t>L9.DNZ.810.10.171</t>
  </si>
  <si>
    <t>Waikeria Prison Dev</t>
  </si>
  <si>
    <t>Waimumu Stopbank</t>
  </si>
  <si>
    <t>L9.DNZJ.556630</t>
  </si>
  <si>
    <t>Waiouru Operations - 45002412</t>
  </si>
  <si>
    <t>L9.S.24000041</t>
  </si>
  <si>
    <t>Building C185 (Waiouru Military Camp),
Ruapehu Rd</t>
  </si>
  <si>
    <t>Waipa DC Maintenance</t>
  </si>
  <si>
    <t>L9.DNZJ.54214</t>
  </si>
  <si>
    <t>Waitaki 1 - SW Management</t>
  </si>
  <si>
    <t>L9.DNZJ.561760</t>
  </si>
  <si>
    <t>82 Bexley Road</t>
  </si>
  <si>
    <t>Bexley</t>
  </si>
  <si>
    <t>Waitaki OSM</t>
  </si>
  <si>
    <t>Waitaki People/Plant</t>
  </si>
  <si>
    <t>L9.DNZJ.66206</t>
  </si>
  <si>
    <t>Waitoki Depot</t>
  </si>
  <si>
    <t>543 Waitoki Road</t>
  </si>
  <si>
    <t>Wainui</t>
  </si>
  <si>
    <t>WAKEFIELD HOSPITAL RDVLPMNT S2</t>
  </si>
  <si>
    <t>L9.DNZ.HW0221</t>
  </si>
  <si>
    <t>JP_HW0221</t>
  </si>
  <si>
    <t>30 Florence Street</t>
  </si>
  <si>
    <t>Newtown</t>
  </si>
  <si>
    <t>Walkley Heights</t>
  </si>
  <si>
    <t>L9.J.17021044</t>
  </si>
  <si>
    <t>Wambo Wind Farm Connection</t>
  </si>
  <si>
    <t>L9.J.37740110</t>
  </si>
  <si>
    <t>Wanaka (38 Stackbrae Ave)</t>
  </si>
  <si>
    <t>L9.DNZJ.91304</t>
  </si>
  <si>
    <t>Wanganui - SP 221</t>
  </si>
  <si>
    <t>L9.DUN.60221</t>
  </si>
  <si>
    <t>PG60221</t>
  </si>
  <si>
    <t>Wanganui - WM 222</t>
  </si>
  <si>
    <t>PG60222</t>
  </si>
  <si>
    <t>Wanganui Area Manager</t>
  </si>
  <si>
    <t>PG60220</t>
  </si>
  <si>
    <t>Wanganui Depot</t>
  </si>
  <si>
    <t>501 Heads Road</t>
  </si>
  <si>
    <t>Castlecliff</t>
  </si>
  <si>
    <t>Whanganui</t>
  </si>
  <si>
    <t>Wanganui Telco Ops</t>
  </si>
  <si>
    <t>L9.DNZ.810.10.178</t>
  </si>
  <si>
    <t>L9.J.17081070</t>
  </si>
  <si>
    <t>Reported under Benalla.Closed for a short period from 30/06/2013, then re-opened</t>
  </si>
  <si>
    <t>51 Buckler Road</t>
  </si>
  <si>
    <t>Water - LWIA</t>
  </si>
  <si>
    <t>L9.J.2412000502</t>
  </si>
  <si>
    <t>LWIA office within Logan council offices and electricity is covered by Client</t>
  </si>
  <si>
    <t>106 City Road</t>
  </si>
  <si>
    <t>Beenleigh</t>
  </si>
  <si>
    <t>Water &amp; Wind EU Subcontractors</t>
  </si>
  <si>
    <t>L9.J.392124</t>
  </si>
  <si>
    <t>Water Construction Nth Is. EU Subcontractors</t>
  </si>
  <si>
    <t>L9.DNZJ.56136</t>
  </si>
  <si>
    <t>Water EU Subcontractors</t>
  </si>
  <si>
    <t>L9.J.23710057</t>
  </si>
  <si>
    <t>Water Ops - Sunbury EU Subcontractors</t>
  </si>
  <si>
    <t>Water Process EU Subcontractors</t>
  </si>
  <si>
    <t>L9.DNZJ.64990</t>
  </si>
  <si>
    <t>Water Services NI DOH</t>
  </si>
  <si>
    <t>L9.DNZJ.56795</t>
  </si>
  <si>
    <t>Water Services NI DOH EU Subcontractors</t>
  </si>
  <si>
    <t>Water Services NSW/ACT/VIC EU Subcontractors</t>
  </si>
  <si>
    <t>L9.J.377311</t>
  </si>
  <si>
    <t>Water Services Programs EU Subcontractors</t>
  </si>
  <si>
    <t>L9.DUA.30169105</t>
  </si>
  <si>
    <t>Water Southern DOH</t>
  </si>
  <si>
    <t>L9.DNZJ.56792</t>
  </si>
  <si>
    <t>Water Support Services</t>
  </si>
  <si>
    <t>L9.DNZJ.56902</t>
  </si>
  <si>
    <t>Water Support Services EU Subcontractors</t>
  </si>
  <si>
    <t>Water Zero Harm</t>
  </si>
  <si>
    <t>L9.DNZJ.56907</t>
  </si>
  <si>
    <t>Watercare North West EU Subcontractors</t>
  </si>
  <si>
    <t>L9.DNZJ.56121</t>
  </si>
  <si>
    <t>WCC 45000643 W</t>
  </si>
  <si>
    <t>L9.S.26015590</t>
  </si>
  <si>
    <t>WDA Construction Costs</t>
  </si>
  <si>
    <t>L9.DNZJ.550707</t>
  </si>
  <si>
    <t>WDA Maintenance Costs</t>
  </si>
  <si>
    <t>L9.DNZJ.550593</t>
  </si>
  <si>
    <t>WDC Alliance Asphalt</t>
  </si>
  <si>
    <t>L9.DNZJ.552188</t>
  </si>
  <si>
    <t>WDC Alliance Base 1</t>
  </si>
  <si>
    <t>L9.DNZJ.552177</t>
  </si>
  <si>
    <t>WDC Alliance Base 2</t>
  </si>
  <si>
    <t>L9.DNZJ.552178</t>
  </si>
  <si>
    <t>WDC Alliance Dayworks</t>
  </si>
  <si>
    <t>L9.DNZJ.552179</t>
  </si>
  <si>
    <t>WDC Alliance Emergency Works</t>
  </si>
  <si>
    <t>L9.DNZJ.552180</t>
  </si>
  <si>
    <t>TI-NZT-552180 - WDC Alliance Emergency Works (TI-NZT - Taranaki Whanganui Road Corridor Maint)</t>
  </si>
  <si>
    <t>WDC Alliance Low Cost/Low Risk</t>
  </si>
  <si>
    <t>L9.DNZJ.552181</t>
  </si>
  <si>
    <t>WDC Alliance Minor Events</t>
  </si>
  <si>
    <t>L9.DNZJ.552182</t>
  </si>
  <si>
    <t>WDC Alliance Parks &amp; Reserves</t>
  </si>
  <si>
    <t>L9.DNZJ.552184</t>
  </si>
  <si>
    <t>WDC Alliance Pavement Rehab</t>
  </si>
  <si>
    <t>L9.DNZJ.552183</t>
  </si>
  <si>
    <t>WDC Alliance Reseals</t>
  </si>
  <si>
    <t>L9.DNZJ.552176</t>
  </si>
  <si>
    <t>TI-NZT-552176 - WDC Alliance Reseals (TI-NZT - Taranaki Whanganui)</t>
  </si>
  <si>
    <t>WEL Networks - Direct Costs</t>
  </si>
  <si>
    <t>L9.DUN.60711</t>
  </si>
  <si>
    <t>PG60711</t>
  </si>
  <si>
    <t>WELLESLEY ST BUS IMPROVEMENTS</t>
  </si>
  <si>
    <t>L9.DNZJ.DN1211</t>
  </si>
  <si>
    <t>JP_DN1211</t>
  </si>
  <si>
    <t>TI-NZT-DN1211 - Wellesley St Bus Interchange</t>
  </si>
  <si>
    <t>Wellington (160 Victoria St)</t>
  </si>
  <si>
    <t>No INX BU code temporaily
Apartment 1410/161 Victoria Street  Te Aro  Wellington 6011  Wellington Region
Apartment W702/160 Victoria Street  Te Aro  Wellington 6011  Wellington Region</t>
  </si>
  <si>
    <t>Wellington (1-69 Hutt Rd)</t>
  </si>
  <si>
    <t>Flat 1/69 Hutt Road  Petone  Lower Hutt 5012  Wellington Region</t>
  </si>
  <si>
    <t>1/69 Hutt Road</t>
  </si>
  <si>
    <t>Wellington (18 Willis St)</t>
  </si>
  <si>
    <t>L9.DNZJ.91727</t>
  </si>
  <si>
    <t>COR-NZHO.91727-Wellington (265 Wakefield St)
Level 11/18 Willis Street  Wellington Central  Wellington 6011</t>
  </si>
  <si>
    <t>Level 11, 18 Willis Street,
Wellington Central</t>
  </si>
  <si>
    <t>Wellington (3 Ayton Drive)</t>
  </si>
  <si>
    <t>L9.DNZJ.91286</t>
  </si>
  <si>
    <t>used for Wellgton (54 Martingale Drive) and Wellington (3 Ayton Drive)</t>
  </si>
  <si>
    <t>3 Ayton Drive</t>
  </si>
  <si>
    <t>Whitby</t>
  </si>
  <si>
    <t>Wellington (95 Customhouse)</t>
  </si>
  <si>
    <t>L9.DNZJ.91403</t>
  </si>
  <si>
    <t>COR-NZHO.91403 - Wellington (95 Customhouse)
2/95 Customhouse Quay  Wellington Central  Wellington 6011</t>
  </si>
  <si>
    <t>95 Customhouse Quay
Wellington Central</t>
  </si>
  <si>
    <t>Wellington Area Manager</t>
  </si>
  <si>
    <t>PG60250</t>
  </si>
  <si>
    <t>Wellington Build</t>
  </si>
  <si>
    <t>L9.DNZ.810.10.143</t>
  </si>
  <si>
    <t>Wellington Civil Deploy</t>
  </si>
  <si>
    <t>L9.DNZ.810.10.240</t>
  </si>
  <si>
    <t>Wellington Depot</t>
  </si>
  <si>
    <t>WELLINGTON GIRLS COLLEGE</t>
  </si>
  <si>
    <t>L9.DNZ.HW0223</t>
  </si>
  <si>
    <t>JP_HW0223</t>
  </si>
  <si>
    <t>Wellington Laboratory</t>
  </si>
  <si>
    <t>Wellington Metro Upgrade 6A</t>
  </si>
  <si>
    <t>JP_DS2675</t>
  </si>
  <si>
    <t>Wellington Mobile/ISP</t>
  </si>
  <si>
    <t>L9.DNZ.810.10.241</t>
  </si>
  <si>
    <t>Wellington Mobile/ISP EU Subcontractors</t>
  </si>
  <si>
    <t>L9.DNZJ.10241</t>
  </si>
  <si>
    <t>Wellington People/Plant</t>
  </si>
  <si>
    <t>L9.DNZJ.66204</t>
  </si>
  <si>
    <t>Wellington Telco Ops</t>
  </si>
  <si>
    <t>L9.DNZ.810.10.141</t>
  </si>
  <si>
    <t>Wellington Vodafone Build</t>
  </si>
  <si>
    <t>L9.DNZ.810.10.235</t>
  </si>
  <si>
    <t>Wellington Vodafone M&amp;P</t>
  </si>
  <si>
    <t>L9.DNZ.810.10.233</t>
  </si>
  <si>
    <t>West Camden WRP EU Subcontractors</t>
  </si>
  <si>
    <t>L9.J.264005</t>
  </si>
  <si>
    <t>West Camden WRP Upgrade</t>
  </si>
  <si>
    <t>L9.J.241504</t>
  </si>
  <si>
    <t>West Coast Telco Ops</t>
  </si>
  <si>
    <t>L9.DNZ.810.10.183</t>
  </si>
  <si>
    <t>212 Main South Road</t>
  </si>
  <si>
    <t>South Beach</t>
  </si>
  <si>
    <t>Greymouth</t>
  </si>
  <si>
    <t>West Design Estimating</t>
  </si>
  <si>
    <t>L9.DUN.60312</t>
  </si>
  <si>
    <t>PG60312</t>
  </si>
  <si>
    <t>West Major Projects EU Subcontractors</t>
  </si>
  <si>
    <t>L9.J.382855</t>
  </si>
  <si>
    <t>West of Porters Pass FBS</t>
  </si>
  <si>
    <t>L9.DNZJ.555312</t>
  </si>
  <si>
    <t>TI-NZT-555312 - West of Porters Pass FBS</t>
  </si>
  <si>
    <t>Western Inst of Technology-Fac 45003441</t>
  </si>
  <si>
    <t>L9.S.24000321</t>
  </si>
  <si>
    <t>Wgtn Const - Minor Works</t>
  </si>
  <si>
    <t>L9.DNZJ.552604</t>
  </si>
  <si>
    <t>Wgtn Overhead</t>
  </si>
  <si>
    <t>L9.DNZJ.54940</t>
  </si>
  <si>
    <t>TI-NZT-54940 - Wgtn Overhead</t>
  </si>
  <si>
    <t>Whakatane (2 Canning Pl)</t>
  </si>
  <si>
    <t>L9.DNZJ.91413</t>
  </si>
  <si>
    <t>COR-NZHO-91413 - Whakatane (2 Canning Pl).  Kate Whiteman: This property is shared between EU-NZU-10.169 Gisborne Telco Ops and EU-NZU-10.171 Waikato/Bay of Plenty ISP</t>
  </si>
  <si>
    <t>2 Canning Place</t>
  </si>
  <si>
    <t>Whakatāne</t>
  </si>
  <si>
    <t>Whakatane</t>
  </si>
  <si>
    <t>WHAKATANE MENTAL HEALTH</t>
  </si>
  <si>
    <t>L9.DNZ.HC0360</t>
  </si>
  <si>
    <t>HC0360</t>
  </si>
  <si>
    <t>TI-NZT-BP.HC0360-Whakatane Hospital MHU Upgrade</t>
  </si>
  <si>
    <t>Whangarei DC EU Subcontractors</t>
  </si>
  <si>
    <t>L9.DNZJ.56110</t>
  </si>
  <si>
    <t>Whangarei Depot</t>
  </si>
  <si>
    <t>124-130 Port Road</t>
  </si>
  <si>
    <t>Whenuapai Northern Access</t>
  </si>
  <si>
    <t>L9.DNZJ.553184</t>
  </si>
  <si>
    <t>WIAL RUNWAY EMAS - ECI</t>
  </si>
  <si>
    <t>L9.DNZJ.DS2679</t>
  </si>
  <si>
    <t>JP_DS2679</t>
  </si>
  <si>
    <t>TI-NZT-DS2679 - WIAL EMAS</t>
  </si>
  <si>
    <t>WIAL Runway EMAS Main Works</t>
  </si>
  <si>
    <t>L9.DNZJ.DS2680</t>
  </si>
  <si>
    <t>JP_DS2680</t>
  </si>
  <si>
    <t>Wigram Operations 45003019</t>
  </si>
  <si>
    <t>L9.S.26016952</t>
  </si>
  <si>
    <t>Winton (15 Russell St)</t>
  </si>
  <si>
    <t>L9.DNZJ.91378</t>
  </si>
  <si>
    <t>Wireless - Other EU Subcontractors</t>
  </si>
  <si>
    <t>L9.J.23440132</t>
  </si>
  <si>
    <t>Wireless - Telstra EU Subcontractors</t>
  </si>
  <si>
    <t>L9.J.234869</t>
  </si>
  <si>
    <t>Wireless Southland Maint</t>
  </si>
  <si>
    <t>L9.DNZ.810.10.251</t>
  </si>
  <si>
    <t>Wiri (130 Kerrs Rd)</t>
  </si>
  <si>
    <t>Wiri PPP - 45002375</t>
  </si>
  <si>
    <t>L9.S.24000002</t>
  </si>
  <si>
    <t>WK Otaki to Levin SIP Stage 1</t>
  </si>
  <si>
    <t>L9.DNZJ.558010</t>
  </si>
  <si>
    <t>Wodonga - P&amp;E</t>
  </si>
  <si>
    <t>L9.J.170909</t>
  </si>
  <si>
    <t>WTP Mobile Tech Campbelltown</t>
  </si>
  <si>
    <t>L9.J.70930032</t>
  </si>
  <si>
    <t>Unit I2
5-7 Hepher Road</t>
  </si>
  <si>
    <t>Campbelltown</t>
  </si>
  <si>
    <t>WTP Mobile Tech Hornsby</t>
  </si>
  <si>
    <t>2 &amp; 2a 29 Leighton Place</t>
  </si>
  <si>
    <t>Hornsby</t>
  </si>
  <si>
    <t>WTPA</t>
  </si>
  <si>
    <t>L9.DNZJ.PS2639</t>
  </si>
  <si>
    <t>PS2639</t>
  </si>
  <si>
    <t>53 Ballarat Street</t>
  </si>
  <si>
    <t>Y10209 - Tarago Fluoride Plant Upgrade</t>
  </si>
  <si>
    <t>Y10341 - Mordialloc Main Sewer Rehabilitation</t>
  </si>
  <si>
    <t>Yarra Trams-Australia based travel</t>
  </si>
  <si>
    <t>YVW Depot - Bayswater North</t>
  </si>
  <si>
    <t>L9.DUA.105482</t>
  </si>
  <si>
    <t>Bayswater Depot</t>
  </si>
  <si>
    <t>Bayswater North</t>
  </si>
  <si>
    <t>Zero Harm</t>
  </si>
  <si>
    <t>L9.DNZJ.55914</t>
  </si>
  <si>
    <t>Zero Harm EU</t>
  </si>
  <si>
    <t>L9.DNZJ.10014</t>
  </si>
  <si>
    <t>EU-NZU-10014 - Zero Harm</t>
  </si>
  <si>
    <t>Location Link</t>
  </si>
  <si>
    <t>Account Link</t>
  </si>
  <si>
    <t>Location Account Ref</t>
  </si>
  <si>
    <t>Data Type</t>
  </si>
  <si>
    <t>Account Style</t>
  </si>
  <si>
    <t>Sub Type</t>
  </si>
  <si>
    <t>Supplier</t>
  </si>
  <si>
    <t>Reader</t>
  </si>
  <si>
    <t>Serial_No</t>
  </si>
  <si>
    <t>Replaced On</t>
  </si>
  <si>
    <t>Usage Type</t>
  </si>
  <si>
    <t>Use</t>
  </si>
  <si>
    <t>Apportionment</t>
  </si>
  <si>
    <t>Effective From</t>
  </si>
  <si>
    <t>Effective To</t>
  </si>
  <si>
    <t>Cost Centre Group Chain</t>
  </si>
  <si>
    <t>Cost Centre</t>
  </si>
  <si>
    <t>Report Percent</t>
  </si>
  <si>
    <t>Cost Centre Effective From</t>
  </si>
  <si>
    <t>Cost Centre Effective To</t>
  </si>
  <si>
    <t>Cost Centre Membership Description</t>
  </si>
  <si>
    <t>Relationship</t>
  </si>
  <si>
    <t>Related Account</t>
  </si>
  <si>
    <t>Relationship Percent</t>
  </si>
  <si>
    <t>Relationship Effective From</t>
  </si>
  <si>
    <t>Relationship Effective To</t>
  </si>
  <si>
    <t>Account Style Accrue Type</t>
  </si>
  <si>
    <t>Account Style Consumption Accrue Method</t>
  </si>
  <si>
    <t>Account Style Cost Accrue Method</t>
  </si>
  <si>
    <t>Updated On</t>
  </si>
  <si>
    <t>Revenue [AUD Million]</t>
  </si>
  <si>
    <t>FY25REV_Asset &amp; Development Services</t>
  </si>
  <si>
    <t>Contiguous Data</t>
  </si>
  <si>
    <t>Inherit Associate Settings</t>
  </si>
  <si>
    <t>FY25REV_Base &amp; Estate Management</t>
  </si>
  <si>
    <t>FY25REV_Corporate Australia</t>
  </si>
  <si>
    <t>FY25REV_Downer Professional Services</t>
  </si>
  <si>
    <t>FY25REV_E&amp;C Legacy</t>
  </si>
  <si>
    <t>FY25REV_EU Gap</t>
  </si>
  <si>
    <t>FY25REV_EU Support</t>
  </si>
  <si>
    <t>FY25REV_Fleet &amp; Assets</t>
  </si>
  <si>
    <t>FY25REV_Government &amp; IFM</t>
  </si>
  <si>
    <t>FY25REV_Hawkins</t>
  </si>
  <si>
    <t>FY25REV_Health &amp; Education</t>
  </si>
  <si>
    <t>FY25REV_Industrial &amp; Power Generation</t>
  </si>
  <si>
    <t>FY25REV_Infrastructure Projects</t>
  </si>
  <si>
    <t>FY25REV_Intra Elim</t>
  </si>
  <si>
    <t>FY25REV_Managing Contracts</t>
  </si>
  <si>
    <t>FY25REV_Mineral Technologies</t>
  </si>
  <si>
    <t>FY25REV_Mining</t>
  </si>
  <si>
    <t>FY25REV_Network Services</t>
  </si>
  <si>
    <t>FY25REV_NZ NSC, IT, Property, WF &amp; Elins</t>
  </si>
  <si>
    <t>FY25REV_Passenger North</t>
  </si>
  <si>
    <t>FY25REV_Passenger South</t>
  </si>
  <si>
    <t>FY25REV_Power Projects</t>
  </si>
  <si>
    <t>FY25REV_RTS Digital</t>
  </si>
  <si>
    <t>FY25REV_RTS FREIGHT</t>
  </si>
  <si>
    <t>FY25REV_RTS Head Office</t>
  </si>
  <si>
    <t>FY25REV_RTS Opportunities</t>
  </si>
  <si>
    <t>FY25REV_Social Infrastructure &amp; Citizen Services Support</t>
  </si>
  <si>
    <t>FY25REV_T&amp;I Gap</t>
  </si>
  <si>
    <t>FY25REV_T&amp;I Head Office</t>
  </si>
  <si>
    <t>FY25REV_Telecommunications</t>
  </si>
  <si>
    <t>FY25REV_Transport &amp; Infrastructure AU</t>
  </si>
  <si>
    <t>FY25REV_Transport &amp; Infrastructure NZ</t>
  </si>
  <si>
    <t>FY25REV_Utilities Legacy &amp; Other</t>
  </si>
  <si>
    <t>FY25REV_Water</t>
  </si>
  <si>
    <t>Multi Template</t>
  </si>
  <si>
    <t>Decarbonisation Pathway</t>
  </si>
  <si>
    <t>Feb 2026 Revenue — Account Setup Verification by Line Item</t>
  </si>
  <si>
    <t>FY26 Revenue (Feb)</t>
  </si>
  <si>
    <t>Account Setup (Feb)</t>
  </si>
  <si>
    <t>Difference</t>
  </si>
  <si>
    <t>Status</t>
  </si>
  <si>
    <t>TOTALS</t>
  </si>
  <si>
    <t>FY26 Revenue — Monthly Totals: FY26 Revenue Sheet vs Account Setup</t>
  </si>
  <si>
    <t>Month</t>
  </si>
  <si>
    <t>FY26 Revenue Sheet Total</t>
  </si>
  <si>
    <t>Account Setup Total</t>
  </si>
  <si>
    <t>Row Count (Setup)</t>
  </si>
  <si>
    <t>Jul 25</t>
  </si>
  <si>
    <t>Aug 25</t>
  </si>
  <si>
    <t>Sep 25</t>
  </si>
  <si>
    <t>Oct 25</t>
  </si>
  <si>
    <t>Nov 25</t>
  </si>
  <si>
    <t>Dec 25</t>
  </si>
  <si>
    <t>Jan 26</t>
  </si>
  <si>
    <t>Feb 26</t>
  </si>
  <si>
    <t>Note: Dec Intra Elim has a known 0.1 rounding difference from source data entry (pre-existing, not introduced by this process).</t>
  </si>
  <si>
    <t>Mar</t>
  </si>
  <si>
    <t>FY26REV_EU Gap</t>
  </si>
  <si>
    <t>FY26REV_NZ NSC, IT, Property, WF &amp; Elins</t>
  </si>
  <si>
    <t>Generated: 23 Apr 2026  |  FY26 Revenue source vs Account_Setup_and_Data_Load Mar rows</t>
  </si>
  <si>
    <t>Generated: 23 Apr 2026</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</si>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</sst>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0;\-"/>
    <numFmt numFmtId="166" formatCode="m/d/yyyy"/>
    <numFmt numFmtId="167" formatCode="m/d/yyyy\ h:mm"/>
    <numFmt numFmtId="168" formatCode="#,##0.0;\(#,##0.0\);\-"/>
    <numFmt numFmtId="169" formatCode="#,##0.0;\-#,##0.0;&quot;-&quot;"/>
  </numFmts>
  <fonts count="11" x14ac:knownFonts="1">
    <font>
      <sz val="11"/>
      <color theme="1"/>
      <name val="Aptos Narrow"/>
      <family val="2"/>
      <charset val="1"/>
    </font>
    <font>
      <b/>
      <sz val="12"/>
      <color rgb="FFFFFFFF"/>
      <name val="Arial"/>
      <charset val="1"/>
    </font>
    <font>
      <sz val="10"/>
      <color rgb="FFFFFFFF"/>
      <name val="Arial"/>
      <charset val="1"/>
    </font>
    <font>
      <b/>
      <sz val="10"/>
      <color rgb="FFFFFFFF"/>
      <name val="Arial"/>
      <charset val="1"/>
    </font>
    <font>
      <sz val="10"/>
      <color rgb="FF1A1A1A"/>
      <name val="Arial"/>
      <charset val="1"/>
    </font>
    <font>
      <sz val="10"/>
      <color rgb="FF006400"/>
      <name val="Arial"/>
      <charset val="1"/>
    </font>
    <font>
      <b/>
      <sz val="10"/>
      <color rgb="FF006400"/>
      <name val="Arial"/>
      <charset val="1"/>
    </font>
    <font>
      <b/>
      <sz val="10"/>
      <color rgb="FF1A1A1A"/>
      <name val="Arial"/>
      <charset val="1"/>
    </font>
    <font>
      <i/>
      <sz val="9"/>
      <color rgb="FF7A5C00"/>
      <name val="Arial"/>
      <charset val="1"/>
    </font>
    <font>
      <sz val="8"/>
      <name val="Aptos Narrow"/>
      <family val="2"/>
      <charset val="1"/>
    </font>
    <font>
      <b/>
      <sz val="11"/>
      <color theme="1"/>
      <name val="Aptos Narrow"/>
      <family val="2"/>
      <scheme val="minor"/>
    </font>
  </fonts>
  <fills count="13">
    <fill>
      <patternFill patternType="none"/>
    </fill>
    <fill>
      <patternFill patternType="gray125"/>
    </fill>
    <fill>
      <patternFill patternType="solid">
        <fgColor theme="4" tint="0.79989013336588644"/>
        <bgColor rgb="FFE6F7FD"/>
      </patternFill>
    </fill>
    <fill>
      <patternFill patternType="solid">
        <fgColor rgb="FF1A1A1A"/>
        <bgColor rgb="FF333300"/>
      </patternFill>
    </fill>
    <fill>
      <patternFill patternType="solid">
        <fgColor rgb="FF00AEEF"/>
        <bgColor rgb="FF46B1E1"/>
      </patternFill>
    </fill>
    <fill>
      <patternFill patternType="solid">
        <fgColor rgb="FF595959"/>
        <bgColor rgb="FF7A5C00"/>
      </patternFill>
    </fill>
    <fill>
      <patternFill patternType="solid">
        <fgColor rgb="FFF5F5F5"/>
        <bgColor rgb="FFFFF9E6"/>
      </patternFill>
    </fill>
    <fill>
      <patternFill patternType="solid">
        <fgColor rgb="FF8DC63F"/>
        <bgColor rgb="FF969696"/>
      </patternFill>
    </fill>
    <fill>
      <patternFill patternType="solid">
        <fgColor rgb="FFFFFFFF"/>
        <bgColor rgb="FFFFF9E6"/>
      </patternFill>
    </fill>
    <fill>
      <patternFill patternType="solid">
        <fgColor rgb="FFE6F7FD"/>
        <bgColor rgb="FFF5F5F5"/>
      </patternFill>
    </fill>
    <fill>
      <patternFill patternType="solid">
        <fgColor rgb="FFFFF9E6"/>
        <bgColor rgb="FFF5F5F5"/>
      </patternFill>
    </fill>
    <fill>
      <patternFill patternType="solid">
        <fgColor theme="4" tint="0.79998168889431442"/>
        <bgColor theme="4" tint="0.79998168889431442"/>
      </patternFill>
    </fill>
    <fill>
      <patternFill patternType="solid">
        <fgColor theme="5" tint="0.79998168889431442"/>
        <bgColor indexed="64"/>
      </patternFill>
    </fill>
  </fills>
  <borders count="5">
    <border>
      <left/>
      <right/>
      <top/>
      <bottom/>
      <diagonal/>
    </border>
    <border>
      <left/>
      <right style="thin">
        <color theme="4" tint="0.39988402966399123"/>
      </right>
      <top style="thin">
        <color theme="4" tint="0.39988402966399123"/>
      </top>
      <bottom style="thin">
        <color theme="4" tint="0.39988402966399123"/>
      </bottom>
      <diagonal/>
    </border>
    <border>
      <left/>
      <right/>
      <top style="thin">
        <color theme="4" tint="0.39988402966399123"/>
      </top>
      <bottom style="thin">
        <color theme="4" tint="0.39988402966399123"/>
      </bottom>
      <diagonal/>
    </border>
    <border>
      <left/>
      <right style="thin">
        <color theme="4" tint="0.39997558519241921"/>
      </right>
      <top style="thin">
        <color theme="4" tint="0.39997558519241921"/>
      </top>
      <bottom style="thin">
        <color theme="4" tint="0.39997558519241921"/>
      </bottom>
      <diagonal/>
    </border>
    <border>
      <left/>
      <right/>
      <top style="double">
        <color theme="4"/>
      </top>
      <bottom/>
      <diagonal/>
    </border>
  </borders>
  <cellStyleXfs count="1">
    <xf numFmtId="0" fontId="0" fillId="0" borderId="0"/>
  </cellStyleXfs>
  <cellXfs count="36">
    <xf numFmtId="0" fontId="0" fillId="0" borderId="0" xfId="0"/>
    <xf numFmtId="164" fontId="0" fillId="0" borderId="0" xfId="0" applyNumberFormat="1"/>
    <xf numFmtId="2" fontId="0" fillId="0" borderId="0" xfId="0" applyNumberFormat="1"/>
    <xf numFmtId="165" fontId="0" fillId="2" borderId="1" xfId="0" applyNumberFormat="1" applyFill="1" applyBorder="1"/>
    <xf numFmtId="0" fontId="0" fillId="2" borderId="2" xfId="0" applyFill="1" applyBorder="1"/>
    <xf numFmtId="165" fontId="0" fillId="2" borderId="2" xfId="0" applyNumberFormat="1" applyFill="1" applyBorder="1"/>
    <xf numFmtId="165" fontId="0" fillId="0" borderId="2" xfId="0" applyNumberFormat="1" applyBorder="1"/>
    <xf numFmtId="0" fontId="0" fillId="0" borderId="2" xfId="0" applyBorder="1"/>
    <xf numFmtId="165" fontId="0" fillId="0" borderId="0" xfId="0" applyNumberFormat="1"/>
    <xf numFmtId="166" fontId="0" fillId="0" borderId="0" xfId="0" applyNumberFormat="1"/>
    <xf numFmtId="0" fontId="0" fillId="0" borderId="0" xfId="0" applyAlignment="1">
      <alignment wrapText="1"/>
    </xf>
    <xf numFmtId="3" fontId="0" fillId="0" borderId="0" xfId="0" applyNumberFormat="1"/>
    <xf numFmtId="167" fontId="0" fillId="0" borderId="0" xfId="0" applyNumberFormat="1"/>
    <xf numFmtId="0" fontId="3" fillId="5" borderId="0" xfId="0" applyFont="1" applyFill="1" applyAlignment="1">
      <alignment horizontal="center" vertical="center"/>
    </xf>
    <xf numFmtId="0" fontId="4" fillId="6" borderId="0" xfId="0" applyFont="1" applyFill="1" applyAlignment="1">
      <alignment horizontal="left" vertical="center"/>
    </xf>
    <xf numFmtId="168" fontId="5" fillId="6" borderId="0" xfId="0" applyNumberFormat="1" applyFont="1" applyFill="1" applyAlignment="1">
      <alignment horizontal="left" vertical="center"/>
    </xf>
    <xf numFmtId="0" fontId="6" fillId="7" borderId="0" xfId="0" applyFont="1" applyFill="1" applyAlignment="1">
      <alignment horizontal="center" vertical="center"/>
    </xf>
    <xf numFmtId="0" fontId="4" fillId="8" borderId="0" xfId="0" applyFont="1" applyFill="1" applyAlignment="1">
      <alignment horizontal="left" vertical="center"/>
    </xf>
    <xf numFmtId="168" fontId="5" fillId="8" borderId="0" xfId="0" applyNumberFormat="1" applyFont="1" applyFill="1" applyAlignment="1">
      <alignment horizontal="left" vertical="center"/>
    </xf>
    <xf numFmtId="168" fontId="3" fillId="4" borderId="0" xfId="0" applyNumberFormat="1" applyFont="1" applyFill="1" applyAlignment="1">
      <alignment horizontal="center" vertical="center"/>
    </xf>
    <xf numFmtId="0" fontId="3" fillId="7" borderId="0" xfId="0" applyFont="1" applyFill="1" applyAlignment="1">
      <alignment horizontal="center" vertical="center"/>
    </xf>
    <xf numFmtId="0" fontId="5" fillId="6" borderId="0" xfId="0" applyFont="1" applyFill="1" applyAlignment="1">
      <alignment horizontal="center" vertical="center"/>
    </xf>
    <xf numFmtId="0" fontId="5" fillId="8" borderId="0" xfId="0" applyFont="1" applyFill="1" applyAlignment="1">
      <alignment horizontal="center" vertical="center"/>
    </xf>
    <xf numFmtId="0" fontId="7" fillId="9" borderId="0" xfId="0" applyFont="1" applyFill="1" applyAlignment="1">
      <alignment horizontal="left" vertical="center"/>
    </xf>
    <xf numFmtId="168" fontId="5" fillId="9" borderId="0" xfId="0" applyNumberFormat="1" applyFont="1" applyFill="1" applyAlignment="1">
      <alignment horizontal="left" vertical="center"/>
    </xf>
    <xf numFmtId="0" fontId="5" fillId="9" borderId="0" xfId="0" applyFont="1" applyFill="1" applyAlignment="1">
      <alignment horizontal="center" vertical="center"/>
    </xf>
    <xf numFmtId="169" fontId="0" fillId="11" borderId="3" xfId="0" applyNumberFormat="1" applyFill="1" applyBorder="1"/>
    <xf numFmtId="169" fontId="0" fillId="0" borderId="3" xfId="0" applyNumberFormat="1" applyBorder="1"/>
    <xf numFmtId="164" fontId="0" fillId="12" borderId="0" xfId="0" applyNumberFormat="1" applyFill="1"/>
    <xf numFmtId="17" fontId="4" fillId="8" borderId="0" xfId="0" applyNumberFormat="1" applyFont="1" applyFill="1" applyAlignment="1">
      <alignment horizontal="left"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3" fillId="3" borderId="0" xfId="0" applyFont="1" applyFill="1" applyAlignment="1">
      <alignment horizontal="center" vertical="center"/>
    </xf>
    <xf numFmtId="0" fontId="8" fillId="10" borderId="0" xfId="0" applyFont="1" applyFill="1" applyAlignment="1">
      <alignment horizontal="left" vertical="center" wrapText="1"/>
    </xf>
    <xf numFmtId="169" fontId="0" fillId="0" borderId="0" xfId="0" applyNumberFormat="1"/>
    <xf numFmtId="169" fontId="10" fillId="0" borderId="4"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400"/>
      <rgbColor rgb="FF000080"/>
      <rgbColor rgb="FF7A5C00"/>
      <rgbColor rgb="FF800080"/>
      <rgbColor rgb="FF008080"/>
      <rgbColor rgb="FFC0C0C0"/>
      <rgbColor rgb="FF808080"/>
      <rgbColor rgb="FF9999FF"/>
      <rgbColor rgb="FF993366"/>
      <rgbColor rgb="FFFFF9E6"/>
      <rgbColor rgb="FFE6F7FD"/>
      <rgbColor rgb="FF660066"/>
      <rgbColor rgb="FFFF8080"/>
      <rgbColor rgb="FF0066CC"/>
      <rgbColor rgb="FFC1E5F5"/>
      <rgbColor rgb="FF000080"/>
      <rgbColor rgb="FFFF00FF"/>
      <rgbColor rgb="FFFFFF00"/>
      <rgbColor rgb="FF00FFFF"/>
      <rgbColor rgb="FF800080"/>
      <rgbColor rgb="FF800000"/>
      <rgbColor rgb="FF008080"/>
      <rgbColor rgb="FF0000FF"/>
      <rgbColor rgb="FF00AEEF"/>
      <rgbColor rgb="FFF5F5F5"/>
      <rgbColor rgb="FFCCFFCC"/>
      <rgbColor rgb="FFFFFF99"/>
      <rgbColor rgb="FF99CCFF"/>
      <rgbColor rgb="FFFF99CC"/>
      <rgbColor rgb="FFCC99FF"/>
      <rgbColor rgb="FFFFCC99"/>
      <rgbColor rgb="FF3366FF"/>
      <rgbColor rgb="FF46B1E1"/>
      <rgbColor rgb="FF8DC63F"/>
      <rgbColor rgb="FFFFCC00"/>
      <rgbColor rgb="FFFF9900"/>
      <rgbColor rgb="FFFF6600"/>
      <rgbColor rgb="FF595959"/>
      <rgbColor rgb="FF969696"/>
      <rgbColor rgb="FF003366"/>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I80">
  <tableColumns count="9">
    <tableColumn id="1" xr3:uid="{00000000-0010-0000-0000-000001000000}" name="Entity Name/Division" totalsRowLabel="Intra Elim"/>
    <tableColumn id="2" xr3:uid="{00000000-0010-0000-0000-000002000000}" name="UD1 Name/Sub-LOB" totalsRowLabel="Intra Elim"/>
    <tableColumn id="3" xr3:uid="{00000000-0010-0000-0000-000003000000}" name="UD1 Name/Sub-LOB Level 2"/>
    <tableColumn id="4" xr3:uid="{00000000-0010-0000-0000-000004000000}" name="Jul" totalsRowLabel="-0.1"/>
    <tableColumn id="5" xr3:uid="{00000000-0010-0000-0000-000005000000}" name="Aug" totalsRowLabel="-0.1"/>
    <tableColumn id="6" xr3:uid="{00000000-0010-0000-0000-000006000000}" name="Sep" totalsRowLabel="-0.1"/>
    <tableColumn id="7" xr3:uid="{00000000-0010-0000-0000-000007000000}" name="Oct" totalsRowLabel="0.2"/>
    <tableColumn id="8" xr3:uid="{00000000-0010-0000-0000-000008000000}" name="Nov" totalsRowLabel="-0.1"/>
    <tableColumn id="9" xr3:uid="{00000000-0010-0000-0000-000009000000}" name="Dec"/>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91"/>
  <sheetViews>
    <sheetView tabSelected="1" topLeftCell="A771" zoomScale="90" zoomScaleNormal="90" workbookViewId="0">
      <selection activeCell="H808" sqref="H808"/>
    </sheetView>
  </sheetViews>
  <sheetFormatPr defaultColWidth="8.5546875" defaultRowHeight="14.4" x14ac:dyDescent="0.3"/>
  <cols>
    <col min="3" max="3" width="37.44140625" customWidth="1"/>
    <col min="4" max="4" width="16.5546875" customWidth="1"/>
    <col min="6" max="6" width="21.33203125" customWidth="1"/>
    <col min="8" max="8" width="39" customWidth="1"/>
    <col min="9" max="9" width="51.33203125" customWidth="1"/>
    <col min="12" max="12" width="13.109375" style="1" customWidth="1"/>
    <col min="13" max="13" width="12.88671875" style="1" customWidth="1"/>
    <col min="17" max="17" width="21.44140625" customWidth="1"/>
    <col min="18" max="18" width="64.88671875" customWidth="1"/>
    <col min="19" max="19" width="24.109375" customWidth="1"/>
    <col min="20" max="20" width="9.109375" style="2" customWidth="1"/>
  </cols>
  <sheetData>
    <row r="1" spans="1:21" x14ac:dyDescent="0.3">
      <c r="A1" t="s">
        <v>0</v>
      </c>
      <c r="B1" t="s">
        <v>1</v>
      </c>
      <c r="C1" t="s">
        <v>2</v>
      </c>
      <c r="D1" t="s">
        <v>3</v>
      </c>
      <c r="E1" t="s">
        <v>4</v>
      </c>
      <c r="F1" t="s">
        <v>5</v>
      </c>
      <c r="G1" t="s">
        <v>6</v>
      </c>
      <c r="H1" t="s">
        <v>7</v>
      </c>
      <c r="I1" t="s">
        <v>8</v>
      </c>
      <c r="J1" t="s">
        <v>9</v>
      </c>
      <c r="K1" t="s">
        <v>10</v>
      </c>
      <c r="L1" s="1" t="s">
        <v>11</v>
      </c>
      <c r="M1" s="1" t="s">
        <v>12</v>
      </c>
      <c r="N1" t="s">
        <v>13</v>
      </c>
      <c r="O1" t="s">
        <v>14</v>
      </c>
      <c r="P1" t="s">
        <v>15</v>
      </c>
      <c r="Q1" t="s">
        <v>16</v>
      </c>
      <c r="R1" t="s">
        <v>17</v>
      </c>
      <c r="S1" t="s">
        <v>18</v>
      </c>
      <c r="T1" s="2" t="s">
        <v>19</v>
      </c>
      <c r="U1" t="s">
        <v>20</v>
      </c>
    </row>
    <row r="2" spans="1:21" x14ac:dyDescent="0.3">
      <c r="A2">
        <v>37395</v>
      </c>
      <c r="B2" t="s">
        <v>21</v>
      </c>
      <c r="C2" s="3" t="s">
        <v>22</v>
      </c>
      <c r="D2" t="s">
        <v>23</v>
      </c>
      <c r="E2">
        <v>7868</v>
      </c>
      <c r="F2" t="s">
        <v>24</v>
      </c>
      <c r="H2" s="3" t="s">
        <v>25</v>
      </c>
      <c r="I2" s="3" t="s">
        <v>25</v>
      </c>
      <c r="J2" t="s">
        <v>21</v>
      </c>
      <c r="K2" t="s">
        <v>26</v>
      </c>
      <c r="L2" s="1">
        <v>45839</v>
      </c>
      <c r="M2" s="1">
        <v>45869</v>
      </c>
      <c r="N2" t="s">
        <v>27</v>
      </c>
      <c r="O2" t="s">
        <v>28</v>
      </c>
      <c r="Q2" t="s">
        <v>29</v>
      </c>
      <c r="R2" s="4" t="s">
        <v>30</v>
      </c>
      <c r="S2" s="4" t="s">
        <v>30</v>
      </c>
      <c r="T2" s="5">
        <v>30.3</v>
      </c>
    </row>
    <row r="3" spans="1:21" x14ac:dyDescent="0.3">
      <c r="A3">
        <v>37395</v>
      </c>
      <c r="B3" t="s">
        <v>21</v>
      </c>
      <c r="C3" s="3" t="s">
        <v>22</v>
      </c>
      <c r="D3" t="s">
        <v>23</v>
      </c>
      <c r="E3">
        <v>7868</v>
      </c>
      <c r="F3" t="s">
        <v>24</v>
      </c>
      <c r="H3" s="3" t="s">
        <v>25</v>
      </c>
      <c r="I3" s="3" t="s">
        <v>25</v>
      </c>
      <c r="J3" t="s">
        <v>21</v>
      </c>
      <c r="K3" t="s">
        <v>26</v>
      </c>
      <c r="L3" s="1">
        <v>45839</v>
      </c>
      <c r="M3" s="1">
        <v>45869</v>
      </c>
      <c r="N3" t="s">
        <v>27</v>
      </c>
      <c r="O3" t="s">
        <v>28</v>
      </c>
      <c r="Q3" t="s">
        <v>29</v>
      </c>
      <c r="R3" s="4" t="s">
        <v>31</v>
      </c>
      <c r="S3" s="4" t="s">
        <v>31</v>
      </c>
      <c r="T3" s="6">
        <v>27.8</v>
      </c>
    </row>
    <row r="4" spans="1:21" x14ac:dyDescent="0.3">
      <c r="A4">
        <v>37395</v>
      </c>
      <c r="B4" t="s">
        <v>21</v>
      </c>
      <c r="C4" s="3" t="s">
        <v>22</v>
      </c>
      <c r="D4" t="s">
        <v>23</v>
      </c>
      <c r="E4">
        <v>7868</v>
      </c>
      <c r="F4" t="s">
        <v>24</v>
      </c>
      <c r="H4" s="3" t="s">
        <v>25</v>
      </c>
      <c r="I4" s="3" t="s">
        <v>25</v>
      </c>
      <c r="J4" t="s">
        <v>21</v>
      </c>
      <c r="K4" t="s">
        <v>26</v>
      </c>
      <c r="L4" s="1">
        <v>45839</v>
      </c>
      <c r="M4" s="1">
        <v>45869</v>
      </c>
      <c r="N4" t="s">
        <v>27</v>
      </c>
      <c r="O4" t="s">
        <v>28</v>
      </c>
      <c r="Q4" t="s">
        <v>29</v>
      </c>
      <c r="R4" s="4" t="s">
        <v>32</v>
      </c>
      <c r="S4" s="4" t="s">
        <v>32</v>
      </c>
      <c r="T4" s="5">
        <v>24.6</v>
      </c>
    </row>
    <row r="5" spans="1:21" x14ac:dyDescent="0.3">
      <c r="A5">
        <v>37395</v>
      </c>
      <c r="B5" t="s">
        <v>21</v>
      </c>
      <c r="C5" s="3" t="s">
        <v>22</v>
      </c>
      <c r="D5" t="s">
        <v>23</v>
      </c>
      <c r="E5">
        <v>7868</v>
      </c>
      <c r="F5" t="s">
        <v>24</v>
      </c>
      <c r="H5" s="3" t="s">
        <v>25</v>
      </c>
      <c r="I5" s="3" t="s">
        <v>25</v>
      </c>
      <c r="J5" t="s">
        <v>21</v>
      </c>
      <c r="K5" t="s">
        <v>26</v>
      </c>
      <c r="L5" s="1">
        <v>45839</v>
      </c>
      <c r="M5" s="1">
        <v>45869</v>
      </c>
      <c r="N5" t="s">
        <v>27</v>
      </c>
      <c r="O5" t="s">
        <v>28</v>
      </c>
      <c r="Q5" t="s">
        <v>29</v>
      </c>
      <c r="R5" s="4" t="s">
        <v>33</v>
      </c>
      <c r="S5" s="4" t="s">
        <v>33</v>
      </c>
      <c r="T5" s="6">
        <v>41.4</v>
      </c>
    </row>
    <row r="6" spans="1:21" x14ac:dyDescent="0.3">
      <c r="A6">
        <v>37395</v>
      </c>
      <c r="B6" t="s">
        <v>21</v>
      </c>
      <c r="C6" s="3" t="s">
        <v>22</v>
      </c>
      <c r="D6" t="s">
        <v>23</v>
      </c>
      <c r="E6">
        <v>7868</v>
      </c>
      <c r="F6" t="s">
        <v>24</v>
      </c>
      <c r="H6" s="3" t="s">
        <v>25</v>
      </c>
      <c r="I6" s="3" t="s">
        <v>25</v>
      </c>
      <c r="J6" t="s">
        <v>21</v>
      </c>
      <c r="K6" t="s">
        <v>26</v>
      </c>
      <c r="L6" s="1">
        <v>45839</v>
      </c>
      <c r="M6" s="1">
        <v>45869</v>
      </c>
      <c r="N6" t="s">
        <v>27</v>
      </c>
      <c r="O6" t="s">
        <v>28</v>
      </c>
      <c r="Q6" t="s">
        <v>29</v>
      </c>
      <c r="R6" s="4" t="s">
        <v>34</v>
      </c>
      <c r="S6" s="4" t="s">
        <v>34</v>
      </c>
      <c r="T6" s="5">
        <v>8.8000000000000007</v>
      </c>
    </row>
    <row r="7" spans="1:21" x14ac:dyDescent="0.3">
      <c r="A7">
        <v>37395</v>
      </c>
      <c r="B7" t="s">
        <v>21</v>
      </c>
      <c r="C7" s="3" t="s">
        <v>22</v>
      </c>
      <c r="D7" t="s">
        <v>23</v>
      </c>
      <c r="E7">
        <v>7868</v>
      </c>
      <c r="F7" t="s">
        <v>24</v>
      </c>
      <c r="H7" s="3" t="s">
        <v>25</v>
      </c>
      <c r="I7" s="3" t="s">
        <v>25</v>
      </c>
      <c r="J7" t="s">
        <v>21</v>
      </c>
      <c r="K7" t="s">
        <v>26</v>
      </c>
      <c r="L7" s="1">
        <v>45839</v>
      </c>
      <c r="M7" s="1">
        <v>45869</v>
      </c>
      <c r="N7" t="s">
        <v>27</v>
      </c>
      <c r="O7" t="s">
        <v>28</v>
      </c>
      <c r="Q7" t="s">
        <v>29</v>
      </c>
      <c r="R7" s="4" t="s">
        <v>35</v>
      </c>
      <c r="S7" s="4" t="s">
        <v>35</v>
      </c>
      <c r="T7" s="6">
        <v>0</v>
      </c>
    </row>
    <row r="8" spans="1:21" x14ac:dyDescent="0.3">
      <c r="A8">
        <v>37395</v>
      </c>
      <c r="B8" t="s">
        <v>21</v>
      </c>
      <c r="C8" s="3" t="s">
        <v>22</v>
      </c>
      <c r="D8" t="s">
        <v>23</v>
      </c>
      <c r="E8">
        <v>7868</v>
      </c>
      <c r="F8" t="s">
        <v>24</v>
      </c>
      <c r="H8" s="3" t="s">
        <v>25</v>
      </c>
      <c r="I8" s="3" t="s">
        <v>25</v>
      </c>
      <c r="J8" t="s">
        <v>21</v>
      </c>
      <c r="K8" t="s">
        <v>26</v>
      </c>
      <c r="L8" s="1">
        <v>45839</v>
      </c>
      <c r="M8" s="1">
        <v>45869</v>
      </c>
      <c r="N8" t="s">
        <v>27</v>
      </c>
      <c r="O8" t="s">
        <v>28</v>
      </c>
      <c r="Q8" t="s">
        <v>29</v>
      </c>
      <c r="R8" s="4" t="s">
        <v>36</v>
      </c>
      <c r="S8" s="4" t="s">
        <v>36</v>
      </c>
      <c r="T8" s="5">
        <v>50.2</v>
      </c>
    </row>
    <row r="9" spans="1:21" x14ac:dyDescent="0.3">
      <c r="A9">
        <v>37395</v>
      </c>
      <c r="B9" t="s">
        <v>21</v>
      </c>
      <c r="C9" s="3" t="s">
        <v>37</v>
      </c>
      <c r="D9" t="s">
        <v>38</v>
      </c>
      <c r="E9">
        <v>7868</v>
      </c>
      <c r="F9" t="s">
        <v>24</v>
      </c>
      <c r="H9" s="3" t="s">
        <v>39</v>
      </c>
      <c r="I9" s="3" t="s">
        <v>39</v>
      </c>
      <c r="J9" t="s">
        <v>21</v>
      </c>
      <c r="K9" t="s">
        <v>26</v>
      </c>
      <c r="L9" s="1">
        <v>45839</v>
      </c>
      <c r="M9" s="1">
        <v>45869</v>
      </c>
      <c r="N9" t="s">
        <v>27</v>
      </c>
      <c r="O9" t="s">
        <v>28</v>
      </c>
      <c r="Q9" t="s">
        <v>29</v>
      </c>
      <c r="R9" s="4" t="s">
        <v>40</v>
      </c>
      <c r="S9" s="4" t="s">
        <v>40</v>
      </c>
      <c r="T9" s="6">
        <v>26.2</v>
      </c>
    </row>
    <row r="10" spans="1:21" x14ac:dyDescent="0.3">
      <c r="A10">
        <v>37395</v>
      </c>
      <c r="B10" t="s">
        <v>21</v>
      </c>
      <c r="C10" s="3" t="s">
        <v>37</v>
      </c>
      <c r="D10" t="s">
        <v>38</v>
      </c>
      <c r="E10">
        <v>7868</v>
      </c>
      <c r="F10" t="s">
        <v>24</v>
      </c>
      <c r="H10" s="3" t="s">
        <v>39</v>
      </c>
      <c r="I10" s="3" t="s">
        <v>39</v>
      </c>
      <c r="J10" t="s">
        <v>21</v>
      </c>
      <c r="K10" t="s">
        <v>26</v>
      </c>
      <c r="L10" s="1">
        <v>45839</v>
      </c>
      <c r="M10" s="1">
        <v>45869</v>
      </c>
      <c r="N10" t="s">
        <v>27</v>
      </c>
      <c r="O10" t="s">
        <v>28</v>
      </c>
      <c r="Q10" t="s">
        <v>29</v>
      </c>
      <c r="R10" s="4" t="s">
        <v>41</v>
      </c>
      <c r="S10" s="4" t="s">
        <v>41</v>
      </c>
      <c r="T10" s="5">
        <v>0.7</v>
      </c>
    </row>
    <row r="11" spans="1:21" x14ac:dyDescent="0.3">
      <c r="A11">
        <v>37395</v>
      </c>
      <c r="B11" t="s">
        <v>21</v>
      </c>
      <c r="C11" s="3" t="s">
        <v>37</v>
      </c>
      <c r="D11" t="s">
        <v>38</v>
      </c>
      <c r="E11">
        <v>7868</v>
      </c>
      <c r="F11" t="s">
        <v>24</v>
      </c>
      <c r="H11" s="3" t="s">
        <v>39</v>
      </c>
      <c r="I11" s="3" t="s">
        <v>39</v>
      </c>
      <c r="J11" t="s">
        <v>21</v>
      </c>
      <c r="K11" t="s">
        <v>26</v>
      </c>
      <c r="L11" s="1">
        <v>45839</v>
      </c>
      <c r="M11" s="1">
        <v>45869</v>
      </c>
      <c r="N11" t="s">
        <v>27</v>
      </c>
      <c r="O11" t="s">
        <v>28</v>
      </c>
      <c r="Q11" t="s">
        <v>29</v>
      </c>
      <c r="R11" s="4" t="s">
        <v>42</v>
      </c>
      <c r="S11" s="4" t="s">
        <v>42</v>
      </c>
      <c r="T11" s="6">
        <v>6.8</v>
      </c>
    </row>
    <row r="12" spans="1:21" x14ac:dyDescent="0.3">
      <c r="A12">
        <v>37395</v>
      </c>
      <c r="B12" t="s">
        <v>21</v>
      </c>
      <c r="C12" s="3" t="s">
        <v>37</v>
      </c>
      <c r="D12" t="s">
        <v>38</v>
      </c>
      <c r="E12">
        <v>7868</v>
      </c>
      <c r="F12" t="s">
        <v>24</v>
      </c>
      <c r="H12" s="3" t="s">
        <v>39</v>
      </c>
      <c r="I12" s="3" t="s">
        <v>39</v>
      </c>
      <c r="J12" t="s">
        <v>21</v>
      </c>
      <c r="K12" t="s">
        <v>26</v>
      </c>
      <c r="L12" s="1">
        <v>45839</v>
      </c>
      <c r="M12" s="1">
        <v>45869</v>
      </c>
      <c r="N12" t="s">
        <v>27</v>
      </c>
      <c r="O12" t="s">
        <v>28</v>
      </c>
      <c r="Q12" t="s">
        <v>29</v>
      </c>
      <c r="R12" s="4" t="s">
        <v>43</v>
      </c>
      <c r="S12" s="4" t="s">
        <v>43</v>
      </c>
      <c r="T12" s="5">
        <v>18.5</v>
      </c>
    </row>
    <row r="13" spans="1:21" x14ac:dyDescent="0.3">
      <c r="A13">
        <v>37395</v>
      </c>
      <c r="B13" t="s">
        <v>21</v>
      </c>
      <c r="C13" s="3" t="s">
        <v>37</v>
      </c>
      <c r="D13" t="s">
        <v>38</v>
      </c>
      <c r="E13">
        <v>7868</v>
      </c>
      <c r="F13" t="s">
        <v>24</v>
      </c>
      <c r="H13" s="3" t="s">
        <v>39</v>
      </c>
      <c r="I13" s="3" t="s">
        <v>39</v>
      </c>
      <c r="J13" t="s">
        <v>21</v>
      </c>
      <c r="K13" t="s">
        <v>26</v>
      </c>
      <c r="L13" s="1">
        <v>45839</v>
      </c>
      <c r="M13" s="1">
        <v>45869</v>
      </c>
      <c r="N13" t="s">
        <v>27</v>
      </c>
      <c r="O13" t="s">
        <v>28</v>
      </c>
      <c r="Q13" t="s">
        <v>29</v>
      </c>
      <c r="R13" s="4" t="s">
        <v>44</v>
      </c>
      <c r="S13" s="4" t="s">
        <v>44</v>
      </c>
      <c r="T13" s="6">
        <v>4</v>
      </c>
    </row>
    <row r="14" spans="1:21" x14ac:dyDescent="0.3">
      <c r="A14">
        <v>37395</v>
      </c>
      <c r="B14" t="s">
        <v>21</v>
      </c>
      <c r="C14" s="3" t="s">
        <v>37</v>
      </c>
      <c r="D14" t="s">
        <v>38</v>
      </c>
      <c r="E14">
        <v>7868</v>
      </c>
      <c r="F14" t="s">
        <v>24</v>
      </c>
      <c r="H14" s="3" t="s">
        <v>39</v>
      </c>
      <c r="I14" s="3" t="s">
        <v>39</v>
      </c>
      <c r="J14" t="s">
        <v>21</v>
      </c>
      <c r="K14" t="s">
        <v>26</v>
      </c>
      <c r="L14" s="1">
        <v>45839</v>
      </c>
      <c r="M14" s="1">
        <v>45869</v>
      </c>
      <c r="N14" t="s">
        <v>27</v>
      </c>
      <c r="O14" t="s">
        <v>28</v>
      </c>
      <c r="Q14" t="s">
        <v>29</v>
      </c>
      <c r="R14" s="4" t="s">
        <v>45</v>
      </c>
      <c r="S14" s="4" t="s">
        <v>45</v>
      </c>
      <c r="T14" s="5">
        <v>0</v>
      </c>
    </row>
    <row r="15" spans="1:21" x14ac:dyDescent="0.3">
      <c r="A15">
        <v>37395</v>
      </c>
      <c r="B15" t="s">
        <v>21</v>
      </c>
      <c r="C15" s="3" t="s">
        <v>37</v>
      </c>
      <c r="D15" t="s">
        <v>38</v>
      </c>
      <c r="E15">
        <v>7868</v>
      </c>
      <c r="F15" t="s">
        <v>24</v>
      </c>
      <c r="H15" s="3" t="s">
        <v>39</v>
      </c>
      <c r="I15" s="3" t="s">
        <v>39</v>
      </c>
      <c r="J15" t="s">
        <v>21</v>
      </c>
      <c r="K15" t="s">
        <v>26</v>
      </c>
      <c r="L15" s="1">
        <v>45839</v>
      </c>
      <c r="M15" s="1">
        <v>45869</v>
      </c>
      <c r="N15" t="s">
        <v>27</v>
      </c>
      <c r="O15" t="s">
        <v>28</v>
      </c>
      <c r="Q15" t="s">
        <v>29</v>
      </c>
      <c r="R15" s="4" t="s">
        <v>46</v>
      </c>
      <c r="S15" s="4" t="s">
        <v>46</v>
      </c>
      <c r="T15" s="6">
        <v>0.1</v>
      </c>
    </row>
    <row r="16" spans="1:21" x14ac:dyDescent="0.3">
      <c r="A16">
        <v>37395</v>
      </c>
      <c r="B16" t="s">
        <v>21</v>
      </c>
      <c r="C16" s="3" t="s">
        <v>37</v>
      </c>
      <c r="D16" t="s">
        <v>38</v>
      </c>
      <c r="E16">
        <v>7868</v>
      </c>
      <c r="F16" t="s">
        <v>24</v>
      </c>
      <c r="H16" s="3" t="s">
        <v>39</v>
      </c>
      <c r="I16" s="3" t="s">
        <v>39</v>
      </c>
      <c r="J16" t="s">
        <v>21</v>
      </c>
      <c r="K16" t="s">
        <v>26</v>
      </c>
      <c r="L16" s="1">
        <v>45839</v>
      </c>
      <c r="M16" s="1">
        <v>45869</v>
      </c>
      <c r="N16" t="s">
        <v>27</v>
      </c>
      <c r="O16" t="s">
        <v>28</v>
      </c>
      <c r="Q16" t="s">
        <v>29</v>
      </c>
      <c r="R16" s="4" t="s">
        <v>47</v>
      </c>
      <c r="S16" s="4" t="s">
        <v>47</v>
      </c>
      <c r="T16" s="5">
        <v>0</v>
      </c>
    </row>
    <row r="17" spans="1:20" x14ac:dyDescent="0.3">
      <c r="A17">
        <v>37395</v>
      </c>
      <c r="B17" t="s">
        <v>21</v>
      </c>
      <c r="C17" s="3" t="s">
        <v>48</v>
      </c>
      <c r="D17" t="s">
        <v>49</v>
      </c>
      <c r="E17">
        <v>7868</v>
      </c>
      <c r="F17" t="s">
        <v>24</v>
      </c>
      <c r="H17" s="3" t="s">
        <v>50</v>
      </c>
      <c r="I17" s="3" t="s">
        <v>50</v>
      </c>
      <c r="J17" t="s">
        <v>21</v>
      </c>
      <c r="K17" t="s">
        <v>26</v>
      </c>
      <c r="L17" s="1">
        <v>45839</v>
      </c>
      <c r="M17" s="1">
        <v>45869</v>
      </c>
      <c r="N17" t="s">
        <v>27</v>
      </c>
      <c r="O17" t="s">
        <v>28</v>
      </c>
      <c r="Q17" t="s">
        <v>29</v>
      </c>
      <c r="R17" s="4" t="s">
        <v>51</v>
      </c>
      <c r="S17" s="4" t="s">
        <v>51</v>
      </c>
      <c r="T17" s="6">
        <v>0</v>
      </c>
    </row>
    <row r="18" spans="1:20" x14ac:dyDescent="0.3">
      <c r="A18">
        <v>37395</v>
      </c>
      <c r="B18" t="s">
        <v>21</v>
      </c>
      <c r="C18" s="3" t="s">
        <v>48</v>
      </c>
      <c r="D18" t="s">
        <v>49</v>
      </c>
      <c r="E18">
        <v>7868</v>
      </c>
      <c r="F18" t="s">
        <v>24</v>
      </c>
      <c r="H18" s="3" t="s">
        <v>50</v>
      </c>
      <c r="I18" s="3" t="s">
        <v>50</v>
      </c>
      <c r="J18" t="s">
        <v>21</v>
      </c>
      <c r="K18" t="s">
        <v>26</v>
      </c>
      <c r="L18" s="1">
        <v>45839</v>
      </c>
      <c r="M18" s="1">
        <v>45869</v>
      </c>
      <c r="N18" t="s">
        <v>27</v>
      </c>
      <c r="O18" t="s">
        <v>28</v>
      </c>
      <c r="Q18" t="s">
        <v>29</v>
      </c>
      <c r="R18" s="4" t="s">
        <v>52</v>
      </c>
      <c r="S18" s="4" t="s">
        <v>52</v>
      </c>
      <c r="T18" s="5">
        <v>-0.2</v>
      </c>
    </row>
    <row r="19" spans="1:20" x14ac:dyDescent="0.3">
      <c r="A19">
        <v>37395</v>
      </c>
      <c r="B19" t="s">
        <v>21</v>
      </c>
      <c r="C19" s="3" t="s">
        <v>48</v>
      </c>
      <c r="D19" t="s">
        <v>49</v>
      </c>
      <c r="E19">
        <v>7868</v>
      </c>
      <c r="F19" t="s">
        <v>24</v>
      </c>
      <c r="H19" s="3" t="s">
        <v>50</v>
      </c>
      <c r="I19" s="3" t="s">
        <v>50</v>
      </c>
      <c r="J19" t="s">
        <v>21</v>
      </c>
      <c r="K19" t="s">
        <v>26</v>
      </c>
      <c r="L19" s="1">
        <v>45839</v>
      </c>
      <c r="M19" s="1">
        <v>45869</v>
      </c>
      <c r="N19" t="s">
        <v>27</v>
      </c>
      <c r="O19" t="s">
        <v>28</v>
      </c>
      <c r="Q19" t="s">
        <v>29</v>
      </c>
      <c r="R19" s="4" t="s">
        <v>53</v>
      </c>
      <c r="S19" s="4" t="s">
        <v>53</v>
      </c>
      <c r="T19" s="6">
        <v>38.299999999999997</v>
      </c>
    </row>
    <row r="20" spans="1:20" x14ac:dyDescent="0.3">
      <c r="A20">
        <v>37395</v>
      </c>
      <c r="B20" t="s">
        <v>21</v>
      </c>
      <c r="C20" s="3" t="s">
        <v>48</v>
      </c>
      <c r="D20" t="s">
        <v>49</v>
      </c>
      <c r="E20">
        <v>7868</v>
      </c>
      <c r="F20" t="s">
        <v>24</v>
      </c>
      <c r="H20" s="3" t="s">
        <v>50</v>
      </c>
      <c r="I20" s="3" t="s">
        <v>50</v>
      </c>
      <c r="J20" t="s">
        <v>21</v>
      </c>
      <c r="K20" t="s">
        <v>26</v>
      </c>
      <c r="L20" s="1">
        <v>45839</v>
      </c>
      <c r="M20" s="1">
        <v>45869</v>
      </c>
      <c r="N20" t="s">
        <v>27</v>
      </c>
      <c r="O20" t="s">
        <v>28</v>
      </c>
      <c r="Q20" t="s">
        <v>29</v>
      </c>
      <c r="R20" s="4" t="s">
        <v>54</v>
      </c>
      <c r="S20" s="4" t="s">
        <v>54</v>
      </c>
      <c r="T20" s="5">
        <v>13.6</v>
      </c>
    </row>
    <row r="21" spans="1:20" x14ac:dyDescent="0.3">
      <c r="A21">
        <v>37395</v>
      </c>
      <c r="B21" t="s">
        <v>21</v>
      </c>
      <c r="C21" s="3" t="s">
        <v>55</v>
      </c>
      <c r="D21" t="s">
        <v>56</v>
      </c>
      <c r="E21">
        <v>7868</v>
      </c>
      <c r="F21" t="s">
        <v>24</v>
      </c>
      <c r="H21" s="3" t="s">
        <v>57</v>
      </c>
      <c r="I21" s="3" t="s">
        <v>57</v>
      </c>
      <c r="J21" t="s">
        <v>21</v>
      </c>
      <c r="K21" t="s">
        <v>26</v>
      </c>
      <c r="L21" s="1">
        <v>45839</v>
      </c>
      <c r="M21" s="1">
        <v>45869</v>
      </c>
      <c r="N21" t="s">
        <v>27</v>
      </c>
      <c r="O21" t="s">
        <v>28</v>
      </c>
      <c r="Q21" t="s">
        <v>29</v>
      </c>
      <c r="R21" s="4" t="s">
        <v>58</v>
      </c>
      <c r="S21" s="4" t="s">
        <v>58</v>
      </c>
      <c r="T21" s="6">
        <v>16.3</v>
      </c>
    </row>
    <row r="22" spans="1:20" x14ac:dyDescent="0.3">
      <c r="A22">
        <v>37395</v>
      </c>
      <c r="B22" t="s">
        <v>21</v>
      </c>
      <c r="C22" s="3" t="s">
        <v>55</v>
      </c>
      <c r="D22" t="s">
        <v>56</v>
      </c>
      <c r="E22">
        <v>7868</v>
      </c>
      <c r="F22" t="s">
        <v>24</v>
      </c>
      <c r="H22" s="3" t="s">
        <v>57</v>
      </c>
      <c r="I22" s="3" t="s">
        <v>57</v>
      </c>
      <c r="J22" t="s">
        <v>21</v>
      </c>
      <c r="K22" t="s">
        <v>26</v>
      </c>
      <c r="L22" s="1">
        <v>45839</v>
      </c>
      <c r="M22" s="1">
        <v>45869</v>
      </c>
      <c r="N22" t="s">
        <v>27</v>
      </c>
      <c r="O22" t="s">
        <v>28</v>
      </c>
      <c r="Q22" t="s">
        <v>29</v>
      </c>
      <c r="R22" s="4" t="s">
        <v>59</v>
      </c>
      <c r="S22" s="4" t="s">
        <v>59</v>
      </c>
      <c r="T22" s="5">
        <v>19.3</v>
      </c>
    </row>
    <row r="23" spans="1:20" x14ac:dyDescent="0.3">
      <c r="A23">
        <v>37395</v>
      </c>
      <c r="B23" t="s">
        <v>21</v>
      </c>
      <c r="C23" s="3" t="s">
        <v>60</v>
      </c>
      <c r="D23" t="s">
        <v>61</v>
      </c>
      <c r="E23">
        <v>7868</v>
      </c>
      <c r="F23" t="s">
        <v>24</v>
      </c>
      <c r="H23" s="3" t="s">
        <v>62</v>
      </c>
      <c r="I23" s="3" t="s">
        <v>62</v>
      </c>
      <c r="J23" t="s">
        <v>21</v>
      </c>
      <c r="K23" t="s">
        <v>26</v>
      </c>
      <c r="L23" s="1">
        <v>45839</v>
      </c>
      <c r="M23" s="1">
        <v>45869</v>
      </c>
      <c r="N23" t="s">
        <v>27</v>
      </c>
      <c r="O23" t="s">
        <v>28</v>
      </c>
      <c r="Q23" t="s">
        <v>29</v>
      </c>
      <c r="R23" s="4" t="s">
        <v>63</v>
      </c>
      <c r="S23" s="4" t="s">
        <v>63</v>
      </c>
      <c r="T23" s="6">
        <v>0.9</v>
      </c>
    </row>
    <row r="24" spans="1:20" x14ac:dyDescent="0.3">
      <c r="A24">
        <v>37395</v>
      </c>
      <c r="B24" t="s">
        <v>21</v>
      </c>
      <c r="C24" s="3" t="s">
        <v>60</v>
      </c>
      <c r="D24" t="s">
        <v>61</v>
      </c>
      <c r="E24">
        <v>7868</v>
      </c>
      <c r="F24" t="s">
        <v>24</v>
      </c>
      <c r="H24" s="3" t="s">
        <v>62</v>
      </c>
      <c r="I24" s="3" t="s">
        <v>62</v>
      </c>
      <c r="J24" t="s">
        <v>21</v>
      </c>
      <c r="K24" t="s">
        <v>26</v>
      </c>
      <c r="L24" s="1">
        <v>45839</v>
      </c>
      <c r="M24" s="1">
        <v>45869</v>
      </c>
      <c r="N24" t="s">
        <v>27</v>
      </c>
      <c r="O24" t="s">
        <v>28</v>
      </c>
      <c r="Q24" t="s">
        <v>29</v>
      </c>
      <c r="R24" s="4" t="s">
        <v>64</v>
      </c>
      <c r="S24" s="4" t="s">
        <v>64</v>
      </c>
      <c r="T24" s="5">
        <v>47.5</v>
      </c>
    </row>
    <row r="25" spans="1:20" x14ac:dyDescent="0.3">
      <c r="A25">
        <v>37395</v>
      </c>
      <c r="B25" t="s">
        <v>21</v>
      </c>
      <c r="C25" s="3" t="s">
        <v>60</v>
      </c>
      <c r="D25" t="s">
        <v>61</v>
      </c>
      <c r="E25">
        <v>7868</v>
      </c>
      <c r="F25" t="s">
        <v>24</v>
      </c>
      <c r="H25" s="3" t="s">
        <v>62</v>
      </c>
      <c r="I25" s="3" t="s">
        <v>62</v>
      </c>
      <c r="J25" t="s">
        <v>21</v>
      </c>
      <c r="K25" t="s">
        <v>26</v>
      </c>
      <c r="L25" s="1">
        <v>45839</v>
      </c>
      <c r="M25" s="1">
        <v>45869</v>
      </c>
      <c r="N25" t="s">
        <v>27</v>
      </c>
      <c r="O25" t="s">
        <v>28</v>
      </c>
      <c r="Q25" t="s">
        <v>29</v>
      </c>
      <c r="R25" s="4" t="s">
        <v>65</v>
      </c>
      <c r="S25" s="4" t="s">
        <v>65</v>
      </c>
      <c r="T25" s="6">
        <v>13.6</v>
      </c>
    </row>
    <row r="26" spans="1:20" x14ac:dyDescent="0.3">
      <c r="A26">
        <v>37395</v>
      </c>
      <c r="B26" t="s">
        <v>21</v>
      </c>
      <c r="C26" s="3" t="s">
        <v>66</v>
      </c>
      <c r="D26" t="s">
        <v>67</v>
      </c>
      <c r="E26">
        <v>7868</v>
      </c>
      <c r="F26" t="s">
        <v>24</v>
      </c>
      <c r="H26" s="3" t="s">
        <v>68</v>
      </c>
      <c r="I26" s="3" t="s">
        <v>68</v>
      </c>
      <c r="J26" t="s">
        <v>21</v>
      </c>
      <c r="K26" t="s">
        <v>26</v>
      </c>
      <c r="L26" s="1">
        <v>45839</v>
      </c>
      <c r="M26" s="1">
        <v>45869</v>
      </c>
      <c r="N26" t="s">
        <v>27</v>
      </c>
      <c r="O26" t="s">
        <v>28</v>
      </c>
      <c r="Q26" t="s">
        <v>29</v>
      </c>
      <c r="R26" s="4" t="s">
        <v>69</v>
      </c>
      <c r="S26" s="4" t="s">
        <v>69</v>
      </c>
      <c r="T26" s="5">
        <v>34.200000000000003</v>
      </c>
    </row>
    <row r="27" spans="1:20" x14ac:dyDescent="0.3">
      <c r="A27">
        <v>37395</v>
      </c>
      <c r="B27" t="s">
        <v>21</v>
      </c>
      <c r="C27" s="3" t="s">
        <v>66</v>
      </c>
      <c r="D27" t="s">
        <v>67</v>
      </c>
      <c r="E27">
        <v>7868</v>
      </c>
      <c r="F27" t="s">
        <v>24</v>
      </c>
      <c r="H27" s="3" t="s">
        <v>68</v>
      </c>
      <c r="I27" s="3" t="s">
        <v>68</v>
      </c>
      <c r="J27" t="s">
        <v>21</v>
      </c>
      <c r="K27" t="s">
        <v>26</v>
      </c>
      <c r="L27" s="1">
        <v>45839</v>
      </c>
      <c r="M27" s="1">
        <v>45869</v>
      </c>
      <c r="N27" t="s">
        <v>27</v>
      </c>
      <c r="O27" t="s">
        <v>28</v>
      </c>
      <c r="Q27" t="s">
        <v>29</v>
      </c>
      <c r="R27" s="4" t="s">
        <v>70</v>
      </c>
      <c r="S27" s="4" t="s">
        <v>70</v>
      </c>
      <c r="T27" s="6">
        <v>12.6</v>
      </c>
    </row>
    <row r="28" spans="1:20" x14ac:dyDescent="0.3">
      <c r="A28">
        <v>37395</v>
      </c>
      <c r="B28" t="s">
        <v>21</v>
      </c>
      <c r="C28" s="3" t="s">
        <v>71</v>
      </c>
      <c r="D28" t="s">
        <v>72</v>
      </c>
      <c r="E28">
        <v>7868</v>
      </c>
      <c r="F28" t="s">
        <v>24</v>
      </c>
      <c r="H28" s="3" t="s">
        <v>73</v>
      </c>
      <c r="I28" s="3" t="s">
        <v>73</v>
      </c>
      <c r="J28" t="s">
        <v>21</v>
      </c>
      <c r="K28" t="s">
        <v>26</v>
      </c>
      <c r="L28" s="1">
        <v>45839</v>
      </c>
      <c r="M28" s="1">
        <v>45869</v>
      </c>
      <c r="N28" t="s">
        <v>27</v>
      </c>
      <c r="O28" t="s">
        <v>28</v>
      </c>
      <c r="Q28" t="s">
        <v>29</v>
      </c>
      <c r="R28" s="4" t="s">
        <v>74</v>
      </c>
      <c r="S28" s="4" t="s">
        <v>74</v>
      </c>
      <c r="T28" s="5">
        <v>14.2</v>
      </c>
    </row>
    <row r="29" spans="1:20" x14ac:dyDescent="0.3">
      <c r="A29">
        <v>37395</v>
      </c>
      <c r="B29" t="s">
        <v>21</v>
      </c>
      <c r="C29" s="3" t="s">
        <v>71</v>
      </c>
      <c r="D29" t="s">
        <v>72</v>
      </c>
      <c r="E29">
        <v>7868</v>
      </c>
      <c r="F29" t="s">
        <v>24</v>
      </c>
      <c r="H29" s="3" t="s">
        <v>73</v>
      </c>
      <c r="I29" s="3" t="s">
        <v>73</v>
      </c>
      <c r="J29" t="s">
        <v>21</v>
      </c>
      <c r="K29" t="s">
        <v>26</v>
      </c>
      <c r="L29" s="1">
        <v>45839</v>
      </c>
      <c r="M29" s="1">
        <v>45869</v>
      </c>
      <c r="N29" t="s">
        <v>27</v>
      </c>
      <c r="O29" t="s">
        <v>28</v>
      </c>
      <c r="Q29" t="s">
        <v>29</v>
      </c>
      <c r="R29" s="4" t="s">
        <v>75</v>
      </c>
      <c r="S29" s="4" t="s">
        <v>75</v>
      </c>
      <c r="T29" s="6">
        <v>10.6</v>
      </c>
    </row>
    <row r="30" spans="1:20" x14ac:dyDescent="0.3">
      <c r="A30">
        <v>37395</v>
      </c>
      <c r="B30" t="s">
        <v>21</v>
      </c>
      <c r="C30" s="3" t="s">
        <v>76</v>
      </c>
      <c r="D30" t="s">
        <v>77</v>
      </c>
      <c r="E30">
        <v>7868</v>
      </c>
      <c r="F30" t="s">
        <v>24</v>
      </c>
      <c r="H30" s="3" t="s">
        <v>78</v>
      </c>
      <c r="I30" s="3" t="s">
        <v>78</v>
      </c>
      <c r="J30" t="s">
        <v>21</v>
      </c>
      <c r="K30" t="s">
        <v>26</v>
      </c>
      <c r="L30" s="1">
        <v>45839</v>
      </c>
      <c r="M30" s="1">
        <v>45869</v>
      </c>
      <c r="N30" t="s">
        <v>27</v>
      </c>
      <c r="O30" t="s">
        <v>28</v>
      </c>
      <c r="Q30" t="s">
        <v>29</v>
      </c>
      <c r="R30" s="4" t="s">
        <v>79</v>
      </c>
      <c r="S30" s="4" t="s">
        <v>79</v>
      </c>
      <c r="T30" s="5">
        <v>17.600000000000001</v>
      </c>
    </row>
    <row r="31" spans="1:20" x14ac:dyDescent="0.3">
      <c r="A31">
        <v>37395</v>
      </c>
      <c r="B31" t="s">
        <v>21</v>
      </c>
      <c r="C31" s="3" t="s">
        <v>80</v>
      </c>
      <c r="D31" t="s">
        <v>81</v>
      </c>
      <c r="E31">
        <v>7868</v>
      </c>
      <c r="F31" t="s">
        <v>24</v>
      </c>
      <c r="H31" s="3" t="s">
        <v>82</v>
      </c>
      <c r="I31" s="3" t="s">
        <v>82</v>
      </c>
      <c r="J31" t="s">
        <v>21</v>
      </c>
      <c r="K31" t="s">
        <v>26</v>
      </c>
      <c r="L31" s="1">
        <v>45839</v>
      </c>
      <c r="M31" s="1">
        <v>45869</v>
      </c>
      <c r="N31" t="s">
        <v>27</v>
      </c>
      <c r="O31" t="s">
        <v>28</v>
      </c>
      <c r="Q31" t="s">
        <v>29</v>
      </c>
      <c r="R31" s="4" t="s">
        <v>83</v>
      </c>
      <c r="S31" s="4" t="s">
        <v>83</v>
      </c>
      <c r="T31" s="6">
        <v>0.3</v>
      </c>
    </row>
    <row r="32" spans="1:20" x14ac:dyDescent="0.3">
      <c r="A32">
        <v>37395</v>
      </c>
      <c r="B32" t="s">
        <v>21</v>
      </c>
      <c r="C32" s="3" t="s">
        <v>80</v>
      </c>
      <c r="D32" t="s">
        <v>81</v>
      </c>
      <c r="E32">
        <v>7868</v>
      </c>
      <c r="F32" t="s">
        <v>24</v>
      </c>
      <c r="H32" s="3" t="s">
        <v>82</v>
      </c>
      <c r="I32" s="3" t="s">
        <v>82</v>
      </c>
      <c r="J32" t="s">
        <v>21</v>
      </c>
      <c r="K32" t="s">
        <v>26</v>
      </c>
      <c r="L32" s="1">
        <v>45839</v>
      </c>
      <c r="M32" s="1">
        <v>45869</v>
      </c>
      <c r="N32" t="s">
        <v>27</v>
      </c>
      <c r="O32" t="s">
        <v>28</v>
      </c>
      <c r="Q32" t="s">
        <v>29</v>
      </c>
      <c r="R32" s="4" t="s">
        <v>84</v>
      </c>
      <c r="S32" s="4" t="s">
        <v>84</v>
      </c>
      <c r="T32" s="5">
        <v>3.5</v>
      </c>
    </row>
    <row r="33" spans="1:20" x14ac:dyDescent="0.3">
      <c r="A33">
        <v>37395</v>
      </c>
      <c r="B33" t="s">
        <v>21</v>
      </c>
      <c r="C33" s="3" t="s">
        <v>80</v>
      </c>
      <c r="D33" t="s">
        <v>81</v>
      </c>
      <c r="E33">
        <v>7868</v>
      </c>
      <c r="F33" t="s">
        <v>24</v>
      </c>
      <c r="H33" s="3" t="s">
        <v>82</v>
      </c>
      <c r="I33" s="3" t="s">
        <v>82</v>
      </c>
      <c r="J33" t="s">
        <v>21</v>
      </c>
      <c r="K33" t="s">
        <v>26</v>
      </c>
      <c r="L33" s="1">
        <v>45839</v>
      </c>
      <c r="M33" s="1">
        <v>45869</v>
      </c>
      <c r="N33" t="s">
        <v>27</v>
      </c>
      <c r="O33" t="s">
        <v>28</v>
      </c>
      <c r="Q33" t="s">
        <v>29</v>
      </c>
      <c r="R33" s="4" t="s">
        <v>85</v>
      </c>
      <c r="S33" s="4" t="s">
        <v>85</v>
      </c>
      <c r="T33" s="6">
        <v>3.3</v>
      </c>
    </row>
    <row r="34" spans="1:20" x14ac:dyDescent="0.3">
      <c r="A34">
        <v>37395</v>
      </c>
      <c r="B34" t="s">
        <v>21</v>
      </c>
      <c r="C34" s="3" t="s">
        <v>80</v>
      </c>
      <c r="D34" t="s">
        <v>81</v>
      </c>
      <c r="E34">
        <v>7868</v>
      </c>
      <c r="F34" t="s">
        <v>24</v>
      </c>
      <c r="H34" s="3" t="s">
        <v>82</v>
      </c>
      <c r="I34" s="3" t="s">
        <v>82</v>
      </c>
      <c r="J34" t="s">
        <v>21</v>
      </c>
      <c r="K34" t="s">
        <v>26</v>
      </c>
      <c r="L34" s="1">
        <v>45839</v>
      </c>
      <c r="M34" s="1">
        <v>45869</v>
      </c>
      <c r="N34" t="s">
        <v>27</v>
      </c>
      <c r="O34" t="s">
        <v>28</v>
      </c>
      <c r="Q34" t="s">
        <v>29</v>
      </c>
      <c r="R34" s="4" t="s">
        <v>86</v>
      </c>
      <c r="S34" s="4" t="s">
        <v>86</v>
      </c>
      <c r="T34" s="5">
        <v>0</v>
      </c>
    </row>
    <row r="35" spans="1:20" x14ac:dyDescent="0.3">
      <c r="A35">
        <v>37395</v>
      </c>
      <c r="B35" t="s">
        <v>21</v>
      </c>
      <c r="C35" s="3" t="s">
        <v>87</v>
      </c>
      <c r="D35" t="s">
        <v>88</v>
      </c>
      <c r="E35">
        <v>7868</v>
      </c>
      <c r="F35" t="s">
        <v>24</v>
      </c>
      <c r="H35" s="3" t="s">
        <v>89</v>
      </c>
      <c r="I35" s="3" t="s">
        <v>89</v>
      </c>
      <c r="J35" t="s">
        <v>21</v>
      </c>
      <c r="K35" t="s">
        <v>26</v>
      </c>
      <c r="L35" s="1">
        <v>45839</v>
      </c>
      <c r="M35" s="1">
        <v>45869</v>
      </c>
      <c r="N35" t="s">
        <v>27</v>
      </c>
      <c r="O35" t="s">
        <v>28</v>
      </c>
      <c r="Q35" t="s">
        <v>29</v>
      </c>
      <c r="R35" s="4" t="s">
        <v>90</v>
      </c>
      <c r="S35" s="4" t="s">
        <v>90</v>
      </c>
      <c r="T35" s="6">
        <v>0</v>
      </c>
    </row>
    <row r="36" spans="1:20" x14ac:dyDescent="0.3">
      <c r="A36">
        <v>37395</v>
      </c>
      <c r="B36" t="s">
        <v>21</v>
      </c>
      <c r="C36" s="3" t="s">
        <v>87</v>
      </c>
      <c r="D36" t="s">
        <v>88</v>
      </c>
      <c r="E36">
        <v>7868</v>
      </c>
      <c r="F36" t="s">
        <v>24</v>
      </c>
      <c r="H36" s="3" t="s">
        <v>89</v>
      </c>
      <c r="I36" s="3" t="s">
        <v>89</v>
      </c>
      <c r="J36" t="s">
        <v>21</v>
      </c>
      <c r="K36" t="s">
        <v>26</v>
      </c>
      <c r="L36" s="1">
        <v>45839</v>
      </c>
      <c r="M36" s="1">
        <v>45869</v>
      </c>
      <c r="N36" t="s">
        <v>27</v>
      </c>
      <c r="O36" t="s">
        <v>28</v>
      </c>
      <c r="Q36" t="s">
        <v>29</v>
      </c>
      <c r="R36" s="4" t="s">
        <v>91</v>
      </c>
      <c r="S36" s="4" t="s">
        <v>91</v>
      </c>
      <c r="T36" s="5">
        <v>0</v>
      </c>
    </row>
    <row r="37" spans="1:20" x14ac:dyDescent="0.3">
      <c r="A37">
        <v>37395</v>
      </c>
      <c r="B37" t="s">
        <v>21</v>
      </c>
      <c r="C37" s="3" t="s">
        <v>87</v>
      </c>
      <c r="D37" t="s">
        <v>88</v>
      </c>
      <c r="E37">
        <v>7868</v>
      </c>
      <c r="F37" t="s">
        <v>24</v>
      </c>
      <c r="H37" s="3" t="s">
        <v>89</v>
      </c>
      <c r="I37" s="3" t="s">
        <v>89</v>
      </c>
      <c r="J37" t="s">
        <v>21</v>
      </c>
      <c r="K37" t="s">
        <v>26</v>
      </c>
      <c r="L37" s="1">
        <v>45839</v>
      </c>
      <c r="M37" s="1">
        <v>45869</v>
      </c>
      <c r="N37" t="s">
        <v>27</v>
      </c>
      <c r="O37" t="s">
        <v>28</v>
      </c>
      <c r="Q37" t="s">
        <v>29</v>
      </c>
      <c r="R37" s="4" t="s">
        <v>92</v>
      </c>
      <c r="S37" s="4" t="s">
        <v>92</v>
      </c>
      <c r="T37" s="6">
        <v>0.5</v>
      </c>
    </row>
    <row r="38" spans="1:20" x14ac:dyDescent="0.3">
      <c r="A38">
        <v>37395</v>
      </c>
      <c r="B38" t="s">
        <v>21</v>
      </c>
      <c r="C38" s="3" t="s">
        <v>93</v>
      </c>
      <c r="D38" t="s">
        <v>94</v>
      </c>
      <c r="E38">
        <v>7868</v>
      </c>
      <c r="F38" t="s">
        <v>24</v>
      </c>
      <c r="H38" s="3" t="s">
        <v>95</v>
      </c>
      <c r="I38" s="3" t="s">
        <v>95</v>
      </c>
      <c r="J38" t="s">
        <v>21</v>
      </c>
      <c r="K38" t="s">
        <v>26</v>
      </c>
      <c r="L38" s="1">
        <v>45839</v>
      </c>
      <c r="M38" s="1">
        <v>45869</v>
      </c>
      <c r="N38" t="s">
        <v>27</v>
      </c>
      <c r="O38" t="s">
        <v>28</v>
      </c>
      <c r="Q38" t="s">
        <v>29</v>
      </c>
      <c r="R38" s="4" t="s">
        <v>96</v>
      </c>
      <c r="S38" s="4" t="s">
        <v>96</v>
      </c>
      <c r="T38" s="5">
        <v>0</v>
      </c>
    </row>
    <row r="39" spans="1:20" x14ac:dyDescent="0.3">
      <c r="A39">
        <v>37395</v>
      </c>
      <c r="B39" t="s">
        <v>21</v>
      </c>
      <c r="C39" s="3" t="s">
        <v>97</v>
      </c>
      <c r="D39" t="s">
        <v>98</v>
      </c>
      <c r="E39">
        <v>7868</v>
      </c>
      <c r="F39" t="s">
        <v>24</v>
      </c>
      <c r="H39" s="3" t="s">
        <v>99</v>
      </c>
      <c r="I39" s="3" t="s">
        <v>99</v>
      </c>
      <c r="J39" t="s">
        <v>21</v>
      </c>
      <c r="K39" t="s">
        <v>26</v>
      </c>
      <c r="L39" s="1">
        <v>45839</v>
      </c>
      <c r="M39" s="1">
        <v>45869</v>
      </c>
      <c r="N39" t="s">
        <v>27</v>
      </c>
      <c r="O39" t="s">
        <v>28</v>
      </c>
      <c r="Q39" t="s">
        <v>29</v>
      </c>
      <c r="R39" s="4" t="s">
        <v>100</v>
      </c>
      <c r="S39" s="4" t="s">
        <v>100</v>
      </c>
      <c r="T39" s="6">
        <v>0</v>
      </c>
    </row>
    <row r="40" spans="1:20" x14ac:dyDescent="0.3">
      <c r="A40">
        <v>37395</v>
      </c>
      <c r="B40" t="s">
        <v>21</v>
      </c>
      <c r="C40" s="3" t="s">
        <v>97</v>
      </c>
      <c r="D40" t="s">
        <v>98</v>
      </c>
      <c r="E40">
        <v>7868</v>
      </c>
      <c r="F40" t="s">
        <v>24</v>
      </c>
      <c r="H40" s="3" t="s">
        <v>99</v>
      </c>
      <c r="I40" s="3" t="s">
        <v>99</v>
      </c>
      <c r="J40" t="s">
        <v>21</v>
      </c>
      <c r="K40" t="s">
        <v>26</v>
      </c>
      <c r="L40" s="1">
        <v>45839</v>
      </c>
      <c r="M40" s="1">
        <v>45869</v>
      </c>
      <c r="N40" t="s">
        <v>27</v>
      </c>
      <c r="O40" t="s">
        <v>28</v>
      </c>
      <c r="Q40" t="s">
        <v>29</v>
      </c>
      <c r="R40" s="4" t="s">
        <v>101</v>
      </c>
      <c r="S40" s="4" t="s">
        <v>101</v>
      </c>
      <c r="T40" s="5">
        <v>23.6</v>
      </c>
    </row>
    <row r="41" spans="1:20" x14ac:dyDescent="0.3">
      <c r="A41">
        <v>37395</v>
      </c>
      <c r="B41" t="s">
        <v>21</v>
      </c>
      <c r="C41" s="3" t="s">
        <v>102</v>
      </c>
      <c r="D41" t="s">
        <v>103</v>
      </c>
      <c r="E41">
        <v>7868</v>
      </c>
      <c r="F41" t="s">
        <v>24</v>
      </c>
      <c r="H41" s="3" t="s">
        <v>104</v>
      </c>
      <c r="I41" s="3" t="s">
        <v>104</v>
      </c>
      <c r="J41" t="s">
        <v>21</v>
      </c>
      <c r="K41" t="s">
        <v>26</v>
      </c>
      <c r="L41" s="1">
        <v>45839</v>
      </c>
      <c r="M41" s="1">
        <v>45869</v>
      </c>
      <c r="N41" t="s">
        <v>27</v>
      </c>
      <c r="O41" t="s">
        <v>28</v>
      </c>
      <c r="Q41" t="s">
        <v>29</v>
      </c>
      <c r="R41" s="4" t="s">
        <v>105</v>
      </c>
      <c r="S41" s="4" t="s">
        <v>105</v>
      </c>
      <c r="T41" s="6">
        <v>0</v>
      </c>
    </row>
    <row r="42" spans="1:20" x14ac:dyDescent="0.3">
      <c r="A42">
        <v>37395</v>
      </c>
      <c r="B42" t="s">
        <v>21</v>
      </c>
      <c r="C42" s="3" t="s">
        <v>106</v>
      </c>
      <c r="D42" t="s">
        <v>107</v>
      </c>
      <c r="E42">
        <v>7868</v>
      </c>
      <c r="F42" t="s">
        <v>24</v>
      </c>
      <c r="H42" s="3" t="s">
        <v>108</v>
      </c>
      <c r="I42" s="3" t="s">
        <v>108</v>
      </c>
      <c r="J42" t="s">
        <v>21</v>
      </c>
      <c r="K42" t="s">
        <v>26</v>
      </c>
      <c r="L42" s="1">
        <v>45839</v>
      </c>
      <c r="M42" s="1">
        <v>45869</v>
      </c>
      <c r="N42" t="s">
        <v>27</v>
      </c>
      <c r="O42" t="s">
        <v>28</v>
      </c>
      <c r="Q42" t="s">
        <v>29</v>
      </c>
      <c r="R42" s="4" t="s">
        <v>109</v>
      </c>
      <c r="S42" s="4" t="s">
        <v>109</v>
      </c>
      <c r="T42" s="5">
        <v>36.5</v>
      </c>
    </row>
    <row r="43" spans="1:20" x14ac:dyDescent="0.3">
      <c r="A43">
        <v>37395</v>
      </c>
      <c r="B43" t="s">
        <v>21</v>
      </c>
      <c r="C43" s="3" t="s">
        <v>106</v>
      </c>
      <c r="D43" t="s">
        <v>107</v>
      </c>
      <c r="E43">
        <v>7868</v>
      </c>
      <c r="F43" t="s">
        <v>24</v>
      </c>
      <c r="H43" s="3" t="s">
        <v>108</v>
      </c>
      <c r="I43" s="3" t="s">
        <v>108</v>
      </c>
      <c r="J43" t="s">
        <v>21</v>
      </c>
      <c r="K43" t="s">
        <v>26</v>
      </c>
      <c r="L43" s="1">
        <v>45839</v>
      </c>
      <c r="M43" s="1">
        <v>45869</v>
      </c>
      <c r="N43" t="s">
        <v>27</v>
      </c>
      <c r="O43" t="s">
        <v>28</v>
      </c>
      <c r="Q43" t="s">
        <v>29</v>
      </c>
      <c r="R43" s="4" t="s">
        <v>110</v>
      </c>
      <c r="S43" s="4" t="s">
        <v>110</v>
      </c>
      <c r="T43" s="6">
        <v>2.6</v>
      </c>
    </row>
    <row r="44" spans="1:20" x14ac:dyDescent="0.3">
      <c r="A44">
        <v>37395</v>
      </c>
      <c r="B44" t="s">
        <v>21</v>
      </c>
      <c r="C44" s="3" t="s">
        <v>106</v>
      </c>
      <c r="D44" t="s">
        <v>107</v>
      </c>
      <c r="E44">
        <v>7868</v>
      </c>
      <c r="F44" t="s">
        <v>24</v>
      </c>
      <c r="H44" s="3" t="s">
        <v>108</v>
      </c>
      <c r="I44" s="3" t="s">
        <v>108</v>
      </c>
      <c r="J44" t="s">
        <v>21</v>
      </c>
      <c r="K44" t="s">
        <v>26</v>
      </c>
      <c r="L44" s="1">
        <v>45839</v>
      </c>
      <c r="M44" s="1">
        <v>45869</v>
      </c>
      <c r="N44" t="s">
        <v>27</v>
      </c>
      <c r="O44" t="s">
        <v>28</v>
      </c>
      <c r="Q44" t="s">
        <v>29</v>
      </c>
      <c r="R44" s="4" t="s">
        <v>111</v>
      </c>
      <c r="S44" s="4" t="s">
        <v>111</v>
      </c>
      <c r="T44" s="5">
        <v>2.9</v>
      </c>
    </row>
    <row r="45" spans="1:20" x14ac:dyDescent="0.3">
      <c r="A45">
        <v>37395</v>
      </c>
      <c r="B45" t="s">
        <v>21</v>
      </c>
      <c r="C45" s="3" t="s">
        <v>106</v>
      </c>
      <c r="D45" t="s">
        <v>107</v>
      </c>
      <c r="E45">
        <v>7868</v>
      </c>
      <c r="F45" t="s">
        <v>24</v>
      </c>
      <c r="H45" s="3" t="s">
        <v>108</v>
      </c>
      <c r="I45" s="3" t="s">
        <v>108</v>
      </c>
      <c r="J45" t="s">
        <v>21</v>
      </c>
      <c r="K45" t="s">
        <v>26</v>
      </c>
      <c r="L45" s="1">
        <v>45839</v>
      </c>
      <c r="M45" s="1">
        <v>45869</v>
      </c>
      <c r="N45" t="s">
        <v>27</v>
      </c>
      <c r="O45" t="s">
        <v>28</v>
      </c>
      <c r="Q45" t="s">
        <v>29</v>
      </c>
      <c r="R45" s="4" t="s">
        <v>112</v>
      </c>
      <c r="S45" s="4" t="s">
        <v>112</v>
      </c>
      <c r="T45" s="6">
        <v>0.8</v>
      </c>
    </row>
    <row r="46" spans="1:20" x14ac:dyDescent="0.3">
      <c r="A46">
        <v>37395</v>
      </c>
      <c r="B46" t="s">
        <v>21</v>
      </c>
      <c r="C46" s="3" t="s">
        <v>106</v>
      </c>
      <c r="D46" t="s">
        <v>107</v>
      </c>
      <c r="E46">
        <v>7868</v>
      </c>
      <c r="F46" t="s">
        <v>24</v>
      </c>
      <c r="H46" s="3" t="s">
        <v>108</v>
      </c>
      <c r="I46" s="3" t="s">
        <v>108</v>
      </c>
      <c r="J46" t="s">
        <v>21</v>
      </c>
      <c r="K46" t="s">
        <v>26</v>
      </c>
      <c r="L46" s="1">
        <v>45839</v>
      </c>
      <c r="M46" s="1">
        <v>45869</v>
      </c>
      <c r="N46" t="s">
        <v>27</v>
      </c>
      <c r="O46" t="s">
        <v>28</v>
      </c>
      <c r="Q46" t="s">
        <v>29</v>
      </c>
      <c r="R46" s="4" t="s">
        <v>113</v>
      </c>
      <c r="S46" s="4" t="s">
        <v>113</v>
      </c>
      <c r="T46" s="5">
        <v>0</v>
      </c>
    </row>
    <row r="47" spans="1:20" x14ac:dyDescent="0.3">
      <c r="A47">
        <v>37395</v>
      </c>
      <c r="B47" t="s">
        <v>21</v>
      </c>
      <c r="C47" s="3" t="s">
        <v>106</v>
      </c>
      <c r="D47" t="s">
        <v>107</v>
      </c>
      <c r="E47">
        <v>7868</v>
      </c>
      <c r="F47" t="s">
        <v>24</v>
      </c>
      <c r="H47" s="3" t="s">
        <v>108</v>
      </c>
      <c r="I47" s="3" t="s">
        <v>108</v>
      </c>
      <c r="J47" t="s">
        <v>21</v>
      </c>
      <c r="K47" t="s">
        <v>26</v>
      </c>
      <c r="L47" s="1">
        <v>45839</v>
      </c>
      <c r="M47" s="1">
        <v>45869</v>
      </c>
      <c r="N47" t="s">
        <v>27</v>
      </c>
      <c r="O47" t="s">
        <v>28</v>
      </c>
      <c r="Q47" t="s">
        <v>29</v>
      </c>
      <c r="R47" s="4" t="s">
        <v>114</v>
      </c>
      <c r="S47" s="4" t="s">
        <v>114</v>
      </c>
      <c r="T47" s="6">
        <v>3.2</v>
      </c>
    </row>
    <row r="48" spans="1:20" x14ac:dyDescent="0.3">
      <c r="A48">
        <v>37395</v>
      </c>
      <c r="B48" t="s">
        <v>21</v>
      </c>
      <c r="C48" s="3" t="s">
        <v>106</v>
      </c>
      <c r="D48" t="s">
        <v>107</v>
      </c>
      <c r="E48">
        <v>7868</v>
      </c>
      <c r="F48" t="s">
        <v>24</v>
      </c>
      <c r="H48" s="3" t="s">
        <v>108</v>
      </c>
      <c r="I48" s="3" t="s">
        <v>108</v>
      </c>
      <c r="J48" t="s">
        <v>21</v>
      </c>
      <c r="K48" t="s">
        <v>26</v>
      </c>
      <c r="L48" s="1">
        <v>45839</v>
      </c>
      <c r="M48" s="1">
        <v>45869</v>
      </c>
      <c r="N48" t="s">
        <v>27</v>
      </c>
      <c r="O48" t="s">
        <v>28</v>
      </c>
      <c r="Q48" t="s">
        <v>29</v>
      </c>
      <c r="R48" s="4" t="s">
        <v>115</v>
      </c>
      <c r="S48" s="4" t="s">
        <v>115</v>
      </c>
      <c r="T48" s="5">
        <v>0.1</v>
      </c>
    </row>
    <row r="49" spans="1:20" x14ac:dyDescent="0.3">
      <c r="A49">
        <v>37395</v>
      </c>
      <c r="B49" t="s">
        <v>21</v>
      </c>
      <c r="C49" s="3" t="s">
        <v>116</v>
      </c>
      <c r="D49" t="s">
        <v>117</v>
      </c>
      <c r="E49">
        <v>7868</v>
      </c>
      <c r="F49" t="s">
        <v>24</v>
      </c>
      <c r="H49" s="3" t="s">
        <v>118</v>
      </c>
      <c r="I49" s="3" t="s">
        <v>118</v>
      </c>
      <c r="J49" t="s">
        <v>21</v>
      </c>
      <c r="K49" t="s">
        <v>26</v>
      </c>
      <c r="L49" s="1">
        <v>45839</v>
      </c>
      <c r="M49" s="1">
        <v>45869</v>
      </c>
      <c r="N49" t="s">
        <v>27</v>
      </c>
      <c r="O49" t="s">
        <v>28</v>
      </c>
      <c r="Q49" t="s">
        <v>29</v>
      </c>
      <c r="R49" s="4" t="s">
        <v>119</v>
      </c>
      <c r="S49" s="4" t="s">
        <v>119</v>
      </c>
      <c r="T49" s="6">
        <v>1.5</v>
      </c>
    </row>
    <row r="50" spans="1:20" x14ac:dyDescent="0.3">
      <c r="A50">
        <v>37395</v>
      </c>
      <c r="B50" t="s">
        <v>21</v>
      </c>
      <c r="C50" s="3" t="s">
        <v>116</v>
      </c>
      <c r="D50" t="s">
        <v>117</v>
      </c>
      <c r="E50">
        <v>7868</v>
      </c>
      <c r="F50" t="s">
        <v>24</v>
      </c>
      <c r="H50" s="3" t="s">
        <v>118</v>
      </c>
      <c r="I50" s="3" t="s">
        <v>118</v>
      </c>
      <c r="J50" t="s">
        <v>21</v>
      </c>
      <c r="K50" t="s">
        <v>26</v>
      </c>
      <c r="L50" s="1">
        <v>45839</v>
      </c>
      <c r="M50" s="1">
        <v>45869</v>
      </c>
      <c r="N50" t="s">
        <v>27</v>
      </c>
      <c r="O50" t="s">
        <v>28</v>
      </c>
      <c r="Q50" t="s">
        <v>29</v>
      </c>
      <c r="R50" s="4" t="s">
        <v>120</v>
      </c>
      <c r="S50" s="4" t="s">
        <v>120</v>
      </c>
      <c r="T50" s="5">
        <v>0.1</v>
      </c>
    </row>
    <row r="51" spans="1:20" x14ac:dyDescent="0.3">
      <c r="A51">
        <v>37395</v>
      </c>
      <c r="B51" t="s">
        <v>21</v>
      </c>
      <c r="C51" s="3" t="s">
        <v>116</v>
      </c>
      <c r="D51" t="s">
        <v>117</v>
      </c>
      <c r="E51">
        <v>7868</v>
      </c>
      <c r="F51" t="s">
        <v>24</v>
      </c>
      <c r="H51" s="3" t="s">
        <v>118</v>
      </c>
      <c r="I51" s="3" t="s">
        <v>118</v>
      </c>
      <c r="J51" t="s">
        <v>21</v>
      </c>
      <c r="K51" t="s">
        <v>26</v>
      </c>
      <c r="L51" s="1">
        <v>45839</v>
      </c>
      <c r="M51" s="1">
        <v>45869</v>
      </c>
      <c r="N51" t="s">
        <v>27</v>
      </c>
      <c r="O51" t="s">
        <v>28</v>
      </c>
      <c r="Q51" t="s">
        <v>29</v>
      </c>
      <c r="R51" s="4" t="s">
        <v>121</v>
      </c>
      <c r="S51" s="4" t="s">
        <v>121</v>
      </c>
      <c r="T51" s="6">
        <v>9.6999999999999993</v>
      </c>
    </row>
    <row r="52" spans="1:20" x14ac:dyDescent="0.3">
      <c r="A52">
        <v>37395</v>
      </c>
      <c r="B52" t="s">
        <v>21</v>
      </c>
      <c r="C52" s="3" t="s">
        <v>122</v>
      </c>
      <c r="D52" t="s">
        <v>123</v>
      </c>
      <c r="E52">
        <v>7868</v>
      </c>
      <c r="F52" t="s">
        <v>24</v>
      </c>
      <c r="H52" s="3" t="s">
        <v>124</v>
      </c>
      <c r="I52" s="3" t="s">
        <v>124</v>
      </c>
      <c r="J52" t="s">
        <v>21</v>
      </c>
      <c r="K52" t="s">
        <v>26</v>
      </c>
      <c r="L52" s="1">
        <v>45839</v>
      </c>
      <c r="M52" s="1">
        <v>45869</v>
      </c>
      <c r="N52" t="s">
        <v>27</v>
      </c>
      <c r="O52" t="s">
        <v>28</v>
      </c>
      <c r="Q52" t="s">
        <v>29</v>
      </c>
      <c r="R52" s="4" t="s">
        <v>125</v>
      </c>
      <c r="S52" s="4" t="s">
        <v>125</v>
      </c>
      <c r="T52" s="5">
        <v>24.1</v>
      </c>
    </row>
    <row r="53" spans="1:20" x14ac:dyDescent="0.3">
      <c r="A53">
        <v>37395</v>
      </c>
      <c r="B53" t="s">
        <v>21</v>
      </c>
      <c r="C53" s="3" t="s">
        <v>122</v>
      </c>
      <c r="D53" t="s">
        <v>123</v>
      </c>
      <c r="E53">
        <v>7868</v>
      </c>
      <c r="F53" t="s">
        <v>24</v>
      </c>
      <c r="H53" s="3" t="s">
        <v>124</v>
      </c>
      <c r="I53" s="3" t="s">
        <v>124</v>
      </c>
      <c r="J53" t="s">
        <v>21</v>
      </c>
      <c r="K53" t="s">
        <v>26</v>
      </c>
      <c r="L53" s="1">
        <v>45839</v>
      </c>
      <c r="M53" s="1">
        <v>45869</v>
      </c>
      <c r="N53" t="s">
        <v>27</v>
      </c>
      <c r="O53" t="s">
        <v>28</v>
      </c>
      <c r="Q53" t="s">
        <v>29</v>
      </c>
      <c r="R53" s="4" t="s">
        <v>126</v>
      </c>
      <c r="S53" s="4" t="s">
        <v>126</v>
      </c>
      <c r="T53" s="6">
        <v>2.9</v>
      </c>
    </row>
    <row r="54" spans="1:20" x14ac:dyDescent="0.3">
      <c r="A54">
        <v>37395</v>
      </c>
      <c r="B54" t="s">
        <v>21</v>
      </c>
      <c r="C54" s="3" t="s">
        <v>122</v>
      </c>
      <c r="D54" t="s">
        <v>123</v>
      </c>
      <c r="E54">
        <v>7868</v>
      </c>
      <c r="F54" t="s">
        <v>24</v>
      </c>
      <c r="H54" s="3" t="s">
        <v>124</v>
      </c>
      <c r="I54" s="3" t="s">
        <v>124</v>
      </c>
      <c r="J54" t="s">
        <v>21</v>
      </c>
      <c r="K54" t="s">
        <v>26</v>
      </c>
      <c r="L54" s="1">
        <v>45839</v>
      </c>
      <c r="M54" s="1">
        <v>45869</v>
      </c>
      <c r="N54" t="s">
        <v>27</v>
      </c>
      <c r="O54" t="s">
        <v>28</v>
      </c>
      <c r="Q54" t="s">
        <v>29</v>
      </c>
      <c r="R54" s="4" t="s">
        <v>127</v>
      </c>
      <c r="S54" s="4" t="s">
        <v>127</v>
      </c>
      <c r="T54" s="5">
        <v>0.1</v>
      </c>
    </row>
    <row r="55" spans="1:20" x14ac:dyDescent="0.3">
      <c r="A55">
        <v>37395</v>
      </c>
      <c r="B55" t="s">
        <v>21</v>
      </c>
      <c r="C55" s="3" t="s">
        <v>122</v>
      </c>
      <c r="D55" t="s">
        <v>123</v>
      </c>
      <c r="E55">
        <v>7868</v>
      </c>
      <c r="F55" t="s">
        <v>24</v>
      </c>
      <c r="H55" s="3" t="s">
        <v>124</v>
      </c>
      <c r="I55" s="3" t="s">
        <v>124</v>
      </c>
      <c r="J55" t="s">
        <v>21</v>
      </c>
      <c r="K55" t="s">
        <v>26</v>
      </c>
      <c r="L55" s="1">
        <v>45839</v>
      </c>
      <c r="M55" s="1">
        <v>45869</v>
      </c>
      <c r="N55" t="s">
        <v>27</v>
      </c>
      <c r="O55" t="s">
        <v>28</v>
      </c>
      <c r="Q55" t="s">
        <v>29</v>
      </c>
      <c r="R55" s="4" t="s">
        <v>128</v>
      </c>
      <c r="S55" s="4" t="s">
        <v>128</v>
      </c>
      <c r="T55" s="6">
        <v>27.7</v>
      </c>
    </row>
    <row r="56" spans="1:20" x14ac:dyDescent="0.3">
      <c r="A56">
        <v>37395</v>
      </c>
      <c r="B56" t="s">
        <v>21</v>
      </c>
      <c r="C56" s="3" t="s">
        <v>122</v>
      </c>
      <c r="D56" t="s">
        <v>123</v>
      </c>
      <c r="E56">
        <v>7868</v>
      </c>
      <c r="F56" t="s">
        <v>24</v>
      </c>
      <c r="H56" s="3" t="s">
        <v>124</v>
      </c>
      <c r="I56" s="3" t="s">
        <v>124</v>
      </c>
      <c r="J56" t="s">
        <v>21</v>
      </c>
      <c r="K56" t="s">
        <v>26</v>
      </c>
      <c r="L56" s="1">
        <v>45839</v>
      </c>
      <c r="M56" s="1">
        <v>45869</v>
      </c>
      <c r="N56" t="s">
        <v>27</v>
      </c>
      <c r="O56" t="s">
        <v>28</v>
      </c>
      <c r="Q56" t="s">
        <v>29</v>
      </c>
      <c r="R56" s="4" t="s">
        <v>129</v>
      </c>
      <c r="S56" s="4" t="s">
        <v>129</v>
      </c>
      <c r="T56" s="5">
        <v>10.1</v>
      </c>
    </row>
    <row r="57" spans="1:20" x14ac:dyDescent="0.3">
      <c r="A57">
        <v>37395</v>
      </c>
      <c r="B57" t="s">
        <v>21</v>
      </c>
      <c r="C57" s="3" t="s">
        <v>122</v>
      </c>
      <c r="D57" t="s">
        <v>123</v>
      </c>
      <c r="E57">
        <v>7868</v>
      </c>
      <c r="F57" t="s">
        <v>24</v>
      </c>
      <c r="H57" s="3" t="s">
        <v>124</v>
      </c>
      <c r="I57" s="3" t="s">
        <v>124</v>
      </c>
      <c r="J57" t="s">
        <v>21</v>
      </c>
      <c r="K57" t="s">
        <v>26</v>
      </c>
      <c r="L57" s="1">
        <v>45839</v>
      </c>
      <c r="M57" s="1">
        <v>45869</v>
      </c>
      <c r="N57" t="s">
        <v>27</v>
      </c>
      <c r="O57" t="s">
        <v>28</v>
      </c>
      <c r="Q57" t="s">
        <v>29</v>
      </c>
      <c r="R57" s="4" t="s">
        <v>130</v>
      </c>
      <c r="S57" s="4" t="s">
        <v>130</v>
      </c>
      <c r="T57" s="6">
        <v>0</v>
      </c>
    </row>
    <row r="58" spans="1:20" x14ac:dyDescent="0.3">
      <c r="A58">
        <v>37395</v>
      </c>
      <c r="B58" t="s">
        <v>21</v>
      </c>
      <c r="C58" s="3" t="s">
        <v>122</v>
      </c>
      <c r="D58" t="s">
        <v>123</v>
      </c>
      <c r="E58">
        <v>7868</v>
      </c>
      <c r="F58" t="s">
        <v>24</v>
      </c>
      <c r="H58" s="3" t="s">
        <v>124</v>
      </c>
      <c r="I58" s="3" t="s">
        <v>124</v>
      </c>
      <c r="J58" t="s">
        <v>21</v>
      </c>
      <c r="K58" t="s">
        <v>26</v>
      </c>
      <c r="L58" s="1">
        <v>45839</v>
      </c>
      <c r="M58" s="1">
        <v>45869</v>
      </c>
      <c r="N58" t="s">
        <v>27</v>
      </c>
      <c r="O58" t="s">
        <v>28</v>
      </c>
      <c r="Q58" t="s">
        <v>29</v>
      </c>
      <c r="R58" s="4" t="s">
        <v>131</v>
      </c>
      <c r="S58" s="4" t="s">
        <v>131</v>
      </c>
      <c r="T58" s="5">
        <v>9.4</v>
      </c>
    </row>
    <row r="59" spans="1:20" x14ac:dyDescent="0.3">
      <c r="A59">
        <v>37395</v>
      </c>
      <c r="B59" t="s">
        <v>21</v>
      </c>
      <c r="C59" s="3" t="s">
        <v>132</v>
      </c>
      <c r="D59" t="s">
        <v>133</v>
      </c>
      <c r="E59">
        <v>7868</v>
      </c>
      <c r="F59" t="s">
        <v>24</v>
      </c>
      <c r="H59" s="3" t="s">
        <v>134</v>
      </c>
      <c r="I59" s="3" t="s">
        <v>134</v>
      </c>
      <c r="J59" t="s">
        <v>21</v>
      </c>
      <c r="K59" t="s">
        <v>26</v>
      </c>
      <c r="L59" s="1">
        <v>45839</v>
      </c>
      <c r="M59" s="1">
        <v>45869</v>
      </c>
      <c r="N59" t="s">
        <v>27</v>
      </c>
      <c r="O59" t="s">
        <v>28</v>
      </c>
      <c r="Q59" t="s">
        <v>29</v>
      </c>
      <c r="R59" s="4" t="s">
        <v>135</v>
      </c>
      <c r="S59" s="4" t="s">
        <v>135</v>
      </c>
      <c r="T59" s="6">
        <v>3.7</v>
      </c>
    </row>
    <row r="60" spans="1:20" x14ac:dyDescent="0.3">
      <c r="A60">
        <v>37395</v>
      </c>
      <c r="B60" t="s">
        <v>21</v>
      </c>
      <c r="C60" s="3" t="s">
        <v>132</v>
      </c>
      <c r="D60" t="s">
        <v>133</v>
      </c>
      <c r="E60">
        <v>7868</v>
      </c>
      <c r="F60" t="s">
        <v>24</v>
      </c>
      <c r="H60" s="3" t="s">
        <v>134</v>
      </c>
      <c r="I60" s="3" t="s">
        <v>134</v>
      </c>
      <c r="J60" t="s">
        <v>21</v>
      </c>
      <c r="K60" t="s">
        <v>26</v>
      </c>
      <c r="L60" s="1">
        <v>45839</v>
      </c>
      <c r="M60" s="1">
        <v>45869</v>
      </c>
      <c r="N60" t="s">
        <v>27</v>
      </c>
      <c r="O60" t="s">
        <v>28</v>
      </c>
      <c r="Q60" t="s">
        <v>29</v>
      </c>
      <c r="R60" s="4" t="s">
        <v>136</v>
      </c>
      <c r="S60" s="4" t="s">
        <v>136</v>
      </c>
      <c r="T60" s="5">
        <v>30.4</v>
      </c>
    </row>
    <row r="61" spans="1:20" x14ac:dyDescent="0.3">
      <c r="A61">
        <v>37395</v>
      </c>
      <c r="B61" t="s">
        <v>21</v>
      </c>
      <c r="C61" s="3" t="s">
        <v>132</v>
      </c>
      <c r="D61" t="s">
        <v>133</v>
      </c>
      <c r="E61">
        <v>7868</v>
      </c>
      <c r="F61" t="s">
        <v>24</v>
      </c>
      <c r="H61" s="3" t="s">
        <v>134</v>
      </c>
      <c r="I61" s="3" t="s">
        <v>134</v>
      </c>
      <c r="J61" t="s">
        <v>21</v>
      </c>
      <c r="K61" t="s">
        <v>26</v>
      </c>
      <c r="L61" s="1">
        <v>45839</v>
      </c>
      <c r="M61" s="1">
        <v>45869</v>
      </c>
      <c r="N61" t="s">
        <v>27</v>
      </c>
      <c r="O61" t="s">
        <v>28</v>
      </c>
      <c r="Q61" t="s">
        <v>29</v>
      </c>
      <c r="R61" s="4" t="s">
        <v>137</v>
      </c>
      <c r="S61" s="4" t="s">
        <v>137</v>
      </c>
      <c r="T61" s="6">
        <v>0</v>
      </c>
    </row>
    <row r="62" spans="1:20" x14ac:dyDescent="0.3">
      <c r="A62">
        <v>37395</v>
      </c>
      <c r="B62" t="s">
        <v>21</v>
      </c>
      <c r="C62" s="3" t="s">
        <v>132</v>
      </c>
      <c r="D62" t="s">
        <v>133</v>
      </c>
      <c r="E62">
        <v>7868</v>
      </c>
      <c r="F62" t="s">
        <v>24</v>
      </c>
      <c r="H62" s="3" t="s">
        <v>134</v>
      </c>
      <c r="I62" s="3" t="s">
        <v>134</v>
      </c>
      <c r="J62" t="s">
        <v>21</v>
      </c>
      <c r="K62" t="s">
        <v>26</v>
      </c>
      <c r="L62" s="1">
        <v>45839</v>
      </c>
      <c r="M62" s="1">
        <v>45869</v>
      </c>
      <c r="N62" t="s">
        <v>27</v>
      </c>
      <c r="O62" t="s">
        <v>28</v>
      </c>
      <c r="Q62" t="s">
        <v>29</v>
      </c>
      <c r="R62" s="4" t="s">
        <v>138</v>
      </c>
      <c r="S62" s="4" t="s">
        <v>138</v>
      </c>
      <c r="T62" s="5">
        <v>0</v>
      </c>
    </row>
    <row r="63" spans="1:20" x14ac:dyDescent="0.3">
      <c r="A63">
        <v>37395</v>
      </c>
      <c r="B63" t="s">
        <v>21</v>
      </c>
      <c r="C63" s="3" t="s">
        <v>139</v>
      </c>
      <c r="D63" t="s">
        <v>140</v>
      </c>
      <c r="E63">
        <v>7868</v>
      </c>
      <c r="F63" t="s">
        <v>24</v>
      </c>
      <c r="H63" s="3" t="s">
        <v>141</v>
      </c>
      <c r="I63" s="3" t="s">
        <v>141</v>
      </c>
      <c r="J63" t="s">
        <v>21</v>
      </c>
      <c r="K63" t="s">
        <v>26</v>
      </c>
      <c r="L63" s="1">
        <v>45839</v>
      </c>
      <c r="M63" s="1">
        <v>45869</v>
      </c>
      <c r="N63" t="s">
        <v>27</v>
      </c>
      <c r="O63" t="s">
        <v>28</v>
      </c>
      <c r="Q63" t="s">
        <v>29</v>
      </c>
      <c r="R63" s="4" t="s">
        <v>142</v>
      </c>
      <c r="S63" s="4" t="s">
        <v>142</v>
      </c>
      <c r="T63" s="6">
        <v>0</v>
      </c>
    </row>
    <row r="64" spans="1:20" x14ac:dyDescent="0.3">
      <c r="A64">
        <v>37395</v>
      </c>
      <c r="B64" t="s">
        <v>21</v>
      </c>
      <c r="C64" s="3" t="s">
        <v>143</v>
      </c>
      <c r="D64" t="s">
        <v>144</v>
      </c>
      <c r="E64">
        <v>7868</v>
      </c>
      <c r="F64" t="s">
        <v>24</v>
      </c>
      <c r="H64" s="3" t="s">
        <v>145</v>
      </c>
      <c r="I64" s="3" t="s">
        <v>145</v>
      </c>
      <c r="J64" t="s">
        <v>21</v>
      </c>
      <c r="K64" t="s">
        <v>26</v>
      </c>
      <c r="L64" s="1">
        <v>45839</v>
      </c>
      <c r="M64" s="1">
        <v>45869</v>
      </c>
      <c r="N64" t="s">
        <v>27</v>
      </c>
      <c r="O64" t="s">
        <v>28</v>
      </c>
      <c r="Q64" t="s">
        <v>29</v>
      </c>
      <c r="R64" s="4" t="s">
        <v>146</v>
      </c>
      <c r="S64" s="4" t="s">
        <v>146</v>
      </c>
      <c r="T64" s="5">
        <v>78.900000000000006</v>
      </c>
    </row>
    <row r="65" spans="1:20" x14ac:dyDescent="0.3">
      <c r="A65">
        <v>37395</v>
      </c>
      <c r="B65" t="s">
        <v>21</v>
      </c>
      <c r="C65" s="3" t="s">
        <v>143</v>
      </c>
      <c r="D65" t="s">
        <v>144</v>
      </c>
      <c r="E65">
        <v>7868</v>
      </c>
      <c r="F65" t="s">
        <v>24</v>
      </c>
      <c r="H65" s="3" t="s">
        <v>145</v>
      </c>
      <c r="I65" s="3" t="s">
        <v>145</v>
      </c>
      <c r="J65" t="s">
        <v>21</v>
      </c>
      <c r="K65" t="s">
        <v>26</v>
      </c>
      <c r="L65" s="1">
        <v>45839</v>
      </c>
      <c r="M65" s="1">
        <v>45869</v>
      </c>
      <c r="N65" t="s">
        <v>27</v>
      </c>
      <c r="O65" t="s">
        <v>28</v>
      </c>
      <c r="Q65" t="s">
        <v>29</v>
      </c>
      <c r="R65" s="4" t="s">
        <v>147</v>
      </c>
      <c r="S65" s="4" t="s">
        <v>147</v>
      </c>
      <c r="T65" s="6">
        <v>17.899999999999999</v>
      </c>
    </row>
    <row r="66" spans="1:20" x14ac:dyDescent="0.3">
      <c r="A66">
        <v>37395</v>
      </c>
      <c r="B66" t="s">
        <v>21</v>
      </c>
      <c r="C66" s="3" t="s">
        <v>148</v>
      </c>
      <c r="D66" t="s">
        <v>149</v>
      </c>
      <c r="E66">
        <v>7868</v>
      </c>
      <c r="F66" t="s">
        <v>24</v>
      </c>
      <c r="H66" s="3" t="s">
        <v>150</v>
      </c>
      <c r="I66" s="3" t="s">
        <v>150</v>
      </c>
      <c r="J66" t="s">
        <v>21</v>
      </c>
      <c r="K66" t="s">
        <v>26</v>
      </c>
      <c r="L66" s="1">
        <v>45839</v>
      </c>
      <c r="M66" s="1">
        <v>45869</v>
      </c>
      <c r="N66" t="s">
        <v>27</v>
      </c>
      <c r="O66" t="s">
        <v>28</v>
      </c>
      <c r="Q66" t="s">
        <v>29</v>
      </c>
      <c r="R66" s="4" t="s">
        <v>151</v>
      </c>
      <c r="S66" s="4" t="s">
        <v>151</v>
      </c>
      <c r="T66" s="5">
        <v>6.9</v>
      </c>
    </row>
    <row r="67" spans="1:20" x14ac:dyDescent="0.3">
      <c r="A67">
        <v>37395</v>
      </c>
      <c r="B67" t="s">
        <v>21</v>
      </c>
      <c r="C67" s="3" t="s">
        <v>148</v>
      </c>
      <c r="D67" t="s">
        <v>149</v>
      </c>
      <c r="E67">
        <v>7868</v>
      </c>
      <c r="F67" t="s">
        <v>24</v>
      </c>
      <c r="H67" s="3" t="s">
        <v>150</v>
      </c>
      <c r="I67" s="3" t="s">
        <v>150</v>
      </c>
      <c r="J67" t="s">
        <v>21</v>
      </c>
      <c r="K67" t="s">
        <v>26</v>
      </c>
      <c r="L67" s="1">
        <v>45839</v>
      </c>
      <c r="M67" s="1">
        <v>45869</v>
      </c>
      <c r="N67" t="s">
        <v>27</v>
      </c>
      <c r="O67" t="s">
        <v>28</v>
      </c>
      <c r="Q67" t="s">
        <v>29</v>
      </c>
      <c r="R67" s="4" t="s">
        <v>152</v>
      </c>
      <c r="S67" s="4" t="s">
        <v>152</v>
      </c>
      <c r="T67" s="6">
        <v>2.8</v>
      </c>
    </row>
    <row r="68" spans="1:20" x14ac:dyDescent="0.3">
      <c r="A68">
        <v>37395</v>
      </c>
      <c r="B68" t="s">
        <v>21</v>
      </c>
      <c r="C68" s="3" t="s">
        <v>148</v>
      </c>
      <c r="D68" t="s">
        <v>149</v>
      </c>
      <c r="E68">
        <v>7868</v>
      </c>
      <c r="F68" t="s">
        <v>24</v>
      </c>
      <c r="H68" s="3" t="s">
        <v>150</v>
      </c>
      <c r="I68" s="3" t="s">
        <v>150</v>
      </c>
      <c r="J68" t="s">
        <v>21</v>
      </c>
      <c r="K68" t="s">
        <v>26</v>
      </c>
      <c r="L68" s="1">
        <v>45839</v>
      </c>
      <c r="M68" s="1">
        <v>45869</v>
      </c>
      <c r="N68" t="s">
        <v>27</v>
      </c>
      <c r="O68" t="s">
        <v>28</v>
      </c>
      <c r="Q68" t="s">
        <v>29</v>
      </c>
      <c r="R68" s="4" t="s">
        <v>153</v>
      </c>
      <c r="S68" s="4" t="s">
        <v>153</v>
      </c>
      <c r="T68" s="5">
        <v>0</v>
      </c>
    </row>
    <row r="69" spans="1:20" x14ac:dyDescent="0.3">
      <c r="A69">
        <v>37395</v>
      </c>
      <c r="B69" t="s">
        <v>21</v>
      </c>
      <c r="C69" s="3" t="s">
        <v>154</v>
      </c>
      <c r="D69" t="s">
        <v>155</v>
      </c>
      <c r="E69">
        <v>7868</v>
      </c>
      <c r="F69" t="s">
        <v>24</v>
      </c>
      <c r="H69" s="3" t="s">
        <v>156</v>
      </c>
      <c r="I69" s="3" t="s">
        <v>156</v>
      </c>
      <c r="J69" t="s">
        <v>21</v>
      </c>
      <c r="K69" t="s">
        <v>26</v>
      </c>
      <c r="L69" s="1">
        <v>45839</v>
      </c>
      <c r="M69" s="1">
        <v>45869</v>
      </c>
      <c r="N69" t="s">
        <v>27</v>
      </c>
      <c r="O69" t="s">
        <v>28</v>
      </c>
      <c r="Q69" t="s">
        <v>29</v>
      </c>
      <c r="R69" s="4" t="s">
        <v>157</v>
      </c>
      <c r="S69" s="4" t="s">
        <v>157</v>
      </c>
      <c r="T69" s="6">
        <v>0.8</v>
      </c>
    </row>
    <row r="70" spans="1:20" x14ac:dyDescent="0.3">
      <c r="A70">
        <v>37395</v>
      </c>
      <c r="B70" t="s">
        <v>21</v>
      </c>
      <c r="C70" s="3" t="s">
        <v>158</v>
      </c>
      <c r="D70" t="s">
        <v>159</v>
      </c>
      <c r="E70">
        <v>7868</v>
      </c>
      <c r="F70" t="s">
        <v>24</v>
      </c>
      <c r="H70" s="3" t="s">
        <v>160</v>
      </c>
      <c r="I70" s="3" t="s">
        <v>160</v>
      </c>
      <c r="J70" t="s">
        <v>21</v>
      </c>
      <c r="K70" t="s">
        <v>26</v>
      </c>
      <c r="L70" s="1">
        <v>45839</v>
      </c>
      <c r="M70" s="1">
        <v>45869</v>
      </c>
      <c r="N70" t="s">
        <v>27</v>
      </c>
      <c r="O70" t="s">
        <v>28</v>
      </c>
      <c r="Q70" t="s">
        <v>29</v>
      </c>
      <c r="R70" s="4" t="s">
        <v>161</v>
      </c>
      <c r="S70" s="4" t="s">
        <v>161</v>
      </c>
      <c r="T70" s="5">
        <v>0</v>
      </c>
    </row>
    <row r="71" spans="1:20" x14ac:dyDescent="0.3">
      <c r="A71">
        <v>37395</v>
      </c>
      <c r="B71" t="s">
        <v>21</v>
      </c>
      <c r="C71" s="3" t="s">
        <v>162</v>
      </c>
      <c r="D71" t="s">
        <v>163</v>
      </c>
      <c r="E71">
        <v>7868</v>
      </c>
      <c r="F71" t="s">
        <v>24</v>
      </c>
      <c r="H71" s="3" t="s">
        <v>164</v>
      </c>
      <c r="I71" s="3" t="s">
        <v>164</v>
      </c>
      <c r="J71" t="s">
        <v>21</v>
      </c>
      <c r="K71" t="s">
        <v>26</v>
      </c>
      <c r="L71" s="1">
        <v>45839</v>
      </c>
      <c r="M71" s="1">
        <v>45869</v>
      </c>
      <c r="N71" t="s">
        <v>27</v>
      </c>
      <c r="O71" t="s">
        <v>28</v>
      </c>
      <c r="Q71" t="s">
        <v>29</v>
      </c>
      <c r="R71" s="4" t="s">
        <v>165</v>
      </c>
      <c r="S71" s="4" t="s">
        <v>165</v>
      </c>
      <c r="T71" s="6">
        <v>0</v>
      </c>
    </row>
    <row r="72" spans="1:20" x14ac:dyDescent="0.3">
      <c r="A72">
        <v>37395</v>
      </c>
      <c r="B72" t="s">
        <v>21</v>
      </c>
      <c r="C72" s="3" t="s">
        <v>166</v>
      </c>
      <c r="D72" t="s">
        <v>167</v>
      </c>
      <c r="E72">
        <v>7868</v>
      </c>
      <c r="F72" t="s">
        <v>24</v>
      </c>
      <c r="H72" s="3" t="s">
        <v>168</v>
      </c>
      <c r="I72" s="3" t="s">
        <v>168</v>
      </c>
      <c r="J72" t="s">
        <v>21</v>
      </c>
      <c r="K72" t="s">
        <v>26</v>
      </c>
      <c r="L72" s="1">
        <v>45839</v>
      </c>
      <c r="M72" s="1">
        <v>45869</v>
      </c>
      <c r="N72" t="s">
        <v>27</v>
      </c>
      <c r="O72" t="s">
        <v>28</v>
      </c>
      <c r="Q72" t="s">
        <v>29</v>
      </c>
      <c r="R72" s="4" t="s">
        <v>169</v>
      </c>
      <c r="S72" s="4" t="s">
        <v>169</v>
      </c>
      <c r="T72" s="5">
        <v>0</v>
      </c>
    </row>
    <row r="73" spans="1:20" x14ac:dyDescent="0.3">
      <c r="A73">
        <v>37395</v>
      </c>
      <c r="B73" t="s">
        <v>21</v>
      </c>
      <c r="C73" s="3" t="s">
        <v>166</v>
      </c>
      <c r="D73" t="s">
        <v>167</v>
      </c>
      <c r="E73">
        <v>7868</v>
      </c>
      <c r="F73" t="s">
        <v>24</v>
      </c>
      <c r="H73" s="3" t="s">
        <v>168</v>
      </c>
      <c r="I73" s="3" t="s">
        <v>168</v>
      </c>
      <c r="J73" t="s">
        <v>21</v>
      </c>
      <c r="K73" t="s">
        <v>26</v>
      </c>
      <c r="L73" s="1">
        <v>45839</v>
      </c>
      <c r="M73" s="1">
        <v>45869</v>
      </c>
      <c r="N73" t="s">
        <v>27</v>
      </c>
      <c r="O73" t="s">
        <v>28</v>
      </c>
      <c r="Q73" t="s">
        <v>29</v>
      </c>
      <c r="R73" s="4" t="s">
        <v>170</v>
      </c>
      <c r="S73" s="4" t="s">
        <v>170</v>
      </c>
      <c r="T73" s="6">
        <v>-0.3</v>
      </c>
    </row>
    <row r="74" spans="1:20" x14ac:dyDescent="0.3">
      <c r="A74">
        <v>37395</v>
      </c>
      <c r="B74" t="s">
        <v>21</v>
      </c>
      <c r="C74" s="3" t="s">
        <v>166</v>
      </c>
      <c r="D74" t="s">
        <v>167</v>
      </c>
      <c r="E74">
        <v>7868</v>
      </c>
      <c r="F74" t="s">
        <v>24</v>
      </c>
      <c r="H74" s="3" t="s">
        <v>168</v>
      </c>
      <c r="I74" s="3" t="s">
        <v>168</v>
      </c>
      <c r="J74" t="s">
        <v>21</v>
      </c>
      <c r="K74" t="s">
        <v>26</v>
      </c>
      <c r="L74" s="1">
        <v>45839</v>
      </c>
      <c r="M74" s="1">
        <v>45869</v>
      </c>
      <c r="N74" t="s">
        <v>27</v>
      </c>
      <c r="O74" t="s">
        <v>28</v>
      </c>
      <c r="Q74" t="s">
        <v>29</v>
      </c>
      <c r="R74" s="4" t="s">
        <v>171</v>
      </c>
      <c r="S74" s="4" t="s">
        <v>171</v>
      </c>
      <c r="T74" s="5">
        <v>0.4</v>
      </c>
    </row>
    <row r="75" spans="1:20" x14ac:dyDescent="0.3">
      <c r="A75">
        <v>37395</v>
      </c>
      <c r="B75" t="s">
        <v>21</v>
      </c>
      <c r="C75" s="3" t="s">
        <v>166</v>
      </c>
      <c r="D75" t="s">
        <v>167</v>
      </c>
      <c r="E75">
        <v>7868</v>
      </c>
      <c r="F75" t="s">
        <v>24</v>
      </c>
      <c r="H75" s="3" t="s">
        <v>168</v>
      </c>
      <c r="I75" s="3" t="s">
        <v>168</v>
      </c>
      <c r="J75" t="s">
        <v>21</v>
      </c>
      <c r="K75" t="s">
        <v>26</v>
      </c>
      <c r="L75" s="1">
        <v>45839</v>
      </c>
      <c r="M75" s="1">
        <v>45869</v>
      </c>
      <c r="N75" t="s">
        <v>27</v>
      </c>
      <c r="O75" t="s">
        <v>28</v>
      </c>
      <c r="Q75" t="s">
        <v>29</v>
      </c>
      <c r="R75" s="4" t="s">
        <v>172</v>
      </c>
      <c r="S75" s="4" t="s">
        <v>172</v>
      </c>
      <c r="T75" s="6">
        <v>0.5</v>
      </c>
    </row>
    <row r="76" spans="1:20" x14ac:dyDescent="0.3">
      <c r="A76">
        <v>37395</v>
      </c>
      <c r="B76" t="s">
        <v>21</v>
      </c>
      <c r="C76" s="3" t="s">
        <v>166</v>
      </c>
      <c r="D76" t="s">
        <v>167</v>
      </c>
      <c r="E76">
        <v>7868</v>
      </c>
      <c r="F76" t="s">
        <v>24</v>
      </c>
      <c r="H76" s="3" t="s">
        <v>168</v>
      </c>
      <c r="I76" s="3" t="s">
        <v>168</v>
      </c>
      <c r="J76" t="s">
        <v>21</v>
      </c>
      <c r="K76" t="s">
        <v>26</v>
      </c>
      <c r="L76" s="1">
        <v>45839</v>
      </c>
      <c r="M76" s="1">
        <v>45869</v>
      </c>
      <c r="N76" t="s">
        <v>27</v>
      </c>
      <c r="O76" t="s">
        <v>28</v>
      </c>
      <c r="Q76" t="s">
        <v>29</v>
      </c>
      <c r="R76" s="4" t="s">
        <v>173</v>
      </c>
      <c r="S76" s="4" t="s">
        <v>173</v>
      </c>
      <c r="T76" s="5">
        <v>0</v>
      </c>
    </row>
    <row r="77" spans="1:20" x14ac:dyDescent="0.3">
      <c r="A77">
        <v>37395</v>
      </c>
      <c r="B77" t="s">
        <v>21</v>
      </c>
      <c r="C77" s="3" t="s">
        <v>174</v>
      </c>
      <c r="D77" t="s">
        <v>175</v>
      </c>
      <c r="E77">
        <v>7868</v>
      </c>
      <c r="F77" t="s">
        <v>24</v>
      </c>
      <c r="H77" s="3" t="s">
        <v>176</v>
      </c>
      <c r="I77" s="3" t="s">
        <v>176</v>
      </c>
      <c r="J77" t="s">
        <v>21</v>
      </c>
      <c r="K77" t="s">
        <v>26</v>
      </c>
      <c r="L77" s="1">
        <v>45839</v>
      </c>
      <c r="M77" s="1">
        <v>45869</v>
      </c>
      <c r="N77" t="s">
        <v>27</v>
      </c>
      <c r="O77" t="s">
        <v>28</v>
      </c>
      <c r="Q77" t="s">
        <v>29</v>
      </c>
      <c r="R77" s="7" t="s">
        <v>177</v>
      </c>
      <c r="S77" s="7" t="s">
        <v>177</v>
      </c>
      <c r="T77" s="6">
        <v>-2.1</v>
      </c>
    </row>
    <row r="78" spans="1:20" x14ac:dyDescent="0.3">
      <c r="A78">
        <v>37395</v>
      </c>
      <c r="B78" t="s">
        <v>21</v>
      </c>
      <c r="C78" s="3" t="s">
        <v>174</v>
      </c>
      <c r="D78" t="s">
        <v>175</v>
      </c>
      <c r="E78">
        <v>7868</v>
      </c>
      <c r="F78" t="s">
        <v>24</v>
      </c>
      <c r="H78" s="3" t="s">
        <v>176</v>
      </c>
      <c r="I78" s="3" t="s">
        <v>176</v>
      </c>
      <c r="J78" t="s">
        <v>21</v>
      </c>
      <c r="K78" t="s">
        <v>26</v>
      </c>
      <c r="L78" s="1">
        <v>45839</v>
      </c>
      <c r="M78" s="1">
        <v>45869</v>
      </c>
      <c r="N78" t="s">
        <v>27</v>
      </c>
      <c r="O78" t="s">
        <v>28</v>
      </c>
      <c r="Q78" t="s">
        <v>29</v>
      </c>
      <c r="R78" s="4" t="s">
        <v>178</v>
      </c>
      <c r="S78" s="4" t="s">
        <v>178</v>
      </c>
      <c r="T78" s="5">
        <v>0</v>
      </c>
    </row>
    <row r="79" spans="1:20" x14ac:dyDescent="0.3">
      <c r="A79">
        <v>37395</v>
      </c>
      <c r="B79" t="s">
        <v>21</v>
      </c>
      <c r="C79" s="3" t="s">
        <v>179</v>
      </c>
      <c r="D79" t="s">
        <v>180</v>
      </c>
      <c r="E79">
        <v>7868</v>
      </c>
      <c r="F79" t="s">
        <v>24</v>
      </c>
      <c r="H79" s="3" t="s">
        <v>181</v>
      </c>
      <c r="I79" s="3" t="s">
        <v>181</v>
      </c>
      <c r="J79" t="s">
        <v>21</v>
      </c>
      <c r="K79" t="s">
        <v>26</v>
      </c>
      <c r="L79" s="1">
        <v>45839</v>
      </c>
      <c r="M79" s="1">
        <v>45869</v>
      </c>
      <c r="N79" t="s">
        <v>27</v>
      </c>
      <c r="O79" t="s">
        <v>28</v>
      </c>
      <c r="Q79" t="s">
        <v>29</v>
      </c>
      <c r="R79" s="7" t="s">
        <v>182</v>
      </c>
      <c r="S79" s="7" t="s">
        <v>182</v>
      </c>
      <c r="T79" s="6">
        <v>0.1</v>
      </c>
    </row>
    <row r="80" spans="1:20" x14ac:dyDescent="0.3">
      <c r="A80">
        <v>37395</v>
      </c>
      <c r="B80" t="s">
        <v>21</v>
      </c>
      <c r="C80" s="3" t="s">
        <v>183</v>
      </c>
      <c r="D80" t="s">
        <v>184</v>
      </c>
      <c r="E80">
        <v>7868</v>
      </c>
      <c r="F80" t="s">
        <v>24</v>
      </c>
      <c r="H80" s="3" t="s">
        <v>185</v>
      </c>
      <c r="I80" s="3" t="s">
        <v>185</v>
      </c>
      <c r="J80" t="s">
        <v>21</v>
      </c>
      <c r="K80" t="s">
        <v>26</v>
      </c>
      <c r="L80" s="1">
        <v>45839</v>
      </c>
      <c r="M80" s="1">
        <v>45869</v>
      </c>
      <c r="N80" t="s">
        <v>27</v>
      </c>
      <c r="O80" t="s">
        <v>28</v>
      </c>
      <c r="Q80" t="s">
        <v>29</v>
      </c>
      <c r="R80" s="4" t="s">
        <v>186</v>
      </c>
      <c r="S80" s="4" t="s">
        <v>186</v>
      </c>
      <c r="T80" s="5">
        <v>-9.9999999999863601E-2</v>
      </c>
    </row>
    <row r="81" spans="1:20" x14ac:dyDescent="0.3">
      <c r="A81">
        <v>37395</v>
      </c>
      <c r="B81" t="s">
        <v>21</v>
      </c>
      <c r="C81" s="3" t="s">
        <v>22</v>
      </c>
      <c r="D81" t="s">
        <v>23</v>
      </c>
      <c r="E81">
        <v>7868</v>
      </c>
      <c r="F81" t="s">
        <v>24</v>
      </c>
      <c r="H81" s="3" t="s">
        <v>25</v>
      </c>
      <c r="I81" s="3" t="s">
        <v>25</v>
      </c>
      <c r="J81" t="s">
        <v>21</v>
      </c>
      <c r="K81" t="s">
        <v>26</v>
      </c>
      <c r="L81" s="1">
        <v>45870</v>
      </c>
      <c r="M81" s="1">
        <v>45900</v>
      </c>
      <c r="N81" t="s">
        <v>27</v>
      </c>
      <c r="O81" t="s">
        <v>28</v>
      </c>
      <c r="Q81" t="s">
        <v>29</v>
      </c>
      <c r="R81" s="4" t="s">
        <v>30</v>
      </c>
      <c r="S81" s="4" t="s">
        <v>30</v>
      </c>
      <c r="T81" s="5">
        <v>30.4</v>
      </c>
    </row>
    <row r="82" spans="1:20" x14ac:dyDescent="0.3">
      <c r="A82">
        <v>37395</v>
      </c>
      <c r="B82" t="s">
        <v>21</v>
      </c>
      <c r="C82" s="3" t="s">
        <v>22</v>
      </c>
      <c r="D82" t="s">
        <v>23</v>
      </c>
      <c r="E82">
        <v>7868</v>
      </c>
      <c r="F82" t="s">
        <v>24</v>
      </c>
      <c r="H82" s="3" t="s">
        <v>25</v>
      </c>
      <c r="I82" s="3" t="s">
        <v>25</v>
      </c>
      <c r="J82" t="s">
        <v>21</v>
      </c>
      <c r="K82" t="s">
        <v>26</v>
      </c>
      <c r="L82" s="1">
        <v>45870</v>
      </c>
      <c r="M82" s="1">
        <v>45900</v>
      </c>
      <c r="N82" t="s">
        <v>27</v>
      </c>
      <c r="O82" t="s">
        <v>28</v>
      </c>
      <c r="Q82" t="s">
        <v>29</v>
      </c>
      <c r="R82" s="4" t="s">
        <v>31</v>
      </c>
      <c r="S82" s="4" t="s">
        <v>31</v>
      </c>
      <c r="T82" s="6">
        <v>28</v>
      </c>
    </row>
    <row r="83" spans="1:20" x14ac:dyDescent="0.3">
      <c r="A83">
        <v>37395</v>
      </c>
      <c r="B83" t="s">
        <v>21</v>
      </c>
      <c r="C83" s="3" t="s">
        <v>22</v>
      </c>
      <c r="D83" t="s">
        <v>23</v>
      </c>
      <c r="E83">
        <v>7868</v>
      </c>
      <c r="F83" t="s">
        <v>24</v>
      </c>
      <c r="H83" s="3" t="s">
        <v>25</v>
      </c>
      <c r="I83" s="3" t="s">
        <v>25</v>
      </c>
      <c r="J83" t="s">
        <v>21</v>
      </c>
      <c r="K83" t="s">
        <v>26</v>
      </c>
      <c r="L83" s="1">
        <v>45870</v>
      </c>
      <c r="M83" s="1">
        <v>45900</v>
      </c>
      <c r="N83" t="s">
        <v>27</v>
      </c>
      <c r="O83" t="s">
        <v>28</v>
      </c>
      <c r="Q83" t="s">
        <v>29</v>
      </c>
      <c r="R83" s="4" t="s">
        <v>32</v>
      </c>
      <c r="S83" s="4" t="s">
        <v>32</v>
      </c>
      <c r="T83" s="5">
        <v>28.1</v>
      </c>
    </row>
    <row r="84" spans="1:20" x14ac:dyDescent="0.3">
      <c r="A84">
        <v>37395</v>
      </c>
      <c r="B84" t="s">
        <v>21</v>
      </c>
      <c r="C84" s="3" t="s">
        <v>22</v>
      </c>
      <c r="D84" t="s">
        <v>23</v>
      </c>
      <c r="E84">
        <v>7868</v>
      </c>
      <c r="F84" t="s">
        <v>24</v>
      </c>
      <c r="H84" s="3" t="s">
        <v>25</v>
      </c>
      <c r="I84" s="3" t="s">
        <v>25</v>
      </c>
      <c r="J84" t="s">
        <v>21</v>
      </c>
      <c r="K84" t="s">
        <v>26</v>
      </c>
      <c r="L84" s="1">
        <v>45870</v>
      </c>
      <c r="M84" s="1">
        <v>45900</v>
      </c>
      <c r="N84" t="s">
        <v>27</v>
      </c>
      <c r="O84" t="s">
        <v>28</v>
      </c>
      <c r="Q84" t="s">
        <v>29</v>
      </c>
      <c r="R84" s="4" t="s">
        <v>33</v>
      </c>
      <c r="S84" s="4" t="s">
        <v>33</v>
      </c>
      <c r="T84" s="6">
        <v>44.3</v>
      </c>
    </row>
    <row r="85" spans="1:20" x14ac:dyDescent="0.3">
      <c r="A85">
        <v>37395</v>
      </c>
      <c r="B85" t="s">
        <v>21</v>
      </c>
      <c r="C85" s="3" t="s">
        <v>22</v>
      </c>
      <c r="D85" t="s">
        <v>23</v>
      </c>
      <c r="E85">
        <v>7868</v>
      </c>
      <c r="F85" t="s">
        <v>24</v>
      </c>
      <c r="H85" s="3" t="s">
        <v>25</v>
      </c>
      <c r="I85" s="3" t="s">
        <v>25</v>
      </c>
      <c r="J85" t="s">
        <v>21</v>
      </c>
      <c r="K85" t="s">
        <v>26</v>
      </c>
      <c r="L85" s="1">
        <v>45870</v>
      </c>
      <c r="M85" s="1">
        <v>45900</v>
      </c>
      <c r="N85" t="s">
        <v>27</v>
      </c>
      <c r="O85" t="s">
        <v>28</v>
      </c>
      <c r="Q85" t="s">
        <v>29</v>
      </c>
      <c r="R85" s="4" t="s">
        <v>34</v>
      </c>
      <c r="S85" s="4" t="s">
        <v>34</v>
      </c>
      <c r="T85" s="5">
        <v>9.5</v>
      </c>
    </row>
    <row r="86" spans="1:20" x14ac:dyDescent="0.3">
      <c r="A86">
        <v>37395</v>
      </c>
      <c r="B86" t="s">
        <v>21</v>
      </c>
      <c r="C86" s="3" t="s">
        <v>22</v>
      </c>
      <c r="D86" t="s">
        <v>23</v>
      </c>
      <c r="E86">
        <v>7868</v>
      </c>
      <c r="F86" t="s">
        <v>24</v>
      </c>
      <c r="H86" s="3" t="s">
        <v>25</v>
      </c>
      <c r="I86" s="3" t="s">
        <v>25</v>
      </c>
      <c r="J86" t="s">
        <v>21</v>
      </c>
      <c r="K86" t="s">
        <v>26</v>
      </c>
      <c r="L86" s="1">
        <v>45870</v>
      </c>
      <c r="M86" s="1">
        <v>45900</v>
      </c>
      <c r="N86" t="s">
        <v>27</v>
      </c>
      <c r="O86" t="s">
        <v>28</v>
      </c>
      <c r="Q86" t="s">
        <v>29</v>
      </c>
      <c r="R86" s="4" t="s">
        <v>35</v>
      </c>
      <c r="S86" s="4" t="s">
        <v>35</v>
      </c>
      <c r="T86" s="6">
        <v>0</v>
      </c>
    </row>
    <row r="87" spans="1:20" x14ac:dyDescent="0.3">
      <c r="A87">
        <v>37395</v>
      </c>
      <c r="B87" t="s">
        <v>21</v>
      </c>
      <c r="C87" s="3" t="s">
        <v>22</v>
      </c>
      <c r="D87" t="s">
        <v>23</v>
      </c>
      <c r="E87">
        <v>7868</v>
      </c>
      <c r="F87" t="s">
        <v>24</v>
      </c>
      <c r="H87" s="3" t="s">
        <v>25</v>
      </c>
      <c r="I87" s="3" t="s">
        <v>25</v>
      </c>
      <c r="J87" t="s">
        <v>21</v>
      </c>
      <c r="K87" t="s">
        <v>26</v>
      </c>
      <c r="L87" s="1">
        <v>45870</v>
      </c>
      <c r="M87" s="1">
        <v>45900</v>
      </c>
      <c r="N87" t="s">
        <v>27</v>
      </c>
      <c r="O87" t="s">
        <v>28</v>
      </c>
      <c r="Q87" t="s">
        <v>29</v>
      </c>
      <c r="R87" s="4" t="s">
        <v>36</v>
      </c>
      <c r="S87" s="4" t="s">
        <v>36</v>
      </c>
      <c r="T87" s="5">
        <v>42.9</v>
      </c>
    </row>
    <row r="88" spans="1:20" x14ac:dyDescent="0.3">
      <c r="A88">
        <v>37395</v>
      </c>
      <c r="B88" t="s">
        <v>21</v>
      </c>
      <c r="C88" s="3" t="s">
        <v>37</v>
      </c>
      <c r="D88" t="s">
        <v>38</v>
      </c>
      <c r="E88">
        <v>7868</v>
      </c>
      <c r="F88" t="s">
        <v>24</v>
      </c>
      <c r="H88" s="3" t="s">
        <v>39</v>
      </c>
      <c r="I88" s="3" t="s">
        <v>39</v>
      </c>
      <c r="J88" t="s">
        <v>21</v>
      </c>
      <c r="K88" t="s">
        <v>26</v>
      </c>
      <c r="L88" s="1">
        <v>45870</v>
      </c>
      <c r="M88" s="1">
        <v>45900</v>
      </c>
      <c r="N88" t="s">
        <v>27</v>
      </c>
      <c r="O88" t="s">
        <v>28</v>
      </c>
      <c r="Q88" t="s">
        <v>29</v>
      </c>
      <c r="R88" s="4" t="s">
        <v>40</v>
      </c>
      <c r="S88" s="4" t="s">
        <v>40</v>
      </c>
      <c r="T88" s="6">
        <v>27.2</v>
      </c>
    </row>
    <row r="89" spans="1:20" x14ac:dyDescent="0.3">
      <c r="A89">
        <v>37395</v>
      </c>
      <c r="B89" t="s">
        <v>21</v>
      </c>
      <c r="C89" s="3" t="s">
        <v>37</v>
      </c>
      <c r="D89" t="s">
        <v>38</v>
      </c>
      <c r="E89">
        <v>7868</v>
      </c>
      <c r="F89" t="s">
        <v>24</v>
      </c>
      <c r="H89" s="3" t="s">
        <v>39</v>
      </c>
      <c r="I89" s="3" t="s">
        <v>39</v>
      </c>
      <c r="J89" t="s">
        <v>21</v>
      </c>
      <c r="K89" t="s">
        <v>26</v>
      </c>
      <c r="L89" s="1">
        <v>45870</v>
      </c>
      <c r="M89" s="1">
        <v>45900</v>
      </c>
      <c r="N89" t="s">
        <v>27</v>
      </c>
      <c r="O89" t="s">
        <v>28</v>
      </c>
      <c r="Q89" t="s">
        <v>29</v>
      </c>
      <c r="R89" s="4" t="s">
        <v>41</v>
      </c>
      <c r="S89" s="4" t="s">
        <v>41</v>
      </c>
      <c r="T89" s="5">
        <v>0.8</v>
      </c>
    </row>
    <row r="90" spans="1:20" x14ac:dyDescent="0.3">
      <c r="A90">
        <v>37395</v>
      </c>
      <c r="B90" t="s">
        <v>21</v>
      </c>
      <c r="C90" s="3" t="s">
        <v>37</v>
      </c>
      <c r="D90" t="s">
        <v>38</v>
      </c>
      <c r="E90">
        <v>7868</v>
      </c>
      <c r="F90" t="s">
        <v>24</v>
      </c>
      <c r="H90" s="3" t="s">
        <v>39</v>
      </c>
      <c r="I90" s="3" t="s">
        <v>39</v>
      </c>
      <c r="J90" t="s">
        <v>21</v>
      </c>
      <c r="K90" t="s">
        <v>26</v>
      </c>
      <c r="L90" s="1">
        <v>45870</v>
      </c>
      <c r="M90" s="1">
        <v>45900</v>
      </c>
      <c r="N90" t="s">
        <v>27</v>
      </c>
      <c r="O90" t="s">
        <v>28</v>
      </c>
      <c r="Q90" t="s">
        <v>29</v>
      </c>
      <c r="R90" s="4" t="s">
        <v>42</v>
      </c>
      <c r="S90" s="4" t="s">
        <v>42</v>
      </c>
      <c r="T90" s="6">
        <v>7.3</v>
      </c>
    </row>
    <row r="91" spans="1:20" x14ac:dyDescent="0.3">
      <c r="A91">
        <v>37395</v>
      </c>
      <c r="B91" t="s">
        <v>21</v>
      </c>
      <c r="C91" s="3" t="s">
        <v>37</v>
      </c>
      <c r="D91" t="s">
        <v>38</v>
      </c>
      <c r="E91">
        <v>7868</v>
      </c>
      <c r="F91" t="s">
        <v>24</v>
      </c>
      <c r="H91" s="3" t="s">
        <v>39</v>
      </c>
      <c r="I91" s="3" t="s">
        <v>39</v>
      </c>
      <c r="J91" t="s">
        <v>21</v>
      </c>
      <c r="K91" t="s">
        <v>26</v>
      </c>
      <c r="L91" s="1">
        <v>45870</v>
      </c>
      <c r="M91" s="1">
        <v>45900</v>
      </c>
      <c r="N91" t="s">
        <v>27</v>
      </c>
      <c r="O91" t="s">
        <v>28</v>
      </c>
      <c r="Q91" t="s">
        <v>29</v>
      </c>
      <c r="R91" s="4" t="s">
        <v>43</v>
      </c>
      <c r="S91" s="4" t="s">
        <v>43</v>
      </c>
      <c r="T91" s="5">
        <v>22.1</v>
      </c>
    </row>
    <row r="92" spans="1:20" x14ac:dyDescent="0.3">
      <c r="A92">
        <v>37395</v>
      </c>
      <c r="B92" t="s">
        <v>21</v>
      </c>
      <c r="C92" s="3" t="s">
        <v>37</v>
      </c>
      <c r="D92" t="s">
        <v>38</v>
      </c>
      <c r="E92">
        <v>7868</v>
      </c>
      <c r="F92" t="s">
        <v>24</v>
      </c>
      <c r="H92" s="3" t="s">
        <v>39</v>
      </c>
      <c r="I92" s="3" t="s">
        <v>39</v>
      </c>
      <c r="J92" t="s">
        <v>21</v>
      </c>
      <c r="K92" t="s">
        <v>26</v>
      </c>
      <c r="L92" s="1">
        <v>45870</v>
      </c>
      <c r="M92" s="1">
        <v>45900</v>
      </c>
      <c r="N92" t="s">
        <v>27</v>
      </c>
      <c r="O92" t="s">
        <v>28</v>
      </c>
      <c r="Q92" t="s">
        <v>29</v>
      </c>
      <c r="R92" s="4" t="s">
        <v>44</v>
      </c>
      <c r="S92" s="4" t="s">
        <v>44</v>
      </c>
      <c r="T92" s="6">
        <v>2.2000000000000002</v>
      </c>
    </row>
    <row r="93" spans="1:20" x14ac:dyDescent="0.3">
      <c r="A93">
        <v>37395</v>
      </c>
      <c r="B93" t="s">
        <v>21</v>
      </c>
      <c r="C93" s="3" t="s">
        <v>37</v>
      </c>
      <c r="D93" t="s">
        <v>38</v>
      </c>
      <c r="E93">
        <v>7868</v>
      </c>
      <c r="F93" t="s">
        <v>24</v>
      </c>
      <c r="H93" s="3" t="s">
        <v>39</v>
      </c>
      <c r="I93" s="3" t="s">
        <v>39</v>
      </c>
      <c r="J93" t="s">
        <v>21</v>
      </c>
      <c r="K93" t="s">
        <v>26</v>
      </c>
      <c r="L93" s="1">
        <v>45870</v>
      </c>
      <c r="M93" s="1">
        <v>45900</v>
      </c>
      <c r="N93" t="s">
        <v>27</v>
      </c>
      <c r="O93" t="s">
        <v>28</v>
      </c>
      <c r="Q93" t="s">
        <v>29</v>
      </c>
      <c r="R93" s="4" t="s">
        <v>45</v>
      </c>
      <c r="S93" s="4" t="s">
        <v>45</v>
      </c>
      <c r="T93" s="5">
        <v>0</v>
      </c>
    </row>
    <row r="94" spans="1:20" x14ac:dyDescent="0.3">
      <c r="A94">
        <v>37395</v>
      </c>
      <c r="B94" t="s">
        <v>21</v>
      </c>
      <c r="C94" s="3" t="s">
        <v>37</v>
      </c>
      <c r="D94" t="s">
        <v>38</v>
      </c>
      <c r="E94">
        <v>7868</v>
      </c>
      <c r="F94" t="s">
        <v>24</v>
      </c>
      <c r="H94" s="3" t="s">
        <v>39</v>
      </c>
      <c r="I94" s="3" t="s">
        <v>39</v>
      </c>
      <c r="J94" t="s">
        <v>21</v>
      </c>
      <c r="K94" t="s">
        <v>26</v>
      </c>
      <c r="L94" s="1">
        <v>45870</v>
      </c>
      <c r="M94" s="1">
        <v>45900</v>
      </c>
      <c r="N94" t="s">
        <v>27</v>
      </c>
      <c r="O94" t="s">
        <v>28</v>
      </c>
      <c r="Q94" t="s">
        <v>29</v>
      </c>
      <c r="R94" s="4" t="s">
        <v>46</v>
      </c>
      <c r="S94" s="4" t="s">
        <v>46</v>
      </c>
      <c r="T94" s="6">
        <v>0</v>
      </c>
    </row>
    <row r="95" spans="1:20" x14ac:dyDescent="0.3">
      <c r="A95">
        <v>37395</v>
      </c>
      <c r="B95" t="s">
        <v>21</v>
      </c>
      <c r="C95" s="3" t="s">
        <v>37</v>
      </c>
      <c r="D95" t="s">
        <v>38</v>
      </c>
      <c r="E95">
        <v>7868</v>
      </c>
      <c r="F95" t="s">
        <v>24</v>
      </c>
      <c r="H95" s="3" t="s">
        <v>39</v>
      </c>
      <c r="I95" s="3" t="s">
        <v>39</v>
      </c>
      <c r="J95" t="s">
        <v>21</v>
      </c>
      <c r="K95" t="s">
        <v>26</v>
      </c>
      <c r="L95" s="1">
        <v>45870</v>
      </c>
      <c r="M95" s="1">
        <v>45900</v>
      </c>
      <c r="N95" t="s">
        <v>27</v>
      </c>
      <c r="O95" t="s">
        <v>28</v>
      </c>
      <c r="Q95" t="s">
        <v>29</v>
      </c>
      <c r="R95" s="4" t="s">
        <v>47</v>
      </c>
      <c r="S95" s="4" t="s">
        <v>47</v>
      </c>
      <c r="T95" s="5">
        <v>0.3</v>
      </c>
    </row>
    <row r="96" spans="1:20" x14ac:dyDescent="0.3">
      <c r="A96">
        <v>37395</v>
      </c>
      <c r="B96" t="s">
        <v>21</v>
      </c>
      <c r="C96" s="3" t="s">
        <v>48</v>
      </c>
      <c r="D96" t="s">
        <v>49</v>
      </c>
      <c r="E96">
        <v>7868</v>
      </c>
      <c r="F96" t="s">
        <v>24</v>
      </c>
      <c r="H96" s="3" t="s">
        <v>50</v>
      </c>
      <c r="I96" s="3" t="s">
        <v>50</v>
      </c>
      <c r="J96" t="s">
        <v>21</v>
      </c>
      <c r="K96" t="s">
        <v>26</v>
      </c>
      <c r="L96" s="1">
        <v>45870</v>
      </c>
      <c r="M96" s="1">
        <v>45900</v>
      </c>
      <c r="N96" t="s">
        <v>27</v>
      </c>
      <c r="O96" t="s">
        <v>28</v>
      </c>
      <c r="Q96" t="s">
        <v>29</v>
      </c>
      <c r="R96" s="4" t="s">
        <v>51</v>
      </c>
      <c r="S96" s="4" t="s">
        <v>51</v>
      </c>
      <c r="T96" s="6">
        <v>0</v>
      </c>
    </row>
    <row r="97" spans="1:20" x14ac:dyDescent="0.3">
      <c r="A97">
        <v>37395</v>
      </c>
      <c r="B97" t="s">
        <v>21</v>
      </c>
      <c r="C97" s="3" t="s">
        <v>48</v>
      </c>
      <c r="D97" t="s">
        <v>49</v>
      </c>
      <c r="E97">
        <v>7868</v>
      </c>
      <c r="F97" t="s">
        <v>24</v>
      </c>
      <c r="H97" s="3" t="s">
        <v>50</v>
      </c>
      <c r="I97" s="3" t="s">
        <v>50</v>
      </c>
      <c r="J97" t="s">
        <v>21</v>
      </c>
      <c r="K97" t="s">
        <v>26</v>
      </c>
      <c r="L97" s="1">
        <v>45870</v>
      </c>
      <c r="M97" s="1">
        <v>45900</v>
      </c>
      <c r="N97" t="s">
        <v>27</v>
      </c>
      <c r="O97" t="s">
        <v>28</v>
      </c>
      <c r="Q97" t="s">
        <v>29</v>
      </c>
      <c r="R97" s="4" t="s">
        <v>52</v>
      </c>
      <c r="S97" s="4" t="s">
        <v>52</v>
      </c>
      <c r="T97" s="5">
        <v>-0.3</v>
      </c>
    </row>
    <row r="98" spans="1:20" x14ac:dyDescent="0.3">
      <c r="A98">
        <v>37395</v>
      </c>
      <c r="B98" t="s">
        <v>21</v>
      </c>
      <c r="C98" s="3" t="s">
        <v>48</v>
      </c>
      <c r="D98" t="s">
        <v>49</v>
      </c>
      <c r="E98">
        <v>7868</v>
      </c>
      <c r="F98" t="s">
        <v>24</v>
      </c>
      <c r="H98" s="3" t="s">
        <v>50</v>
      </c>
      <c r="I98" s="3" t="s">
        <v>50</v>
      </c>
      <c r="J98" t="s">
        <v>21</v>
      </c>
      <c r="K98" t="s">
        <v>26</v>
      </c>
      <c r="L98" s="1">
        <v>45870</v>
      </c>
      <c r="M98" s="1">
        <v>45900</v>
      </c>
      <c r="N98" t="s">
        <v>27</v>
      </c>
      <c r="O98" t="s">
        <v>28</v>
      </c>
      <c r="Q98" t="s">
        <v>29</v>
      </c>
      <c r="R98" s="4" t="s">
        <v>53</v>
      </c>
      <c r="S98" s="4" t="s">
        <v>53</v>
      </c>
      <c r="T98" s="6">
        <v>35.200000000000003</v>
      </c>
    </row>
    <row r="99" spans="1:20" x14ac:dyDescent="0.3">
      <c r="A99">
        <v>37395</v>
      </c>
      <c r="B99" t="s">
        <v>21</v>
      </c>
      <c r="C99" s="3" t="s">
        <v>48</v>
      </c>
      <c r="D99" t="s">
        <v>49</v>
      </c>
      <c r="E99">
        <v>7868</v>
      </c>
      <c r="F99" t="s">
        <v>24</v>
      </c>
      <c r="H99" s="3" t="s">
        <v>50</v>
      </c>
      <c r="I99" s="3" t="s">
        <v>50</v>
      </c>
      <c r="J99" t="s">
        <v>21</v>
      </c>
      <c r="K99" t="s">
        <v>26</v>
      </c>
      <c r="L99" s="1">
        <v>45870</v>
      </c>
      <c r="M99" s="1">
        <v>45900</v>
      </c>
      <c r="N99" t="s">
        <v>27</v>
      </c>
      <c r="O99" t="s">
        <v>28</v>
      </c>
      <c r="Q99" t="s">
        <v>29</v>
      </c>
      <c r="R99" s="4" t="s">
        <v>54</v>
      </c>
      <c r="S99" s="4" t="s">
        <v>54</v>
      </c>
      <c r="T99" s="5">
        <v>10.3</v>
      </c>
    </row>
    <row r="100" spans="1:20" x14ac:dyDescent="0.3">
      <c r="A100">
        <v>37395</v>
      </c>
      <c r="B100" t="s">
        <v>21</v>
      </c>
      <c r="C100" s="3" t="s">
        <v>55</v>
      </c>
      <c r="D100" t="s">
        <v>56</v>
      </c>
      <c r="E100">
        <v>7868</v>
      </c>
      <c r="F100" t="s">
        <v>24</v>
      </c>
      <c r="H100" s="3" t="s">
        <v>57</v>
      </c>
      <c r="I100" s="3" t="s">
        <v>57</v>
      </c>
      <c r="J100" t="s">
        <v>21</v>
      </c>
      <c r="K100" t="s">
        <v>26</v>
      </c>
      <c r="L100" s="1">
        <v>45870</v>
      </c>
      <c r="M100" s="1">
        <v>45900</v>
      </c>
      <c r="N100" t="s">
        <v>27</v>
      </c>
      <c r="O100" t="s">
        <v>28</v>
      </c>
      <c r="Q100" t="s">
        <v>29</v>
      </c>
      <c r="R100" s="4" t="s">
        <v>58</v>
      </c>
      <c r="S100" s="4" t="s">
        <v>58</v>
      </c>
      <c r="T100" s="6">
        <v>16.2</v>
      </c>
    </row>
    <row r="101" spans="1:20" x14ac:dyDescent="0.3">
      <c r="A101">
        <v>37395</v>
      </c>
      <c r="B101" t="s">
        <v>21</v>
      </c>
      <c r="C101" s="3" t="s">
        <v>55</v>
      </c>
      <c r="D101" t="s">
        <v>56</v>
      </c>
      <c r="E101">
        <v>7868</v>
      </c>
      <c r="F101" t="s">
        <v>24</v>
      </c>
      <c r="H101" s="3" t="s">
        <v>57</v>
      </c>
      <c r="I101" s="3" t="s">
        <v>57</v>
      </c>
      <c r="J101" t="s">
        <v>21</v>
      </c>
      <c r="K101" t="s">
        <v>26</v>
      </c>
      <c r="L101" s="1">
        <v>45870</v>
      </c>
      <c r="M101" s="1">
        <v>45900</v>
      </c>
      <c r="N101" t="s">
        <v>27</v>
      </c>
      <c r="O101" t="s">
        <v>28</v>
      </c>
      <c r="Q101" t="s">
        <v>29</v>
      </c>
      <c r="R101" s="4" t="s">
        <v>59</v>
      </c>
      <c r="S101" s="4" t="s">
        <v>59</v>
      </c>
      <c r="T101" s="5">
        <v>5.8</v>
      </c>
    </row>
    <row r="102" spans="1:20" x14ac:dyDescent="0.3">
      <c r="A102">
        <v>37395</v>
      </c>
      <c r="B102" t="s">
        <v>21</v>
      </c>
      <c r="C102" s="3" t="s">
        <v>60</v>
      </c>
      <c r="D102" t="s">
        <v>61</v>
      </c>
      <c r="E102">
        <v>7868</v>
      </c>
      <c r="F102" t="s">
        <v>24</v>
      </c>
      <c r="H102" s="3" t="s">
        <v>62</v>
      </c>
      <c r="I102" s="3" t="s">
        <v>62</v>
      </c>
      <c r="J102" t="s">
        <v>21</v>
      </c>
      <c r="K102" t="s">
        <v>26</v>
      </c>
      <c r="L102" s="1">
        <v>45870</v>
      </c>
      <c r="M102" s="1">
        <v>45900</v>
      </c>
      <c r="N102" t="s">
        <v>27</v>
      </c>
      <c r="O102" t="s">
        <v>28</v>
      </c>
      <c r="Q102" t="s">
        <v>29</v>
      </c>
      <c r="R102" s="4" t="s">
        <v>63</v>
      </c>
      <c r="S102" s="4" t="s">
        <v>63</v>
      </c>
      <c r="T102" s="6">
        <v>0</v>
      </c>
    </row>
    <row r="103" spans="1:20" x14ac:dyDescent="0.3">
      <c r="A103">
        <v>37395</v>
      </c>
      <c r="B103" t="s">
        <v>21</v>
      </c>
      <c r="C103" s="3" t="s">
        <v>60</v>
      </c>
      <c r="D103" t="s">
        <v>61</v>
      </c>
      <c r="E103">
        <v>7868</v>
      </c>
      <c r="F103" t="s">
        <v>24</v>
      </c>
      <c r="H103" s="3" t="s">
        <v>62</v>
      </c>
      <c r="I103" s="3" t="s">
        <v>62</v>
      </c>
      <c r="J103" t="s">
        <v>21</v>
      </c>
      <c r="K103" t="s">
        <v>26</v>
      </c>
      <c r="L103" s="1">
        <v>45870</v>
      </c>
      <c r="M103" s="1">
        <v>45900</v>
      </c>
      <c r="N103" t="s">
        <v>27</v>
      </c>
      <c r="O103" t="s">
        <v>28</v>
      </c>
      <c r="Q103" t="s">
        <v>29</v>
      </c>
      <c r="R103" s="4" t="s">
        <v>64</v>
      </c>
      <c r="S103" s="4" t="s">
        <v>64</v>
      </c>
      <c r="T103" s="5">
        <v>51.7</v>
      </c>
    </row>
    <row r="104" spans="1:20" x14ac:dyDescent="0.3">
      <c r="A104">
        <v>37395</v>
      </c>
      <c r="B104" t="s">
        <v>21</v>
      </c>
      <c r="C104" s="3" t="s">
        <v>60</v>
      </c>
      <c r="D104" t="s">
        <v>61</v>
      </c>
      <c r="E104">
        <v>7868</v>
      </c>
      <c r="F104" t="s">
        <v>24</v>
      </c>
      <c r="H104" s="3" t="s">
        <v>62</v>
      </c>
      <c r="I104" s="3" t="s">
        <v>62</v>
      </c>
      <c r="J104" t="s">
        <v>21</v>
      </c>
      <c r="K104" t="s">
        <v>26</v>
      </c>
      <c r="L104" s="1">
        <v>45870</v>
      </c>
      <c r="M104" s="1">
        <v>45900</v>
      </c>
      <c r="N104" t="s">
        <v>27</v>
      </c>
      <c r="O104" t="s">
        <v>28</v>
      </c>
      <c r="Q104" t="s">
        <v>29</v>
      </c>
      <c r="R104" s="4" t="s">
        <v>65</v>
      </c>
      <c r="S104" s="4" t="s">
        <v>65</v>
      </c>
      <c r="T104" s="6">
        <v>12.7</v>
      </c>
    </row>
    <row r="105" spans="1:20" x14ac:dyDescent="0.3">
      <c r="A105">
        <v>37395</v>
      </c>
      <c r="B105" t="s">
        <v>21</v>
      </c>
      <c r="C105" s="3" t="s">
        <v>66</v>
      </c>
      <c r="D105" t="s">
        <v>67</v>
      </c>
      <c r="E105">
        <v>7868</v>
      </c>
      <c r="F105" t="s">
        <v>24</v>
      </c>
      <c r="H105" s="3" t="s">
        <v>68</v>
      </c>
      <c r="I105" s="3" t="s">
        <v>68</v>
      </c>
      <c r="J105" t="s">
        <v>21</v>
      </c>
      <c r="K105" t="s">
        <v>26</v>
      </c>
      <c r="L105" s="1">
        <v>45870</v>
      </c>
      <c r="M105" s="1">
        <v>45900</v>
      </c>
      <c r="N105" t="s">
        <v>27</v>
      </c>
      <c r="O105" t="s">
        <v>28</v>
      </c>
      <c r="Q105" t="s">
        <v>29</v>
      </c>
      <c r="R105" s="4" t="s">
        <v>69</v>
      </c>
      <c r="S105" s="4" t="s">
        <v>69</v>
      </c>
      <c r="T105" s="5">
        <v>31.5</v>
      </c>
    </row>
    <row r="106" spans="1:20" x14ac:dyDescent="0.3">
      <c r="A106">
        <v>37395</v>
      </c>
      <c r="B106" t="s">
        <v>21</v>
      </c>
      <c r="C106" s="3" t="s">
        <v>66</v>
      </c>
      <c r="D106" t="s">
        <v>67</v>
      </c>
      <c r="E106">
        <v>7868</v>
      </c>
      <c r="F106" t="s">
        <v>24</v>
      </c>
      <c r="H106" s="3" t="s">
        <v>68</v>
      </c>
      <c r="I106" s="3" t="s">
        <v>68</v>
      </c>
      <c r="J106" t="s">
        <v>21</v>
      </c>
      <c r="K106" t="s">
        <v>26</v>
      </c>
      <c r="L106" s="1">
        <v>45870</v>
      </c>
      <c r="M106" s="1">
        <v>45900</v>
      </c>
      <c r="N106" t="s">
        <v>27</v>
      </c>
      <c r="O106" t="s">
        <v>28</v>
      </c>
      <c r="Q106" t="s">
        <v>29</v>
      </c>
      <c r="R106" s="4" t="s">
        <v>70</v>
      </c>
      <c r="S106" s="4" t="s">
        <v>70</v>
      </c>
      <c r="T106" s="6">
        <v>10.4</v>
      </c>
    </row>
    <row r="107" spans="1:20" x14ac:dyDescent="0.3">
      <c r="A107">
        <v>37395</v>
      </c>
      <c r="B107" t="s">
        <v>21</v>
      </c>
      <c r="C107" s="3" t="s">
        <v>71</v>
      </c>
      <c r="D107" t="s">
        <v>72</v>
      </c>
      <c r="E107">
        <v>7868</v>
      </c>
      <c r="F107" t="s">
        <v>24</v>
      </c>
      <c r="H107" s="3" t="s">
        <v>73</v>
      </c>
      <c r="I107" s="3" t="s">
        <v>73</v>
      </c>
      <c r="J107" t="s">
        <v>21</v>
      </c>
      <c r="K107" t="s">
        <v>26</v>
      </c>
      <c r="L107" s="1">
        <v>45870</v>
      </c>
      <c r="M107" s="1">
        <v>45900</v>
      </c>
      <c r="N107" t="s">
        <v>27</v>
      </c>
      <c r="O107" t="s">
        <v>28</v>
      </c>
      <c r="Q107" t="s">
        <v>29</v>
      </c>
      <c r="R107" s="4" t="s">
        <v>74</v>
      </c>
      <c r="S107" s="4" t="s">
        <v>74</v>
      </c>
      <c r="T107" s="5">
        <v>17.899999999999999</v>
      </c>
    </row>
    <row r="108" spans="1:20" x14ac:dyDescent="0.3">
      <c r="A108">
        <v>37395</v>
      </c>
      <c r="B108" t="s">
        <v>21</v>
      </c>
      <c r="C108" s="3" t="s">
        <v>71</v>
      </c>
      <c r="D108" t="s">
        <v>72</v>
      </c>
      <c r="E108">
        <v>7868</v>
      </c>
      <c r="F108" t="s">
        <v>24</v>
      </c>
      <c r="H108" s="3" t="s">
        <v>73</v>
      </c>
      <c r="I108" s="3" t="s">
        <v>73</v>
      </c>
      <c r="J108" t="s">
        <v>21</v>
      </c>
      <c r="K108" t="s">
        <v>26</v>
      </c>
      <c r="L108" s="1">
        <v>45870</v>
      </c>
      <c r="M108" s="1">
        <v>45900</v>
      </c>
      <c r="N108" t="s">
        <v>27</v>
      </c>
      <c r="O108" t="s">
        <v>28</v>
      </c>
      <c r="Q108" t="s">
        <v>29</v>
      </c>
      <c r="R108" s="4" t="s">
        <v>75</v>
      </c>
      <c r="S108" s="4" t="s">
        <v>75</v>
      </c>
      <c r="T108" s="6">
        <v>9.3000000000000007</v>
      </c>
    </row>
    <row r="109" spans="1:20" x14ac:dyDescent="0.3">
      <c r="A109">
        <v>37395</v>
      </c>
      <c r="B109" t="s">
        <v>21</v>
      </c>
      <c r="C109" s="3" t="s">
        <v>76</v>
      </c>
      <c r="D109" t="s">
        <v>77</v>
      </c>
      <c r="E109">
        <v>7868</v>
      </c>
      <c r="F109" t="s">
        <v>24</v>
      </c>
      <c r="H109" s="3" t="s">
        <v>78</v>
      </c>
      <c r="I109" s="3" t="s">
        <v>78</v>
      </c>
      <c r="J109" t="s">
        <v>21</v>
      </c>
      <c r="K109" t="s">
        <v>26</v>
      </c>
      <c r="L109" s="1">
        <v>45870</v>
      </c>
      <c r="M109" s="1">
        <v>45900</v>
      </c>
      <c r="N109" t="s">
        <v>27</v>
      </c>
      <c r="O109" t="s">
        <v>28</v>
      </c>
      <c r="Q109" t="s">
        <v>29</v>
      </c>
      <c r="R109" s="4" t="s">
        <v>79</v>
      </c>
      <c r="S109" s="4" t="s">
        <v>79</v>
      </c>
      <c r="T109" s="5">
        <v>15.3</v>
      </c>
    </row>
    <row r="110" spans="1:20" x14ac:dyDescent="0.3">
      <c r="A110">
        <v>37395</v>
      </c>
      <c r="B110" t="s">
        <v>21</v>
      </c>
      <c r="C110" s="3" t="s">
        <v>80</v>
      </c>
      <c r="D110" t="s">
        <v>81</v>
      </c>
      <c r="E110">
        <v>7868</v>
      </c>
      <c r="F110" t="s">
        <v>24</v>
      </c>
      <c r="H110" s="3" t="s">
        <v>82</v>
      </c>
      <c r="I110" s="3" t="s">
        <v>82</v>
      </c>
      <c r="J110" t="s">
        <v>21</v>
      </c>
      <c r="K110" t="s">
        <v>26</v>
      </c>
      <c r="L110" s="1">
        <v>45870</v>
      </c>
      <c r="M110" s="1">
        <v>45900</v>
      </c>
      <c r="N110" t="s">
        <v>27</v>
      </c>
      <c r="O110" t="s">
        <v>28</v>
      </c>
      <c r="Q110" t="s">
        <v>29</v>
      </c>
      <c r="R110" s="4" t="s">
        <v>83</v>
      </c>
      <c r="S110" s="4" t="s">
        <v>83</v>
      </c>
      <c r="T110" s="6">
        <v>0.2</v>
      </c>
    </row>
    <row r="111" spans="1:20" x14ac:dyDescent="0.3">
      <c r="A111">
        <v>37395</v>
      </c>
      <c r="B111" t="s">
        <v>21</v>
      </c>
      <c r="C111" s="3" t="s">
        <v>80</v>
      </c>
      <c r="D111" t="s">
        <v>81</v>
      </c>
      <c r="E111">
        <v>7868</v>
      </c>
      <c r="F111" t="s">
        <v>24</v>
      </c>
      <c r="H111" s="3" t="s">
        <v>82</v>
      </c>
      <c r="I111" s="3" t="s">
        <v>82</v>
      </c>
      <c r="J111" t="s">
        <v>21</v>
      </c>
      <c r="K111" t="s">
        <v>26</v>
      </c>
      <c r="L111" s="1">
        <v>45870</v>
      </c>
      <c r="M111" s="1">
        <v>45900</v>
      </c>
      <c r="N111" t="s">
        <v>27</v>
      </c>
      <c r="O111" t="s">
        <v>28</v>
      </c>
      <c r="Q111" t="s">
        <v>29</v>
      </c>
      <c r="R111" s="4" t="s">
        <v>84</v>
      </c>
      <c r="S111" s="4" t="s">
        <v>84</v>
      </c>
      <c r="T111" s="5">
        <v>2.7</v>
      </c>
    </row>
    <row r="112" spans="1:20" x14ac:dyDescent="0.3">
      <c r="A112">
        <v>37395</v>
      </c>
      <c r="B112" t="s">
        <v>21</v>
      </c>
      <c r="C112" s="3" t="s">
        <v>80</v>
      </c>
      <c r="D112" t="s">
        <v>81</v>
      </c>
      <c r="E112">
        <v>7868</v>
      </c>
      <c r="F112" t="s">
        <v>24</v>
      </c>
      <c r="H112" s="3" t="s">
        <v>82</v>
      </c>
      <c r="I112" s="3" t="s">
        <v>82</v>
      </c>
      <c r="J112" t="s">
        <v>21</v>
      </c>
      <c r="K112" t="s">
        <v>26</v>
      </c>
      <c r="L112" s="1">
        <v>45870</v>
      </c>
      <c r="M112" s="1">
        <v>45900</v>
      </c>
      <c r="N112" t="s">
        <v>27</v>
      </c>
      <c r="O112" t="s">
        <v>28</v>
      </c>
      <c r="Q112" t="s">
        <v>29</v>
      </c>
      <c r="R112" s="4" t="s">
        <v>85</v>
      </c>
      <c r="S112" s="4" t="s">
        <v>85</v>
      </c>
      <c r="T112" s="6">
        <v>3.2</v>
      </c>
    </row>
    <row r="113" spans="1:20" x14ac:dyDescent="0.3">
      <c r="A113">
        <v>37395</v>
      </c>
      <c r="B113" t="s">
        <v>21</v>
      </c>
      <c r="C113" s="3" t="s">
        <v>80</v>
      </c>
      <c r="D113" t="s">
        <v>81</v>
      </c>
      <c r="E113">
        <v>7868</v>
      </c>
      <c r="F113" t="s">
        <v>24</v>
      </c>
      <c r="H113" s="3" t="s">
        <v>82</v>
      </c>
      <c r="I113" s="3" t="s">
        <v>82</v>
      </c>
      <c r="J113" t="s">
        <v>21</v>
      </c>
      <c r="K113" t="s">
        <v>26</v>
      </c>
      <c r="L113" s="1">
        <v>45870</v>
      </c>
      <c r="M113" s="1">
        <v>45900</v>
      </c>
      <c r="N113" t="s">
        <v>27</v>
      </c>
      <c r="O113" t="s">
        <v>28</v>
      </c>
      <c r="Q113" t="s">
        <v>29</v>
      </c>
      <c r="R113" s="4" t="s">
        <v>86</v>
      </c>
      <c r="S113" s="4" t="s">
        <v>86</v>
      </c>
      <c r="T113" s="5">
        <v>0</v>
      </c>
    </row>
    <row r="114" spans="1:20" x14ac:dyDescent="0.3">
      <c r="A114">
        <v>37395</v>
      </c>
      <c r="B114" t="s">
        <v>21</v>
      </c>
      <c r="C114" s="3" t="s">
        <v>87</v>
      </c>
      <c r="D114" t="s">
        <v>88</v>
      </c>
      <c r="E114">
        <v>7868</v>
      </c>
      <c r="F114" t="s">
        <v>24</v>
      </c>
      <c r="H114" s="3" t="s">
        <v>89</v>
      </c>
      <c r="I114" s="3" t="s">
        <v>89</v>
      </c>
      <c r="J114" t="s">
        <v>21</v>
      </c>
      <c r="K114" t="s">
        <v>26</v>
      </c>
      <c r="L114" s="1">
        <v>45870</v>
      </c>
      <c r="M114" s="1">
        <v>45900</v>
      </c>
      <c r="N114" t="s">
        <v>27</v>
      </c>
      <c r="O114" t="s">
        <v>28</v>
      </c>
      <c r="Q114" t="s">
        <v>29</v>
      </c>
      <c r="R114" s="4" t="s">
        <v>90</v>
      </c>
      <c r="S114" s="4" t="s">
        <v>90</v>
      </c>
      <c r="T114" s="6">
        <v>0</v>
      </c>
    </row>
    <row r="115" spans="1:20" x14ac:dyDescent="0.3">
      <c r="A115">
        <v>37395</v>
      </c>
      <c r="B115" t="s">
        <v>21</v>
      </c>
      <c r="C115" s="3" t="s">
        <v>87</v>
      </c>
      <c r="D115" t="s">
        <v>88</v>
      </c>
      <c r="E115">
        <v>7868</v>
      </c>
      <c r="F115" t="s">
        <v>24</v>
      </c>
      <c r="H115" s="3" t="s">
        <v>89</v>
      </c>
      <c r="I115" s="3" t="s">
        <v>89</v>
      </c>
      <c r="J115" t="s">
        <v>21</v>
      </c>
      <c r="K115" t="s">
        <v>26</v>
      </c>
      <c r="L115" s="1">
        <v>45870</v>
      </c>
      <c r="M115" s="1">
        <v>45900</v>
      </c>
      <c r="N115" t="s">
        <v>27</v>
      </c>
      <c r="O115" t="s">
        <v>28</v>
      </c>
      <c r="Q115" t="s">
        <v>29</v>
      </c>
      <c r="R115" s="4" t="s">
        <v>91</v>
      </c>
      <c r="S115" s="4" t="s">
        <v>91</v>
      </c>
      <c r="T115" s="5">
        <v>0</v>
      </c>
    </row>
    <row r="116" spans="1:20" x14ac:dyDescent="0.3">
      <c r="A116">
        <v>37395</v>
      </c>
      <c r="B116" t="s">
        <v>21</v>
      </c>
      <c r="C116" s="3" t="s">
        <v>87</v>
      </c>
      <c r="D116" t="s">
        <v>88</v>
      </c>
      <c r="E116">
        <v>7868</v>
      </c>
      <c r="F116" t="s">
        <v>24</v>
      </c>
      <c r="H116" s="3" t="s">
        <v>89</v>
      </c>
      <c r="I116" s="3" t="s">
        <v>89</v>
      </c>
      <c r="J116" t="s">
        <v>21</v>
      </c>
      <c r="K116" t="s">
        <v>26</v>
      </c>
      <c r="L116" s="1">
        <v>45870</v>
      </c>
      <c r="M116" s="1">
        <v>45900</v>
      </c>
      <c r="N116" t="s">
        <v>27</v>
      </c>
      <c r="O116" t="s">
        <v>28</v>
      </c>
      <c r="Q116" t="s">
        <v>29</v>
      </c>
      <c r="R116" s="4" t="s">
        <v>92</v>
      </c>
      <c r="S116" s="4" t="s">
        <v>92</v>
      </c>
      <c r="T116" s="6">
        <v>0.4</v>
      </c>
    </row>
    <row r="117" spans="1:20" x14ac:dyDescent="0.3">
      <c r="A117">
        <v>37395</v>
      </c>
      <c r="B117" t="s">
        <v>21</v>
      </c>
      <c r="C117" s="3" t="s">
        <v>93</v>
      </c>
      <c r="D117" t="s">
        <v>94</v>
      </c>
      <c r="E117">
        <v>7868</v>
      </c>
      <c r="F117" t="s">
        <v>24</v>
      </c>
      <c r="H117" s="3" t="s">
        <v>95</v>
      </c>
      <c r="I117" s="3" t="s">
        <v>95</v>
      </c>
      <c r="J117" t="s">
        <v>21</v>
      </c>
      <c r="K117" t="s">
        <v>26</v>
      </c>
      <c r="L117" s="1">
        <v>45870</v>
      </c>
      <c r="M117" s="1">
        <v>45900</v>
      </c>
      <c r="N117" t="s">
        <v>27</v>
      </c>
      <c r="O117" t="s">
        <v>28</v>
      </c>
      <c r="Q117" t="s">
        <v>29</v>
      </c>
      <c r="R117" s="4" t="s">
        <v>96</v>
      </c>
      <c r="S117" s="4" t="s">
        <v>96</v>
      </c>
      <c r="T117" s="5">
        <v>0</v>
      </c>
    </row>
    <row r="118" spans="1:20" x14ac:dyDescent="0.3">
      <c r="A118">
        <v>37395</v>
      </c>
      <c r="B118" t="s">
        <v>21</v>
      </c>
      <c r="C118" s="3" t="s">
        <v>97</v>
      </c>
      <c r="D118" t="s">
        <v>98</v>
      </c>
      <c r="E118">
        <v>7868</v>
      </c>
      <c r="F118" t="s">
        <v>24</v>
      </c>
      <c r="H118" s="3" t="s">
        <v>99</v>
      </c>
      <c r="I118" s="3" t="s">
        <v>99</v>
      </c>
      <c r="J118" t="s">
        <v>21</v>
      </c>
      <c r="K118" t="s">
        <v>26</v>
      </c>
      <c r="L118" s="1">
        <v>45870</v>
      </c>
      <c r="M118" s="1">
        <v>45900</v>
      </c>
      <c r="N118" t="s">
        <v>27</v>
      </c>
      <c r="O118" t="s">
        <v>28</v>
      </c>
      <c r="Q118" t="s">
        <v>29</v>
      </c>
      <c r="R118" s="4" t="s">
        <v>100</v>
      </c>
      <c r="S118" s="4" t="s">
        <v>100</v>
      </c>
      <c r="T118" s="6">
        <v>0</v>
      </c>
    </row>
    <row r="119" spans="1:20" x14ac:dyDescent="0.3">
      <c r="A119">
        <v>37395</v>
      </c>
      <c r="B119" t="s">
        <v>21</v>
      </c>
      <c r="C119" s="3" t="s">
        <v>97</v>
      </c>
      <c r="D119" t="s">
        <v>98</v>
      </c>
      <c r="E119">
        <v>7868</v>
      </c>
      <c r="F119" t="s">
        <v>24</v>
      </c>
      <c r="H119" s="3" t="s">
        <v>99</v>
      </c>
      <c r="I119" s="3" t="s">
        <v>99</v>
      </c>
      <c r="J119" t="s">
        <v>21</v>
      </c>
      <c r="K119" t="s">
        <v>26</v>
      </c>
      <c r="L119" s="1">
        <v>45870</v>
      </c>
      <c r="M119" s="1">
        <v>45900</v>
      </c>
      <c r="N119" t="s">
        <v>27</v>
      </c>
      <c r="O119" t="s">
        <v>28</v>
      </c>
      <c r="Q119" t="s">
        <v>29</v>
      </c>
      <c r="R119" s="4" t="s">
        <v>101</v>
      </c>
      <c r="S119" s="4" t="s">
        <v>101</v>
      </c>
      <c r="T119" s="5">
        <v>21.4</v>
      </c>
    </row>
    <row r="120" spans="1:20" x14ac:dyDescent="0.3">
      <c r="A120">
        <v>37395</v>
      </c>
      <c r="B120" t="s">
        <v>21</v>
      </c>
      <c r="C120" s="3" t="s">
        <v>102</v>
      </c>
      <c r="D120" t="s">
        <v>103</v>
      </c>
      <c r="E120">
        <v>7868</v>
      </c>
      <c r="F120" t="s">
        <v>24</v>
      </c>
      <c r="H120" s="3" t="s">
        <v>104</v>
      </c>
      <c r="I120" s="3" t="s">
        <v>104</v>
      </c>
      <c r="J120" t="s">
        <v>21</v>
      </c>
      <c r="K120" t="s">
        <v>26</v>
      </c>
      <c r="L120" s="1">
        <v>45870</v>
      </c>
      <c r="M120" s="1">
        <v>45900</v>
      </c>
      <c r="N120" t="s">
        <v>27</v>
      </c>
      <c r="O120" t="s">
        <v>28</v>
      </c>
      <c r="Q120" t="s">
        <v>29</v>
      </c>
      <c r="R120" s="4" t="s">
        <v>105</v>
      </c>
      <c r="S120" s="4" t="s">
        <v>105</v>
      </c>
      <c r="T120" s="6">
        <v>0</v>
      </c>
    </row>
    <row r="121" spans="1:20" x14ac:dyDescent="0.3">
      <c r="A121">
        <v>37395</v>
      </c>
      <c r="B121" t="s">
        <v>21</v>
      </c>
      <c r="C121" s="3" t="s">
        <v>106</v>
      </c>
      <c r="D121" t="s">
        <v>107</v>
      </c>
      <c r="E121">
        <v>7868</v>
      </c>
      <c r="F121" t="s">
        <v>24</v>
      </c>
      <c r="H121" s="3" t="s">
        <v>108</v>
      </c>
      <c r="I121" s="3" t="s">
        <v>108</v>
      </c>
      <c r="J121" t="s">
        <v>21</v>
      </c>
      <c r="K121" t="s">
        <v>26</v>
      </c>
      <c r="L121" s="1">
        <v>45870</v>
      </c>
      <c r="M121" s="1">
        <v>45900</v>
      </c>
      <c r="N121" t="s">
        <v>27</v>
      </c>
      <c r="O121" t="s">
        <v>28</v>
      </c>
      <c r="Q121" t="s">
        <v>29</v>
      </c>
      <c r="R121" s="4" t="s">
        <v>109</v>
      </c>
      <c r="S121" s="4" t="s">
        <v>109</v>
      </c>
      <c r="T121" s="5">
        <v>37.299999999999997</v>
      </c>
    </row>
    <row r="122" spans="1:20" x14ac:dyDescent="0.3">
      <c r="A122">
        <v>37395</v>
      </c>
      <c r="B122" t="s">
        <v>21</v>
      </c>
      <c r="C122" s="3" t="s">
        <v>106</v>
      </c>
      <c r="D122" t="s">
        <v>107</v>
      </c>
      <c r="E122">
        <v>7868</v>
      </c>
      <c r="F122" t="s">
        <v>24</v>
      </c>
      <c r="H122" s="3" t="s">
        <v>108</v>
      </c>
      <c r="I122" s="3" t="s">
        <v>108</v>
      </c>
      <c r="J122" t="s">
        <v>21</v>
      </c>
      <c r="K122" t="s">
        <v>26</v>
      </c>
      <c r="L122" s="1">
        <v>45870</v>
      </c>
      <c r="M122" s="1">
        <v>45900</v>
      </c>
      <c r="N122" t="s">
        <v>27</v>
      </c>
      <c r="O122" t="s">
        <v>28</v>
      </c>
      <c r="Q122" t="s">
        <v>29</v>
      </c>
      <c r="R122" s="4" t="s">
        <v>110</v>
      </c>
      <c r="S122" s="4" t="s">
        <v>110</v>
      </c>
      <c r="T122" s="6">
        <v>1.8</v>
      </c>
    </row>
    <row r="123" spans="1:20" x14ac:dyDescent="0.3">
      <c r="A123">
        <v>37395</v>
      </c>
      <c r="B123" t="s">
        <v>21</v>
      </c>
      <c r="C123" s="3" t="s">
        <v>106</v>
      </c>
      <c r="D123" t="s">
        <v>107</v>
      </c>
      <c r="E123">
        <v>7868</v>
      </c>
      <c r="F123" t="s">
        <v>24</v>
      </c>
      <c r="H123" s="3" t="s">
        <v>108</v>
      </c>
      <c r="I123" s="3" t="s">
        <v>108</v>
      </c>
      <c r="J123" t="s">
        <v>21</v>
      </c>
      <c r="K123" t="s">
        <v>26</v>
      </c>
      <c r="L123" s="1">
        <v>45870</v>
      </c>
      <c r="M123" s="1">
        <v>45900</v>
      </c>
      <c r="N123" t="s">
        <v>27</v>
      </c>
      <c r="O123" t="s">
        <v>28</v>
      </c>
      <c r="Q123" t="s">
        <v>29</v>
      </c>
      <c r="R123" s="4" t="s">
        <v>111</v>
      </c>
      <c r="S123" s="4" t="s">
        <v>111</v>
      </c>
      <c r="T123" s="5">
        <v>3.4</v>
      </c>
    </row>
    <row r="124" spans="1:20" x14ac:dyDescent="0.3">
      <c r="A124">
        <v>37395</v>
      </c>
      <c r="B124" t="s">
        <v>21</v>
      </c>
      <c r="C124" s="3" t="s">
        <v>106</v>
      </c>
      <c r="D124" t="s">
        <v>107</v>
      </c>
      <c r="E124">
        <v>7868</v>
      </c>
      <c r="F124" t="s">
        <v>24</v>
      </c>
      <c r="H124" s="3" t="s">
        <v>108</v>
      </c>
      <c r="I124" s="3" t="s">
        <v>108</v>
      </c>
      <c r="J124" t="s">
        <v>21</v>
      </c>
      <c r="K124" t="s">
        <v>26</v>
      </c>
      <c r="L124" s="1">
        <v>45870</v>
      </c>
      <c r="M124" s="1">
        <v>45900</v>
      </c>
      <c r="N124" t="s">
        <v>27</v>
      </c>
      <c r="O124" t="s">
        <v>28</v>
      </c>
      <c r="Q124" t="s">
        <v>29</v>
      </c>
      <c r="R124" s="4" t="s">
        <v>112</v>
      </c>
      <c r="S124" s="4" t="s">
        <v>112</v>
      </c>
      <c r="T124" s="6">
        <v>0.8</v>
      </c>
    </row>
    <row r="125" spans="1:20" x14ac:dyDescent="0.3">
      <c r="A125">
        <v>37395</v>
      </c>
      <c r="B125" t="s">
        <v>21</v>
      </c>
      <c r="C125" s="3" t="s">
        <v>106</v>
      </c>
      <c r="D125" t="s">
        <v>107</v>
      </c>
      <c r="E125">
        <v>7868</v>
      </c>
      <c r="F125" t="s">
        <v>24</v>
      </c>
      <c r="H125" s="3" t="s">
        <v>108</v>
      </c>
      <c r="I125" s="3" t="s">
        <v>108</v>
      </c>
      <c r="J125" t="s">
        <v>21</v>
      </c>
      <c r="K125" t="s">
        <v>26</v>
      </c>
      <c r="L125" s="1">
        <v>45870</v>
      </c>
      <c r="M125" s="1">
        <v>45900</v>
      </c>
      <c r="N125" t="s">
        <v>27</v>
      </c>
      <c r="O125" t="s">
        <v>28</v>
      </c>
      <c r="Q125" t="s">
        <v>29</v>
      </c>
      <c r="R125" s="4" t="s">
        <v>113</v>
      </c>
      <c r="S125" s="4" t="s">
        <v>113</v>
      </c>
      <c r="T125" s="5">
        <v>0</v>
      </c>
    </row>
    <row r="126" spans="1:20" x14ac:dyDescent="0.3">
      <c r="A126">
        <v>37395</v>
      </c>
      <c r="B126" t="s">
        <v>21</v>
      </c>
      <c r="C126" s="3" t="s">
        <v>106</v>
      </c>
      <c r="D126" t="s">
        <v>107</v>
      </c>
      <c r="E126">
        <v>7868</v>
      </c>
      <c r="F126" t="s">
        <v>24</v>
      </c>
      <c r="H126" s="3" t="s">
        <v>108</v>
      </c>
      <c r="I126" s="3" t="s">
        <v>108</v>
      </c>
      <c r="J126" t="s">
        <v>21</v>
      </c>
      <c r="K126" t="s">
        <v>26</v>
      </c>
      <c r="L126" s="1">
        <v>45870</v>
      </c>
      <c r="M126" s="1">
        <v>45900</v>
      </c>
      <c r="N126" t="s">
        <v>27</v>
      </c>
      <c r="O126" t="s">
        <v>28</v>
      </c>
      <c r="Q126" t="s">
        <v>29</v>
      </c>
      <c r="R126" s="4" t="s">
        <v>114</v>
      </c>
      <c r="S126" s="4" t="s">
        <v>114</v>
      </c>
      <c r="T126" s="6">
        <v>6</v>
      </c>
    </row>
    <row r="127" spans="1:20" x14ac:dyDescent="0.3">
      <c r="A127">
        <v>37395</v>
      </c>
      <c r="B127" t="s">
        <v>21</v>
      </c>
      <c r="C127" s="3" t="s">
        <v>106</v>
      </c>
      <c r="D127" t="s">
        <v>107</v>
      </c>
      <c r="E127">
        <v>7868</v>
      </c>
      <c r="F127" t="s">
        <v>24</v>
      </c>
      <c r="H127" s="3" t="s">
        <v>108</v>
      </c>
      <c r="I127" s="3" t="s">
        <v>108</v>
      </c>
      <c r="J127" t="s">
        <v>21</v>
      </c>
      <c r="K127" t="s">
        <v>26</v>
      </c>
      <c r="L127" s="1">
        <v>45870</v>
      </c>
      <c r="M127" s="1">
        <v>45900</v>
      </c>
      <c r="N127" t="s">
        <v>27</v>
      </c>
      <c r="O127" t="s">
        <v>28</v>
      </c>
      <c r="Q127" t="s">
        <v>29</v>
      </c>
      <c r="R127" s="4" t="s">
        <v>115</v>
      </c>
      <c r="S127" s="4" t="s">
        <v>115</v>
      </c>
      <c r="T127" s="5">
        <v>0</v>
      </c>
    </row>
    <row r="128" spans="1:20" x14ac:dyDescent="0.3">
      <c r="A128">
        <v>37395</v>
      </c>
      <c r="B128" t="s">
        <v>21</v>
      </c>
      <c r="C128" s="3" t="s">
        <v>116</v>
      </c>
      <c r="D128" t="s">
        <v>117</v>
      </c>
      <c r="E128">
        <v>7868</v>
      </c>
      <c r="F128" t="s">
        <v>24</v>
      </c>
      <c r="H128" s="3" t="s">
        <v>118</v>
      </c>
      <c r="I128" s="3" t="s">
        <v>118</v>
      </c>
      <c r="J128" t="s">
        <v>21</v>
      </c>
      <c r="K128" t="s">
        <v>26</v>
      </c>
      <c r="L128" s="1">
        <v>45870</v>
      </c>
      <c r="M128" s="1">
        <v>45900</v>
      </c>
      <c r="N128" t="s">
        <v>27</v>
      </c>
      <c r="O128" t="s">
        <v>28</v>
      </c>
      <c r="Q128" t="s">
        <v>29</v>
      </c>
      <c r="R128" s="4" t="s">
        <v>119</v>
      </c>
      <c r="S128" s="4" t="s">
        <v>119</v>
      </c>
      <c r="T128" s="6">
        <v>1.1000000000000001</v>
      </c>
    </row>
    <row r="129" spans="1:20" x14ac:dyDescent="0.3">
      <c r="A129">
        <v>37395</v>
      </c>
      <c r="B129" t="s">
        <v>21</v>
      </c>
      <c r="C129" s="3" t="s">
        <v>116</v>
      </c>
      <c r="D129" t="s">
        <v>117</v>
      </c>
      <c r="E129">
        <v>7868</v>
      </c>
      <c r="F129" t="s">
        <v>24</v>
      </c>
      <c r="H129" s="3" t="s">
        <v>118</v>
      </c>
      <c r="I129" s="3" t="s">
        <v>118</v>
      </c>
      <c r="J129" t="s">
        <v>21</v>
      </c>
      <c r="K129" t="s">
        <v>26</v>
      </c>
      <c r="L129" s="1">
        <v>45870</v>
      </c>
      <c r="M129" s="1">
        <v>45900</v>
      </c>
      <c r="N129" t="s">
        <v>27</v>
      </c>
      <c r="O129" t="s">
        <v>28</v>
      </c>
      <c r="Q129" t="s">
        <v>29</v>
      </c>
      <c r="R129" s="4" t="s">
        <v>120</v>
      </c>
      <c r="S129" s="4" t="s">
        <v>120</v>
      </c>
      <c r="T129" s="5">
        <v>0.1</v>
      </c>
    </row>
    <row r="130" spans="1:20" x14ac:dyDescent="0.3">
      <c r="A130">
        <v>37395</v>
      </c>
      <c r="B130" t="s">
        <v>21</v>
      </c>
      <c r="C130" s="3" t="s">
        <v>116</v>
      </c>
      <c r="D130" t="s">
        <v>117</v>
      </c>
      <c r="E130">
        <v>7868</v>
      </c>
      <c r="F130" t="s">
        <v>24</v>
      </c>
      <c r="H130" s="3" t="s">
        <v>118</v>
      </c>
      <c r="I130" s="3" t="s">
        <v>118</v>
      </c>
      <c r="J130" t="s">
        <v>21</v>
      </c>
      <c r="K130" t="s">
        <v>26</v>
      </c>
      <c r="L130" s="1">
        <v>45870</v>
      </c>
      <c r="M130" s="1">
        <v>45900</v>
      </c>
      <c r="N130" t="s">
        <v>27</v>
      </c>
      <c r="O130" t="s">
        <v>28</v>
      </c>
      <c r="Q130" t="s">
        <v>29</v>
      </c>
      <c r="R130" s="4" t="s">
        <v>121</v>
      </c>
      <c r="S130" s="4" t="s">
        <v>121</v>
      </c>
      <c r="T130" s="6">
        <v>8.6999999999999993</v>
      </c>
    </row>
    <row r="131" spans="1:20" x14ac:dyDescent="0.3">
      <c r="A131">
        <v>37395</v>
      </c>
      <c r="B131" t="s">
        <v>21</v>
      </c>
      <c r="C131" s="3" t="s">
        <v>122</v>
      </c>
      <c r="D131" t="s">
        <v>123</v>
      </c>
      <c r="E131">
        <v>7868</v>
      </c>
      <c r="F131" t="s">
        <v>24</v>
      </c>
      <c r="H131" s="3" t="s">
        <v>124</v>
      </c>
      <c r="I131" s="3" t="s">
        <v>124</v>
      </c>
      <c r="J131" t="s">
        <v>21</v>
      </c>
      <c r="K131" t="s">
        <v>26</v>
      </c>
      <c r="L131" s="1">
        <v>45870</v>
      </c>
      <c r="M131" s="1">
        <v>45900</v>
      </c>
      <c r="N131" t="s">
        <v>27</v>
      </c>
      <c r="O131" t="s">
        <v>28</v>
      </c>
      <c r="Q131" t="s">
        <v>29</v>
      </c>
      <c r="R131" s="4" t="s">
        <v>125</v>
      </c>
      <c r="S131" s="4" t="s">
        <v>125</v>
      </c>
      <c r="T131" s="5">
        <v>21.7</v>
      </c>
    </row>
    <row r="132" spans="1:20" x14ac:dyDescent="0.3">
      <c r="A132">
        <v>37395</v>
      </c>
      <c r="B132" t="s">
        <v>21</v>
      </c>
      <c r="C132" s="3" t="s">
        <v>122</v>
      </c>
      <c r="D132" t="s">
        <v>123</v>
      </c>
      <c r="E132">
        <v>7868</v>
      </c>
      <c r="F132" t="s">
        <v>24</v>
      </c>
      <c r="H132" s="3" t="s">
        <v>124</v>
      </c>
      <c r="I132" s="3" t="s">
        <v>124</v>
      </c>
      <c r="J132" t="s">
        <v>21</v>
      </c>
      <c r="K132" t="s">
        <v>26</v>
      </c>
      <c r="L132" s="1">
        <v>45870</v>
      </c>
      <c r="M132" s="1">
        <v>45900</v>
      </c>
      <c r="N132" t="s">
        <v>27</v>
      </c>
      <c r="O132" t="s">
        <v>28</v>
      </c>
      <c r="Q132" t="s">
        <v>29</v>
      </c>
      <c r="R132" s="4" t="s">
        <v>126</v>
      </c>
      <c r="S132" s="4" t="s">
        <v>126</v>
      </c>
      <c r="T132" s="6">
        <v>0.4</v>
      </c>
    </row>
    <row r="133" spans="1:20" x14ac:dyDescent="0.3">
      <c r="A133">
        <v>37395</v>
      </c>
      <c r="B133" t="s">
        <v>21</v>
      </c>
      <c r="C133" s="3" t="s">
        <v>122</v>
      </c>
      <c r="D133" t="s">
        <v>123</v>
      </c>
      <c r="E133">
        <v>7868</v>
      </c>
      <c r="F133" t="s">
        <v>24</v>
      </c>
      <c r="H133" s="3" t="s">
        <v>124</v>
      </c>
      <c r="I133" s="3" t="s">
        <v>124</v>
      </c>
      <c r="J133" t="s">
        <v>21</v>
      </c>
      <c r="K133" t="s">
        <v>26</v>
      </c>
      <c r="L133" s="1">
        <v>45870</v>
      </c>
      <c r="M133" s="1">
        <v>45900</v>
      </c>
      <c r="N133" t="s">
        <v>27</v>
      </c>
      <c r="O133" t="s">
        <v>28</v>
      </c>
      <c r="Q133" t="s">
        <v>29</v>
      </c>
      <c r="R133" s="4" t="s">
        <v>127</v>
      </c>
      <c r="S133" s="4" t="s">
        <v>127</v>
      </c>
      <c r="T133" s="5">
        <v>0.1</v>
      </c>
    </row>
    <row r="134" spans="1:20" x14ac:dyDescent="0.3">
      <c r="A134">
        <v>37395</v>
      </c>
      <c r="B134" t="s">
        <v>21</v>
      </c>
      <c r="C134" s="3" t="s">
        <v>122</v>
      </c>
      <c r="D134" t="s">
        <v>123</v>
      </c>
      <c r="E134">
        <v>7868</v>
      </c>
      <c r="F134" t="s">
        <v>24</v>
      </c>
      <c r="H134" s="3" t="s">
        <v>124</v>
      </c>
      <c r="I134" s="3" t="s">
        <v>124</v>
      </c>
      <c r="J134" t="s">
        <v>21</v>
      </c>
      <c r="K134" t="s">
        <v>26</v>
      </c>
      <c r="L134" s="1">
        <v>45870</v>
      </c>
      <c r="M134" s="1">
        <v>45900</v>
      </c>
      <c r="N134" t="s">
        <v>27</v>
      </c>
      <c r="O134" t="s">
        <v>28</v>
      </c>
      <c r="Q134" t="s">
        <v>29</v>
      </c>
      <c r="R134" s="4" t="s">
        <v>128</v>
      </c>
      <c r="S134" s="4" t="s">
        <v>128</v>
      </c>
      <c r="T134" s="6">
        <v>28.8</v>
      </c>
    </row>
    <row r="135" spans="1:20" x14ac:dyDescent="0.3">
      <c r="A135">
        <v>37395</v>
      </c>
      <c r="B135" t="s">
        <v>21</v>
      </c>
      <c r="C135" s="3" t="s">
        <v>122</v>
      </c>
      <c r="D135" t="s">
        <v>123</v>
      </c>
      <c r="E135">
        <v>7868</v>
      </c>
      <c r="F135" t="s">
        <v>24</v>
      </c>
      <c r="H135" s="3" t="s">
        <v>124</v>
      </c>
      <c r="I135" s="3" t="s">
        <v>124</v>
      </c>
      <c r="J135" t="s">
        <v>21</v>
      </c>
      <c r="K135" t="s">
        <v>26</v>
      </c>
      <c r="L135" s="1">
        <v>45870</v>
      </c>
      <c r="M135" s="1">
        <v>45900</v>
      </c>
      <c r="N135" t="s">
        <v>27</v>
      </c>
      <c r="O135" t="s">
        <v>28</v>
      </c>
      <c r="Q135" t="s">
        <v>29</v>
      </c>
      <c r="R135" s="4" t="s">
        <v>129</v>
      </c>
      <c r="S135" s="4" t="s">
        <v>129</v>
      </c>
      <c r="T135" s="5">
        <v>9.9</v>
      </c>
    </row>
    <row r="136" spans="1:20" x14ac:dyDescent="0.3">
      <c r="A136">
        <v>37395</v>
      </c>
      <c r="B136" t="s">
        <v>21</v>
      </c>
      <c r="C136" s="3" t="s">
        <v>122</v>
      </c>
      <c r="D136" t="s">
        <v>123</v>
      </c>
      <c r="E136">
        <v>7868</v>
      </c>
      <c r="F136" t="s">
        <v>24</v>
      </c>
      <c r="H136" s="3" t="s">
        <v>124</v>
      </c>
      <c r="I136" s="3" t="s">
        <v>124</v>
      </c>
      <c r="J136" t="s">
        <v>21</v>
      </c>
      <c r="K136" t="s">
        <v>26</v>
      </c>
      <c r="L136" s="1">
        <v>45870</v>
      </c>
      <c r="M136" s="1">
        <v>45900</v>
      </c>
      <c r="N136" t="s">
        <v>27</v>
      </c>
      <c r="O136" t="s">
        <v>28</v>
      </c>
      <c r="Q136" t="s">
        <v>29</v>
      </c>
      <c r="R136" s="4" t="s">
        <v>130</v>
      </c>
      <c r="S136" s="4" t="s">
        <v>130</v>
      </c>
      <c r="T136" s="6">
        <v>0</v>
      </c>
    </row>
    <row r="137" spans="1:20" x14ac:dyDescent="0.3">
      <c r="A137">
        <v>37395</v>
      </c>
      <c r="B137" t="s">
        <v>21</v>
      </c>
      <c r="C137" s="3" t="s">
        <v>122</v>
      </c>
      <c r="D137" t="s">
        <v>123</v>
      </c>
      <c r="E137">
        <v>7868</v>
      </c>
      <c r="F137" t="s">
        <v>24</v>
      </c>
      <c r="H137" s="3" t="s">
        <v>124</v>
      </c>
      <c r="I137" s="3" t="s">
        <v>124</v>
      </c>
      <c r="J137" t="s">
        <v>21</v>
      </c>
      <c r="K137" t="s">
        <v>26</v>
      </c>
      <c r="L137" s="1">
        <v>45870</v>
      </c>
      <c r="M137" s="1">
        <v>45900</v>
      </c>
      <c r="N137" t="s">
        <v>27</v>
      </c>
      <c r="O137" t="s">
        <v>28</v>
      </c>
      <c r="Q137" t="s">
        <v>29</v>
      </c>
      <c r="R137" s="4" t="s">
        <v>131</v>
      </c>
      <c r="S137" s="4" t="s">
        <v>131</v>
      </c>
      <c r="T137" s="5">
        <v>9.1999999999999993</v>
      </c>
    </row>
    <row r="138" spans="1:20" x14ac:dyDescent="0.3">
      <c r="A138">
        <v>37395</v>
      </c>
      <c r="B138" t="s">
        <v>21</v>
      </c>
      <c r="C138" s="3" t="s">
        <v>132</v>
      </c>
      <c r="D138" t="s">
        <v>133</v>
      </c>
      <c r="E138">
        <v>7868</v>
      </c>
      <c r="F138" t="s">
        <v>24</v>
      </c>
      <c r="H138" s="3" t="s">
        <v>134</v>
      </c>
      <c r="I138" s="3" t="s">
        <v>134</v>
      </c>
      <c r="J138" t="s">
        <v>21</v>
      </c>
      <c r="K138" t="s">
        <v>26</v>
      </c>
      <c r="L138" s="1">
        <v>45870</v>
      </c>
      <c r="M138" s="1">
        <v>45900</v>
      </c>
      <c r="N138" t="s">
        <v>27</v>
      </c>
      <c r="O138" t="s">
        <v>28</v>
      </c>
      <c r="Q138" t="s">
        <v>29</v>
      </c>
      <c r="R138" s="4" t="s">
        <v>135</v>
      </c>
      <c r="S138" s="4" t="s">
        <v>135</v>
      </c>
      <c r="T138" s="6">
        <v>3.5</v>
      </c>
    </row>
    <row r="139" spans="1:20" x14ac:dyDescent="0.3">
      <c r="A139">
        <v>37395</v>
      </c>
      <c r="B139" t="s">
        <v>21</v>
      </c>
      <c r="C139" s="3" t="s">
        <v>132</v>
      </c>
      <c r="D139" t="s">
        <v>133</v>
      </c>
      <c r="E139">
        <v>7868</v>
      </c>
      <c r="F139" t="s">
        <v>24</v>
      </c>
      <c r="H139" s="3" t="s">
        <v>134</v>
      </c>
      <c r="I139" s="3" t="s">
        <v>134</v>
      </c>
      <c r="J139" t="s">
        <v>21</v>
      </c>
      <c r="K139" t="s">
        <v>26</v>
      </c>
      <c r="L139" s="1">
        <v>45870</v>
      </c>
      <c r="M139" s="1">
        <v>45900</v>
      </c>
      <c r="N139" t="s">
        <v>27</v>
      </c>
      <c r="O139" t="s">
        <v>28</v>
      </c>
      <c r="Q139" t="s">
        <v>29</v>
      </c>
      <c r="R139" s="4" t="s">
        <v>136</v>
      </c>
      <c r="S139" s="4" t="s">
        <v>136</v>
      </c>
      <c r="T139" s="5">
        <v>29.5</v>
      </c>
    </row>
    <row r="140" spans="1:20" x14ac:dyDescent="0.3">
      <c r="A140">
        <v>37395</v>
      </c>
      <c r="B140" t="s">
        <v>21</v>
      </c>
      <c r="C140" s="3" t="s">
        <v>132</v>
      </c>
      <c r="D140" t="s">
        <v>133</v>
      </c>
      <c r="E140">
        <v>7868</v>
      </c>
      <c r="F140" t="s">
        <v>24</v>
      </c>
      <c r="H140" s="3" t="s">
        <v>134</v>
      </c>
      <c r="I140" s="3" t="s">
        <v>134</v>
      </c>
      <c r="J140" t="s">
        <v>21</v>
      </c>
      <c r="K140" t="s">
        <v>26</v>
      </c>
      <c r="L140" s="1">
        <v>45870</v>
      </c>
      <c r="M140" s="1">
        <v>45900</v>
      </c>
      <c r="N140" t="s">
        <v>27</v>
      </c>
      <c r="O140" t="s">
        <v>28</v>
      </c>
      <c r="Q140" t="s">
        <v>29</v>
      </c>
      <c r="R140" s="4" t="s">
        <v>137</v>
      </c>
      <c r="S140" s="4" t="s">
        <v>137</v>
      </c>
      <c r="T140" s="6">
        <v>0</v>
      </c>
    </row>
    <row r="141" spans="1:20" x14ac:dyDescent="0.3">
      <c r="A141">
        <v>37395</v>
      </c>
      <c r="B141" t="s">
        <v>21</v>
      </c>
      <c r="C141" s="3" t="s">
        <v>132</v>
      </c>
      <c r="D141" t="s">
        <v>133</v>
      </c>
      <c r="E141">
        <v>7868</v>
      </c>
      <c r="F141" t="s">
        <v>24</v>
      </c>
      <c r="H141" s="3" t="s">
        <v>134</v>
      </c>
      <c r="I141" s="3" t="s">
        <v>134</v>
      </c>
      <c r="J141" t="s">
        <v>21</v>
      </c>
      <c r="K141" t="s">
        <v>26</v>
      </c>
      <c r="L141" s="1">
        <v>45870</v>
      </c>
      <c r="M141" s="1">
        <v>45900</v>
      </c>
      <c r="N141" t="s">
        <v>27</v>
      </c>
      <c r="O141" t="s">
        <v>28</v>
      </c>
      <c r="Q141" t="s">
        <v>29</v>
      </c>
      <c r="R141" s="4" t="s">
        <v>138</v>
      </c>
      <c r="S141" s="4" t="s">
        <v>138</v>
      </c>
      <c r="T141" s="5">
        <v>0</v>
      </c>
    </row>
    <row r="142" spans="1:20" x14ac:dyDescent="0.3">
      <c r="A142">
        <v>37395</v>
      </c>
      <c r="B142" t="s">
        <v>21</v>
      </c>
      <c r="C142" s="3" t="s">
        <v>139</v>
      </c>
      <c r="D142" t="s">
        <v>140</v>
      </c>
      <c r="E142">
        <v>7868</v>
      </c>
      <c r="F142" t="s">
        <v>24</v>
      </c>
      <c r="H142" s="3" t="s">
        <v>141</v>
      </c>
      <c r="I142" s="3" t="s">
        <v>141</v>
      </c>
      <c r="J142" t="s">
        <v>21</v>
      </c>
      <c r="K142" t="s">
        <v>26</v>
      </c>
      <c r="L142" s="1">
        <v>45870</v>
      </c>
      <c r="M142" s="1">
        <v>45900</v>
      </c>
      <c r="N142" t="s">
        <v>27</v>
      </c>
      <c r="O142" t="s">
        <v>28</v>
      </c>
      <c r="Q142" t="s">
        <v>29</v>
      </c>
      <c r="R142" s="4" t="s">
        <v>142</v>
      </c>
      <c r="S142" s="4" t="s">
        <v>142</v>
      </c>
      <c r="T142" s="6">
        <v>0</v>
      </c>
    </row>
    <row r="143" spans="1:20" x14ac:dyDescent="0.3">
      <c r="A143">
        <v>37395</v>
      </c>
      <c r="B143" t="s">
        <v>21</v>
      </c>
      <c r="C143" s="3" t="s">
        <v>143</v>
      </c>
      <c r="D143" t="s">
        <v>144</v>
      </c>
      <c r="E143">
        <v>7868</v>
      </c>
      <c r="F143" t="s">
        <v>24</v>
      </c>
      <c r="H143" s="3" t="s">
        <v>145</v>
      </c>
      <c r="I143" s="3" t="s">
        <v>145</v>
      </c>
      <c r="J143" t="s">
        <v>21</v>
      </c>
      <c r="K143" t="s">
        <v>26</v>
      </c>
      <c r="L143" s="1">
        <v>45870</v>
      </c>
      <c r="M143" s="1">
        <v>45900</v>
      </c>
      <c r="N143" t="s">
        <v>27</v>
      </c>
      <c r="O143" t="s">
        <v>28</v>
      </c>
      <c r="Q143" t="s">
        <v>29</v>
      </c>
      <c r="R143" s="4" t="s">
        <v>146</v>
      </c>
      <c r="S143" s="4" t="s">
        <v>146</v>
      </c>
      <c r="T143" s="5">
        <v>74.7</v>
      </c>
    </row>
    <row r="144" spans="1:20" x14ac:dyDescent="0.3">
      <c r="A144">
        <v>37395</v>
      </c>
      <c r="B144" t="s">
        <v>21</v>
      </c>
      <c r="C144" s="3" t="s">
        <v>143</v>
      </c>
      <c r="D144" t="s">
        <v>144</v>
      </c>
      <c r="E144">
        <v>7868</v>
      </c>
      <c r="F144" t="s">
        <v>24</v>
      </c>
      <c r="H144" s="3" t="s">
        <v>145</v>
      </c>
      <c r="I144" s="3" t="s">
        <v>145</v>
      </c>
      <c r="J144" t="s">
        <v>21</v>
      </c>
      <c r="K144" t="s">
        <v>26</v>
      </c>
      <c r="L144" s="1">
        <v>45870</v>
      </c>
      <c r="M144" s="1">
        <v>45900</v>
      </c>
      <c r="N144" t="s">
        <v>27</v>
      </c>
      <c r="O144" t="s">
        <v>28</v>
      </c>
      <c r="Q144" t="s">
        <v>29</v>
      </c>
      <c r="R144" s="4" t="s">
        <v>147</v>
      </c>
      <c r="S144" s="4" t="s">
        <v>147</v>
      </c>
      <c r="T144" s="6">
        <v>17</v>
      </c>
    </row>
    <row r="145" spans="1:20" x14ac:dyDescent="0.3">
      <c r="A145">
        <v>37395</v>
      </c>
      <c r="B145" t="s">
        <v>21</v>
      </c>
      <c r="C145" s="3" t="s">
        <v>148</v>
      </c>
      <c r="D145" t="s">
        <v>149</v>
      </c>
      <c r="E145">
        <v>7868</v>
      </c>
      <c r="F145" t="s">
        <v>24</v>
      </c>
      <c r="H145" s="3" t="s">
        <v>150</v>
      </c>
      <c r="I145" s="3" t="s">
        <v>150</v>
      </c>
      <c r="J145" t="s">
        <v>21</v>
      </c>
      <c r="K145" t="s">
        <v>26</v>
      </c>
      <c r="L145" s="1">
        <v>45870</v>
      </c>
      <c r="M145" s="1">
        <v>45900</v>
      </c>
      <c r="N145" t="s">
        <v>27</v>
      </c>
      <c r="O145" t="s">
        <v>28</v>
      </c>
      <c r="Q145" t="s">
        <v>29</v>
      </c>
      <c r="R145" s="4" t="s">
        <v>151</v>
      </c>
      <c r="S145" s="4" t="s">
        <v>151</v>
      </c>
      <c r="T145" s="5">
        <v>8.9</v>
      </c>
    </row>
    <row r="146" spans="1:20" x14ac:dyDescent="0.3">
      <c r="A146">
        <v>37395</v>
      </c>
      <c r="B146" t="s">
        <v>21</v>
      </c>
      <c r="C146" s="3" t="s">
        <v>148</v>
      </c>
      <c r="D146" t="s">
        <v>149</v>
      </c>
      <c r="E146">
        <v>7868</v>
      </c>
      <c r="F146" t="s">
        <v>24</v>
      </c>
      <c r="H146" s="3" t="s">
        <v>150</v>
      </c>
      <c r="I146" s="3" t="s">
        <v>150</v>
      </c>
      <c r="J146" t="s">
        <v>21</v>
      </c>
      <c r="K146" t="s">
        <v>26</v>
      </c>
      <c r="L146" s="1">
        <v>45870</v>
      </c>
      <c r="M146" s="1">
        <v>45900</v>
      </c>
      <c r="N146" t="s">
        <v>27</v>
      </c>
      <c r="O146" t="s">
        <v>28</v>
      </c>
      <c r="Q146" t="s">
        <v>29</v>
      </c>
      <c r="R146" s="4" t="s">
        <v>152</v>
      </c>
      <c r="S146" s="4" t="s">
        <v>152</v>
      </c>
      <c r="T146" s="6">
        <v>3.5</v>
      </c>
    </row>
    <row r="147" spans="1:20" x14ac:dyDescent="0.3">
      <c r="A147">
        <v>37395</v>
      </c>
      <c r="B147" t="s">
        <v>21</v>
      </c>
      <c r="C147" s="3" t="s">
        <v>148</v>
      </c>
      <c r="D147" t="s">
        <v>149</v>
      </c>
      <c r="E147">
        <v>7868</v>
      </c>
      <c r="F147" t="s">
        <v>24</v>
      </c>
      <c r="H147" s="3" t="s">
        <v>150</v>
      </c>
      <c r="I147" s="3" t="s">
        <v>150</v>
      </c>
      <c r="J147" t="s">
        <v>21</v>
      </c>
      <c r="K147" t="s">
        <v>26</v>
      </c>
      <c r="L147" s="1">
        <v>45870</v>
      </c>
      <c r="M147" s="1">
        <v>45900</v>
      </c>
      <c r="N147" t="s">
        <v>27</v>
      </c>
      <c r="O147" t="s">
        <v>28</v>
      </c>
      <c r="Q147" t="s">
        <v>29</v>
      </c>
      <c r="R147" s="4" t="s">
        <v>153</v>
      </c>
      <c r="S147" s="4" t="s">
        <v>153</v>
      </c>
      <c r="T147" s="5">
        <v>0</v>
      </c>
    </row>
    <row r="148" spans="1:20" x14ac:dyDescent="0.3">
      <c r="A148">
        <v>37395</v>
      </c>
      <c r="B148" t="s">
        <v>21</v>
      </c>
      <c r="C148" s="3" t="s">
        <v>154</v>
      </c>
      <c r="D148" t="s">
        <v>155</v>
      </c>
      <c r="E148">
        <v>7868</v>
      </c>
      <c r="F148" t="s">
        <v>24</v>
      </c>
      <c r="H148" s="3" t="s">
        <v>156</v>
      </c>
      <c r="I148" s="3" t="s">
        <v>156</v>
      </c>
      <c r="J148" t="s">
        <v>21</v>
      </c>
      <c r="K148" t="s">
        <v>26</v>
      </c>
      <c r="L148" s="1">
        <v>45870</v>
      </c>
      <c r="M148" s="1">
        <v>45900</v>
      </c>
      <c r="N148" t="s">
        <v>27</v>
      </c>
      <c r="O148" t="s">
        <v>28</v>
      </c>
      <c r="Q148" t="s">
        <v>29</v>
      </c>
      <c r="R148" s="4" t="s">
        <v>157</v>
      </c>
      <c r="S148" s="4" t="s">
        <v>157</v>
      </c>
      <c r="T148" s="6">
        <v>0.9</v>
      </c>
    </row>
    <row r="149" spans="1:20" x14ac:dyDescent="0.3">
      <c r="A149">
        <v>37395</v>
      </c>
      <c r="B149" t="s">
        <v>21</v>
      </c>
      <c r="C149" s="3" t="s">
        <v>158</v>
      </c>
      <c r="D149" t="s">
        <v>159</v>
      </c>
      <c r="E149">
        <v>7868</v>
      </c>
      <c r="F149" t="s">
        <v>24</v>
      </c>
      <c r="H149" s="3" t="s">
        <v>160</v>
      </c>
      <c r="I149" s="3" t="s">
        <v>160</v>
      </c>
      <c r="J149" t="s">
        <v>21</v>
      </c>
      <c r="K149" t="s">
        <v>26</v>
      </c>
      <c r="L149" s="1">
        <v>45870</v>
      </c>
      <c r="M149" s="1">
        <v>45900</v>
      </c>
      <c r="N149" t="s">
        <v>27</v>
      </c>
      <c r="O149" t="s">
        <v>28</v>
      </c>
      <c r="Q149" t="s">
        <v>29</v>
      </c>
      <c r="R149" s="4" t="s">
        <v>161</v>
      </c>
      <c r="S149" s="4" t="s">
        <v>161</v>
      </c>
      <c r="T149" s="5">
        <v>0</v>
      </c>
    </row>
    <row r="150" spans="1:20" x14ac:dyDescent="0.3">
      <c r="A150">
        <v>37395</v>
      </c>
      <c r="B150" t="s">
        <v>21</v>
      </c>
      <c r="C150" s="3" t="s">
        <v>162</v>
      </c>
      <c r="D150" t="s">
        <v>163</v>
      </c>
      <c r="E150">
        <v>7868</v>
      </c>
      <c r="F150" t="s">
        <v>24</v>
      </c>
      <c r="H150" s="3" t="s">
        <v>164</v>
      </c>
      <c r="I150" s="3" t="s">
        <v>164</v>
      </c>
      <c r="J150" t="s">
        <v>21</v>
      </c>
      <c r="K150" t="s">
        <v>26</v>
      </c>
      <c r="L150" s="1">
        <v>45870</v>
      </c>
      <c r="M150" s="1">
        <v>45900</v>
      </c>
      <c r="N150" t="s">
        <v>27</v>
      </c>
      <c r="O150" t="s">
        <v>28</v>
      </c>
      <c r="Q150" t="s">
        <v>29</v>
      </c>
      <c r="R150" s="4" t="s">
        <v>165</v>
      </c>
      <c r="S150" s="4" t="s">
        <v>165</v>
      </c>
      <c r="T150" s="6">
        <v>0</v>
      </c>
    </row>
    <row r="151" spans="1:20" x14ac:dyDescent="0.3">
      <c r="A151">
        <v>37395</v>
      </c>
      <c r="B151" t="s">
        <v>21</v>
      </c>
      <c r="C151" s="3" t="s">
        <v>166</v>
      </c>
      <c r="D151" t="s">
        <v>167</v>
      </c>
      <c r="E151">
        <v>7868</v>
      </c>
      <c r="F151" t="s">
        <v>24</v>
      </c>
      <c r="H151" s="3" t="s">
        <v>168</v>
      </c>
      <c r="I151" s="3" t="s">
        <v>168</v>
      </c>
      <c r="J151" t="s">
        <v>21</v>
      </c>
      <c r="K151" t="s">
        <v>26</v>
      </c>
      <c r="L151" s="1">
        <v>45870</v>
      </c>
      <c r="M151" s="1">
        <v>45900</v>
      </c>
      <c r="N151" t="s">
        <v>27</v>
      </c>
      <c r="O151" t="s">
        <v>28</v>
      </c>
      <c r="Q151" t="s">
        <v>29</v>
      </c>
      <c r="R151" s="4" t="s">
        <v>169</v>
      </c>
      <c r="S151" s="4" t="s">
        <v>169</v>
      </c>
      <c r="T151" s="5">
        <v>0</v>
      </c>
    </row>
    <row r="152" spans="1:20" x14ac:dyDescent="0.3">
      <c r="A152">
        <v>37395</v>
      </c>
      <c r="B152" t="s">
        <v>21</v>
      </c>
      <c r="C152" s="3" t="s">
        <v>166</v>
      </c>
      <c r="D152" t="s">
        <v>167</v>
      </c>
      <c r="E152">
        <v>7868</v>
      </c>
      <c r="F152" t="s">
        <v>24</v>
      </c>
      <c r="H152" s="3" t="s">
        <v>168</v>
      </c>
      <c r="I152" s="3" t="s">
        <v>168</v>
      </c>
      <c r="J152" t="s">
        <v>21</v>
      </c>
      <c r="K152" t="s">
        <v>26</v>
      </c>
      <c r="L152" s="1">
        <v>45870</v>
      </c>
      <c r="M152" s="1">
        <v>45900</v>
      </c>
      <c r="N152" t="s">
        <v>27</v>
      </c>
      <c r="O152" t="s">
        <v>28</v>
      </c>
      <c r="Q152" t="s">
        <v>29</v>
      </c>
      <c r="R152" s="4" t="s">
        <v>170</v>
      </c>
      <c r="S152" s="4" t="s">
        <v>170</v>
      </c>
      <c r="T152" s="6">
        <v>-0.4</v>
      </c>
    </row>
    <row r="153" spans="1:20" x14ac:dyDescent="0.3">
      <c r="A153">
        <v>37395</v>
      </c>
      <c r="B153" t="s">
        <v>21</v>
      </c>
      <c r="C153" s="3" t="s">
        <v>166</v>
      </c>
      <c r="D153" t="s">
        <v>167</v>
      </c>
      <c r="E153">
        <v>7868</v>
      </c>
      <c r="F153" t="s">
        <v>24</v>
      </c>
      <c r="H153" s="3" t="s">
        <v>168</v>
      </c>
      <c r="I153" s="3" t="s">
        <v>168</v>
      </c>
      <c r="J153" t="s">
        <v>21</v>
      </c>
      <c r="K153" t="s">
        <v>26</v>
      </c>
      <c r="L153" s="1">
        <v>45870</v>
      </c>
      <c r="M153" s="1">
        <v>45900</v>
      </c>
      <c r="N153" t="s">
        <v>27</v>
      </c>
      <c r="O153" t="s">
        <v>28</v>
      </c>
      <c r="Q153" t="s">
        <v>29</v>
      </c>
      <c r="R153" s="4" t="s">
        <v>171</v>
      </c>
      <c r="S153" s="4" t="s">
        <v>171</v>
      </c>
      <c r="T153" s="5">
        <v>0.8</v>
      </c>
    </row>
    <row r="154" spans="1:20" x14ac:dyDescent="0.3">
      <c r="A154">
        <v>37395</v>
      </c>
      <c r="B154" t="s">
        <v>21</v>
      </c>
      <c r="C154" s="3" t="s">
        <v>166</v>
      </c>
      <c r="D154" t="s">
        <v>167</v>
      </c>
      <c r="E154">
        <v>7868</v>
      </c>
      <c r="F154" t="s">
        <v>24</v>
      </c>
      <c r="H154" s="3" t="s">
        <v>168</v>
      </c>
      <c r="I154" s="3" t="s">
        <v>168</v>
      </c>
      <c r="J154" t="s">
        <v>21</v>
      </c>
      <c r="K154" t="s">
        <v>26</v>
      </c>
      <c r="L154" s="1">
        <v>45870</v>
      </c>
      <c r="M154" s="1">
        <v>45900</v>
      </c>
      <c r="N154" t="s">
        <v>27</v>
      </c>
      <c r="O154" t="s">
        <v>28</v>
      </c>
      <c r="Q154" t="s">
        <v>29</v>
      </c>
      <c r="R154" s="4" t="s">
        <v>172</v>
      </c>
      <c r="S154" s="4" t="s">
        <v>172</v>
      </c>
      <c r="T154" s="6">
        <v>0</v>
      </c>
    </row>
    <row r="155" spans="1:20" x14ac:dyDescent="0.3">
      <c r="A155">
        <v>37395</v>
      </c>
      <c r="B155" t="s">
        <v>21</v>
      </c>
      <c r="C155" s="3" t="s">
        <v>166</v>
      </c>
      <c r="D155" t="s">
        <v>167</v>
      </c>
      <c r="E155">
        <v>7868</v>
      </c>
      <c r="F155" t="s">
        <v>24</v>
      </c>
      <c r="H155" s="3" t="s">
        <v>168</v>
      </c>
      <c r="I155" s="3" t="s">
        <v>168</v>
      </c>
      <c r="J155" t="s">
        <v>21</v>
      </c>
      <c r="K155" t="s">
        <v>26</v>
      </c>
      <c r="L155" s="1">
        <v>45870</v>
      </c>
      <c r="M155" s="1">
        <v>45900</v>
      </c>
      <c r="N155" t="s">
        <v>27</v>
      </c>
      <c r="O155" t="s">
        <v>28</v>
      </c>
      <c r="Q155" t="s">
        <v>29</v>
      </c>
      <c r="R155" s="4" t="s">
        <v>173</v>
      </c>
      <c r="S155" s="4" t="s">
        <v>173</v>
      </c>
      <c r="T155" s="5">
        <v>0.1</v>
      </c>
    </row>
    <row r="156" spans="1:20" x14ac:dyDescent="0.3">
      <c r="A156">
        <v>37395</v>
      </c>
      <c r="B156" t="s">
        <v>21</v>
      </c>
      <c r="C156" s="3" t="s">
        <v>174</v>
      </c>
      <c r="D156" t="s">
        <v>175</v>
      </c>
      <c r="E156">
        <v>7868</v>
      </c>
      <c r="F156" t="s">
        <v>24</v>
      </c>
      <c r="H156" s="3" t="s">
        <v>176</v>
      </c>
      <c r="I156" s="3" t="s">
        <v>176</v>
      </c>
      <c r="J156" t="s">
        <v>21</v>
      </c>
      <c r="K156" t="s">
        <v>26</v>
      </c>
      <c r="L156" s="1">
        <v>45870</v>
      </c>
      <c r="M156" s="1">
        <v>45900</v>
      </c>
      <c r="N156" t="s">
        <v>27</v>
      </c>
      <c r="O156" t="s">
        <v>28</v>
      </c>
      <c r="Q156" t="s">
        <v>29</v>
      </c>
      <c r="R156" s="7" t="s">
        <v>177</v>
      </c>
      <c r="S156" s="7" t="s">
        <v>177</v>
      </c>
      <c r="T156" s="6">
        <v>-3.1</v>
      </c>
    </row>
    <row r="157" spans="1:20" x14ac:dyDescent="0.3">
      <c r="A157">
        <v>37395</v>
      </c>
      <c r="B157" t="s">
        <v>21</v>
      </c>
      <c r="C157" s="3" t="s">
        <v>174</v>
      </c>
      <c r="D157" t="s">
        <v>175</v>
      </c>
      <c r="E157">
        <v>7868</v>
      </c>
      <c r="F157" t="s">
        <v>24</v>
      </c>
      <c r="H157" s="3" t="s">
        <v>176</v>
      </c>
      <c r="I157" s="3" t="s">
        <v>176</v>
      </c>
      <c r="J157" t="s">
        <v>21</v>
      </c>
      <c r="K157" t="s">
        <v>26</v>
      </c>
      <c r="L157" s="1">
        <v>45870</v>
      </c>
      <c r="M157" s="1">
        <v>45900</v>
      </c>
      <c r="N157" t="s">
        <v>27</v>
      </c>
      <c r="O157" t="s">
        <v>28</v>
      </c>
      <c r="Q157" t="s">
        <v>29</v>
      </c>
      <c r="R157" s="4" t="s">
        <v>178</v>
      </c>
      <c r="S157" s="4" t="s">
        <v>178</v>
      </c>
      <c r="T157" s="5">
        <v>0</v>
      </c>
    </row>
    <row r="158" spans="1:20" x14ac:dyDescent="0.3">
      <c r="A158">
        <v>37395</v>
      </c>
      <c r="B158" t="s">
        <v>21</v>
      </c>
      <c r="C158" s="3" t="s">
        <v>179</v>
      </c>
      <c r="D158" t="s">
        <v>180</v>
      </c>
      <c r="E158">
        <v>7868</v>
      </c>
      <c r="F158" t="s">
        <v>24</v>
      </c>
      <c r="H158" s="3" t="s">
        <v>181</v>
      </c>
      <c r="I158" s="3" t="s">
        <v>181</v>
      </c>
      <c r="J158" t="s">
        <v>21</v>
      </c>
      <c r="K158" t="s">
        <v>26</v>
      </c>
      <c r="L158" s="1">
        <v>45870</v>
      </c>
      <c r="M158" s="1">
        <v>45900</v>
      </c>
      <c r="N158" t="s">
        <v>27</v>
      </c>
      <c r="O158" t="s">
        <v>28</v>
      </c>
      <c r="Q158" t="s">
        <v>29</v>
      </c>
      <c r="R158" s="7" t="s">
        <v>182</v>
      </c>
      <c r="S158" s="7" t="s">
        <v>182</v>
      </c>
      <c r="T158" s="6">
        <v>0.1</v>
      </c>
    </row>
    <row r="159" spans="1:20" x14ac:dyDescent="0.3">
      <c r="A159">
        <v>37395</v>
      </c>
      <c r="B159" t="s">
        <v>21</v>
      </c>
      <c r="C159" s="3" t="s">
        <v>183</v>
      </c>
      <c r="D159" t="s">
        <v>184</v>
      </c>
      <c r="E159">
        <v>7868</v>
      </c>
      <c r="F159" t="s">
        <v>24</v>
      </c>
      <c r="H159" s="3" t="s">
        <v>185</v>
      </c>
      <c r="I159" s="3" t="s">
        <v>185</v>
      </c>
      <c r="J159" t="s">
        <v>21</v>
      </c>
      <c r="K159" t="s">
        <v>26</v>
      </c>
      <c r="L159" s="1">
        <v>45870</v>
      </c>
      <c r="M159" s="1">
        <v>45900</v>
      </c>
      <c r="N159" t="s">
        <v>27</v>
      </c>
      <c r="O159" t="s">
        <v>28</v>
      </c>
      <c r="Q159" t="s">
        <v>29</v>
      </c>
      <c r="R159" s="4" t="s">
        <v>186</v>
      </c>
      <c r="S159" s="4" t="s">
        <v>186</v>
      </c>
      <c r="T159" s="5">
        <v>-9.9999999999909106E-2</v>
      </c>
    </row>
    <row r="160" spans="1:20" x14ac:dyDescent="0.3">
      <c r="A160">
        <v>37395</v>
      </c>
      <c r="B160" t="s">
        <v>21</v>
      </c>
      <c r="C160" s="3" t="s">
        <v>22</v>
      </c>
      <c r="D160" t="s">
        <v>23</v>
      </c>
      <c r="E160">
        <v>7868</v>
      </c>
      <c r="F160" t="s">
        <v>24</v>
      </c>
      <c r="H160" s="3" t="s">
        <v>25</v>
      </c>
      <c r="I160" s="3" t="s">
        <v>25</v>
      </c>
      <c r="J160" t="s">
        <v>21</v>
      </c>
      <c r="K160" t="s">
        <v>26</v>
      </c>
      <c r="L160" s="1">
        <v>45901</v>
      </c>
      <c r="M160" s="1">
        <v>45930</v>
      </c>
      <c r="N160" t="s">
        <v>27</v>
      </c>
      <c r="O160" t="s">
        <v>28</v>
      </c>
      <c r="Q160" t="s">
        <v>29</v>
      </c>
      <c r="R160" s="4" t="s">
        <v>30</v>
      </c>
      <c r="S160" s="4" t="s">
        <v>30</v>
      </c>
      <c r="T160" s="5">
        <v>33.6</v>
      </c>
    </row>
    <row r="161" spans="1:20" x14ac:dyDescent="0.3">
      <c r="A161">
        <v>37395</v>
      </c>
      <c r="B161" t="s">
        <v>21</v>
      </c>
      <c r="C161" s="3" t="s">
        <v>22</v>
      </c>
      <c r="D161" t="s">
        <v>23</v>
      </c>
      <c r="E161">
        <v>7868</v>
      </c>
      <c r="F161" t="s">
        <v>24</v>
      </c>
      <c r="H161" s="3" t="s">
        <v>25</v>
      </c>
      <c r="I161" s="3" t="s">
        <v>25</v>
      </c>
      <c r="J161" t="s">
        <v>21</v>
      </c>
      <c r="K161" t="s">
        <v>26</v>
      </c>
      <c r="L161" s="1">
        <v>45901</v>
      </c>
      <c r="M161" s="1">
        <v>45930</v>
      </c>
      <c r="N161" t="s">
        <v>27</v>
      </c>
      <c r="O161" t="s">
        <v>28</v>
      </c>
      <c r="Q161" t="s">
        <v>29</v>
      </c>
      <c r="R161" s="4" t="s">
        <v>31</v>
      </c>
      <c r="S161" s="4" t="s">
        <v>31</v>
      </c>
      <c r="T161" s="6">
        <v>31.5</v>
      </c>
    </row>
    <row r="162" spans="1:20" x14ac:dyDescent="0.3">
      <c r="A162">
        <v>37395</v>
      </c>
      <c r="B162" t="s">
        <v>21</v>
      </c>
      <c r="C162" s="3" t="s">
        <v>22</v>
      </c>
      <c r="D162" t="s">
        <v>23</v>
      </c>
      <c r="E162">
        <v>7868</v>
      </c>
      <c r="F162" t="s">
        <v>24</v>
      </c>
      <c r="H162" s="3" t="s">
        <v>25</v>
      </c>
      <c r="I162" s="3" t="s">
        <v>25</v>
      </c>
      <c r="J162" t="s">
        <v>21</v>
      </c>
      <c r="K162" t="s">
        <v>26</v>
      </c>
      <c r="L162" s="1">
        <v>45901</v>
      </c>
      <c r="M162" s="1">
        <v>45930</v>
      </c>
      <c r="N162" t="s">
        <v>27</v>
      </c>
      <c r="O162" t="s">
        <v>28</v>
      </c>
      <c r="Q162" t="s">
        <v>29</v>
      </c>
      <c r="R162" s="4" t="s">
        <v>32</v>
      </c>
      <c r="S162" s="4" t="s">
        <v>32</v>
      </c>
      <c r="T162" s="5">
        <v>35.299999999999997</v>
      </c>
    </row>
    <row r="163" spans="1:20" x14ac:dyDescent="0.3">
      <c r="A163">
        <v>37395</v>
      </c>
      <c r="B163" t="s">
        <v>21</v>
      </c>
      <c r="C163" s="3" t="s">
        <v>22</v>
      </c>
      <c r="D163" t="s">
        <v>23</v>
      </c>
      <c r="E163">
        <v>7868</v>
      </c>
      <c r="F163" t="s">
        <v>24</v>
      </c>
      <c r="H163" s="3" t="s">
        <v>25</v>
      </c>
      <c r="I163" s="3" t="s">
        <v>25</v>
      </c>
      <c r="J163" t="s">
        <v>21</v>
      </c>
      <c r="K163" t="s">
        <v>26</v>
      </c>
      <c r="L163" s="1">
        <v>45901</v>
      </c>
      <c r="M163" s="1">
        <v>45930</v>
      </c>
      <c r="N163" t="s">
        <v>27</v>
      </c>
      <c r="O163" t="s">
        <v>28</v>
      </c>
      <c r="Q163" t="s">
        <v>29</v>
      </c>
      <c r="R163" s="4" t="s">
        <v>33</v>
      </c>
      <c r="S163" s="4" t="s">
        <v>33</v>
      </c>
      <c r="T163" s="6">
        <v>47.1</v>
      </c>
    </row>
    <row r="164" spans="1:20" x14ac:dyDescent="0.3">
      <c r="A164">
        <v>37395</v>
      </c>
      <c r="B164" t="s">
        <v>21</v>
      </c>
      <c r="C164" s="3" t="s">
        <v>22</v>
      </c>
      <c r="D164" t="s">
        <v>23</v>
      </c>
      <c r="E164">
        <v>7868</v>
      </c>
      <c r="F164" t="s">
        <v>24</v>
      </c>
      <c r="H164" s="3" t="s">
        <v>25</v>
      </c>
      <c r="I164" s="3" t="s">
        <v>25</v>
      </c>
      <c r="J164" t="s">
        <v>21</v>
      </c>
      <c r="K164" t="s">
        <v>26</v>
      </c>
      <c r="L164" s="1">
        <v>45901</v>
      </c>
      <c r="M164" s="1">
        <v>45930</v>
      </c>
      <c r="N164" t="s">
        <v>27</v>
      </c>
      <c r="O164" t="s">
        <v>28</v>
      </c>
      <c r="Q164" t="s">
        <v>29</v>
      </c>
      <c r="R164" s="4" t="s">
        <v>34</v>
      </c>
      <c r="S164" s="4" t="s">
        <v>34</v>
      </c>
      <c r="T164" s="5">
        <v>9.6</v>
      </c>
    </row>
    <row r="165" spans="1:20" x14ac:dyDescent="0.3">
      <c r="A165">
        <v>37395</v>
      </c>
      <c r="B165" t="s">
        <v>21</v>
      </c>
      <c r="C165" s="3" t="s">
        <v>22</v>
      </c>
      <c r="D165" t="s">
        <v>23</v>
      </c>
      <c r="E165">
        <v>7868</v>
      </c>
      <c r="F165" t="s">
        <v>24</v>
      </c>
      <c r="H165" s="3" t="s">
        <v>25</v>
      </c>
      <c r="I165" s="3" t="s">
        <v>25</v>
      </c>
      <c r="J165" t="s">
        <v>21</v>
      </c>
      <c r="K165" t="s">
        <v>26</v>
      </c>
      <c r="L165" s="1">
        <v>45901</v>
      </c>
      <c r="M165" s="1">
        <v>45930</v>
      </c>
      <c r="N165" t="s">
        <v>27</v>
      </c>
      <c r="O165" t="s">
        <v>28</v>
      </c>
      <c r="Q165" t="s">
        <v>29</v>
      </c>
      <c r="R165" s="4" t="s">
        <v>35</v>
      </c>
      <c r="S165" s="4" t="s">
        <v>35</v>
      </c>
      <c r="T165" s="6">
        <v>0.5</v>
      </c>
    </row>
    <row r="166" spans="1:20" x14ac:dyDescent="0.3">
      <c r="A166">
        <v>37395</v>
      </c>
      <c r="B166" t="s">
        <v>21</v>
      </c>
      <c r="C166" s="3" t="s">
        <v>22</v>
      </c>
      <c r="D166" t="s">
        <v>23</v>
      </c>
      <c r="E166">
        <v>7868</v>
      </c>
      <c r="F166" t="s">
        <v>24</v>
      </c>
      <c r="H166" s="3" t="s">
        <v>25</v>
      </c>
      <c r="I166" s="3" t="s">
        <v>25</v>
      </c>
      <c r="J166" t="s">
        <v>21</v>
      </c>
      <c r="K166" t="s">
        <v>26</v>
      </c>
      <c r="L166" s="1">
        <v>45901</v>
      </c>
      <c r="M166" s="1">
        <v>45930</v>
      </c>
      <c r="N166" t="s">
        <v>27</v>
      </c>
      <c r="O166" t="s">
        <v>28</v>
      </c>
      <c r="Q166" t="s">
        <v>29</v>
      </c>
      <c r="R166" s="4" t="s">
        <v>36</v>
      </c>
      <c r="S166" s="4" t="s">
        <v>36</v>
      </c>
      <c r="T166" s="5">
        <v>53.2</v>
      </c>
    </row>
    <row r="167" spans="1:20" x14ac:dyDescent="0.3">
      <c r="A167">
        <v>37395</v>
      </c>
      <c r="B167" t="s">
        <v>21</v>
      </c>
      <c r="C167" s="3" t="s">
        <v>37</v>
      </c>
      <c r="D167" t="s">
        <v>38</v>
      </c>
      <c r="E167">
        <v>7868</v>
      </c>
      <c r="F167" t="s">
        <v>24</v>
      </c>
      <c r="H167" s="3" t="s">
        <v>39</v>
      </c>
      <c r="I167" s="3" t="s">
        <v>39</v>
      </c>
      <c r="J167" t="s">
        <v>21</v>
      </c>
      <c r="K167" t="s">
        <v>26</v>
      </c>
      <c r="L167" s="1">
        <v>45901</v>
      </c>
      <c r="M167" s="1">
        <v>45930</v>
      </c>
      <c r="N167" t="s">
        <v>27</v>
      </c>
      <c r="O167" t="s">
        <v>28</v>
      </c>
      <c r="Q167" t="s">
        <v>29</v>
      </c>
      <c r="R167" s="4" t="s">
        <v>40</v>
      </c>
      <c r="S167" s="4" t="s">
        <v>40</v>
      </c>
      <c r="T167" s="6">
        <v>28.6</v>
      </c>
    </row>
    <row r="168" spans="1:20" x14ac:dyDescent="0.3">
      <c r="A168">
        <v>37395</v>
      </c>
      <c r="B168" t="s">
        <v>21</v>
      </c>
      <c r="C168" s="3" t="s">
        <v>37</v>
      </c>
      <c r="D168" t="s">
        <v>38</v>
      </c>
      <c r="E168">
        <v>7868</v>
      </c>
      <c r="F168" t="s">
        <v>24</v>
      </c>
      <c r="H168" s="3" t="s">
        <v>39</v>
      </c>
      <c r="I168" s="3" t="s">
        <v>39</v>
      </c>
      <c r="J168" t="s">
        <v>21</v>
      </c>
      <c r="K168" t="s">
        <v>26</v>
      </c>
      <c r="L168" s="1">
        <v>45901</v>
      </c>
      <c r="M168" s="1">
        <v>45930</v>
      </c>
      <c r="N168" t="s">
        <v>27</v>
      </c>
      <c r="O168" t="s">
        <v>28</v>
      </c>
      <c r="Q168" t="s">
        <v>29</v>
      </c>
      <c r="R168" s="4" t="s">
        <v>41</v>
      </c>
      <c r="S168" s="4" t="s">
        <v>41</v>
      </c>
      <c r="T168" s="5">
        <v>1.8</v>
      </c>
    </row>
    <row r="169" spans="1:20" x14ac:dyDescent="0.3">
      <c r="A169">
        <v>37395</v>
      </c>
      <c r="B169" t="s">
        <v>21</v>
      </c>
      <c r="C169" s="3" t="s">
        <v>37</v>
      </c>
      <c r="D169" t="s">
        <v>38</v>
      </c>
      <c r="E169">
        <v>7868</v>
      </c>
      <c r="F169" t="s">
        <v>24</v>
      </c>
      <c r="H169" s="3" t="s">
        <v>39</v>
      </c>
      <c r="I169" s="3" t="s">
        <v>39</v>
      </c>
      <c r="J169" t="s">
        <v>21</v>
      </c>
      <c r="K169" t="s">
        <v>26</v>
      </c>
      <c r="L169" s="1">
        <v>45901</v>
      </c>
      <c r="M169" s="1">
        <v>45930</v>
      </c>
      <c r="N169" t="s">
        <v>27</v>
      </c>
      <c r="O169" t="s">
        <v>28</v>
      </c>
      <c r="Q169" t="s">
        <v>29</v>
      </c>
      <c r="R169" s="4" t="s">
        <v>42</v>
      </c>
      <c r="S169" s="4" t="s">
        <v>42</v>
      </c>
      <c r="T169" s="6">
        <v>6.3</v>
      </c>
    </row>
    <row r="170" spans="1:20" x14ac:dyDescent="0.3">
      <c r="A170">
        <v>37395</v>
      </c>
      <c r="B170" t="s">
        <v>21</v>
      </c>
      <c r="C170" s="3" t="s">
        <v>37</v>
      </c>
      <c r="D170" t="s">
        <v>38</v>
      </c>
      <c r="E170">
        <v>7868</v>
      </c>
      <c r="F170" t="s">
        <v>24</v>
      </c>
      <c r="H170" s="3" t="s">
        <v>39</v>
      </c>
      <c r="I170" s="3" t="s">
        <v>39</v>
      </c>
      <c r="J170" t="s">
        <v>21</v>
      </c>
      <c r="K170" t="s">
        <v>26</v>
      </c>
      <c r="L170" s="1">
        <v>45901</v>
      </c>
      <c r="M170" s="1">
        <v>45930</v>
      </c>
      <c r="N170" t="s">
        <v>27</v>
      </c>
      <c r="O170" t="s">
        <v>28</v>
      </c>
      <c r="Q170" t="s">
        <v>29</v>
      </c>
      <c r="R170" s="4" t="s">
        <v>43</v>
      </c>
      <c r="S170" s="4" t="s">
        <v>43</v>
      </c>
      <c r="T170" s="5">
        <v>32.6</v>
      </c>
    </row>
    <row r="171" spans="1:20" x14ac:dyDescent="0.3">
      <c r="A171">
        <v>37395</v>
      </c>
      <c r="B171" t="s">
        <v>21</v>
      </c>
      <c r="C171" s="3" t="s">
        <v>37</v>
      </c>
      <c r="D171" t="s">
        <v>38</v>
      </c>
      <c r="E171">
        <v>7868</v>
      </c>
      <c r="F171" t="s">
        <v>24</v>
      </c>
      <c r="H171" s="3" t="s">
        <v>39</v>
      </c>
      <c r="I171" s="3" t="s">
        <v>39</v>
      </c>
      <c r="J171" t="s">
        <v>21</v>
      </c>
      <c r="K171" t="s">
        <v>26</v>
      </c>
      <c r="L171" s="1">
        <v>45901</v>
      </c>
      <c r="M171" s="1">
        <v>45930</v>
      </c>
      <c r="N171" t="s">
        <v>27</v>
      </c>
      <c r="O171" t="s">
        <v>28</v>
      </c>
      <c r="Q171" t="s">
        <v>29</v>
      </c>
      <c r="R171" s="4" t="s">
        <v>44</v>
      </c>
      <c r="S171" s="4" t="s">
        <v>44</v>
      </c>
      <c r="T171" s="6">
        <v>5.5</v>
      </c>
    </row>
    <row r="172" spans="1:20" x14ac:dyDescent="0.3">
      <c r="A172">
        <v>37395</v>
      </c>
      <c r="B172" t="s">
        <v>21</v>
      </c>
      <c r="C172" s="3" t="s">
        <v>37</v>
      </c>
      <c r="D172" t="s">
        <v>38</v>
      </c>
      <c r="E172">
        <v>7868</v>
      </c>
      <c r="F172" t="s">
        <v>24</v>
      </c>
      <c r="H172" s="3" t="s">
        <v>39</v>
      </c>
      <c r="I172" s="3" t="s">
        <v>39</v>
      </c>
      <c r="J172" t="s">
        <v>21</v>
      </c>
      <c r="K172" t="s">
        <v>26</v>
      </c>
      <c r="L172" s="1">
        <v>45901</v>
      </c>
      <c r="M172" s="1">
        <v>45930</v>
      </c>
      <c r="N172" t="s">
        <v>27</v>
      </c>
      <c r="O172" t="s">
        <v>28</v>
      </c>
      <c r="Q172" t="s">
        <v>29</v>
      </c>
      <c r="R172" s="4" t="s">
        <v>45</v>
      </c>
      <c r="S172" s="4" t="s">
        <v>45</v>
      </c>
      <c r="T172" s="5">
        <v>0</v>
      </c>
    </row>
    <row r="173" spans="1:20" x14ac:dyDescent="0.3">
      <c r="A173">
        <v>37395</v>
      </c>
      <c r="B173" t="s">
        <v>21</v>
      </c>
      <c r="C173" s="3" t="s">
        <v>37</v>
      </c>
      <c r="D173" t="s">
        <v>38</v>
      </c>
      <c r="E173">
        <v>7868</v>
      </c>
      <c r="F173" t="s">
        <v>24</v>
      </c>
      <c r="H173" s="3" t="s">
        <v>39</v>
      </c>
      <c r="I173" s="3" t="s">
        <v>39</v>
      </c>
      <c r="J173" t="s">
        <v>21</v>
      </c>
      <c r="K173" t="s">
        <v>26</v>
      </c>
      <c r="L173" s="1">
        <v>45901</v>
      </c>
      <c r="M173" s="1">
        <v>45930</v>
      </c>
      <c r="N173" t="s">
        <v>27</v>
      </c>
      <c r="O173" t="s">
        <v>28</v>
      </c>
      <c r="Q173" t="s">
        <v>29</v>
      </c>
      <c r="R173" s="4" t="s">
        <v>46</v>
      </c>
      <c r="S173" s="4" t="s">
        <v>46</v>
      </c>
      <c r="T173" s="6">
        <v>0</v>
      </c>
    </row>
    <row r="174" spans="1:20" x14ac:dyDescent="0.3">
      <c r="A174">
        <v>37395</v>
      </c>
      <c r="B174" t="s">
        <v>21</v>
      </c>
      <c r="C174" s="3" t="s">
        <v>37</v>
      </c>
      <c r="D174" t="s">
        <v>38</v>
      </c>
      <c r="E174">
        <v>7868</v>
      </c>
      <c r="F174" t="s">
        <v>24</v>
      </c>
      <c r="H174" s="3" t="s">
        <v>39</v>
      </c>
      <c r="I174" s="3" t="s">
        <v>39</v>
      </c>
      <c r="J174" t="s">
        <v>21</v>
      </c>
      <c r="K174" t="s">
        <v>26</v>
      </c>
      <c r="L174" s="1">
        <v>45901</v>
      </c>
      <c r="M174" s="1">
        <v>45930</v>
      </c>
      <c r="N174" t="s">
        <v>27</v>
      </c>
      <c r="O174" t="s">
        <v>28</v>
      </c>
      <c r="Q174" t="s">
        <v>29</v>
      </c>
      <c r="R174" s="4" t="s">
        <v>47</v>
      </c>
      <c r="S174" s="4" t="s">
        <v>47</v>
      </c>
      <c r="T174" s="5">
        <v>0.1</v>
      </c>
    </row>
    <row r="175" spans="1:20" x14ac:dyDescent="0.3">
      <c r="A175">
        <v>37395</v>
      </c>
      <c r="B175" t="s">
        <v>21</v>
      </c>
      <c r="C175" s="3" t="s">
        <v>48</v>
      </c>
      <c r="D175" t="s">
        <v>49</v>
      </c>
      <c r="E175">
        <v>7868</v>
      </c>
      <c r="F175" t="s">
        <v>24</v>
      </c>
      <c r="H175" s="3" t="s">
        <v>50</v>
      </c>
      <c r="I175" s="3" t="s">
        <v>50</v>
      </c>
      <c r="J175" t="s">
        <v>21</v>
      </c>
      <c r="K175" t="s">
        <v>26</v>
      </c>
      <c r="L175" s="1">
        <v>45901</v>
      </c>
      <c r="M175" s="1">
        <v>45930</v>
      </c>
      <c r="N175" t="s">
        <v>27</v>
      </c>
      <c r="O175" t="s">
        <v>28</v>
      </c>
      <c r="Q175" t="s">
        <v>29</v>
      </c>
      <c r="R175" s="4" t="s">
        <v>51</v>
      </c>
      <c r="S175" s="4" t="s">
        <v>51</v>
      </c>
      <c r="T175" s="6">
        <v>0</v>
      </c>
    </row>
    <row r="176" spans="1:20" x14ac:dyDescent="0.3">
      <c r="A176">
        <v>37395</v>
      </c>
      <c r="B176" t="s">
        <v>21</v>
      </c>
      <c r="C176" s="3" t="s">
        <v>48</v>
      </c>
      <c r="D176" t="s">
        <v>49</v>
      </c>
      <c r="E176">
        <v>7868</v>
      </c>
      <c r="F176" t="s">
        <v>24</v>
      </c>
      <c r="H176" s="3" t="s">
        <v>50</v>
      </c>
      <c r="I176" s="3" t="s">
        <v>50</v>
      </c>
      <c r="J176" t="s">
        <v>21</v>
      </c>
      <c r="K176" t="s">
        <v>26</v>
      </c>
      <c r="L176" s="1">
        <v>45901</v>
      </c>
      <c r="M176" s="1">
        <v>45930</v>
      </c>
      <c r="N176" t="s">
        <v>27</v>
      </c>
      <c r="O176" t="s">
        <v>28</v>
      </c>
      <c r="Q176" t="s">
        <v>29</v>
      </c>
      <c r="R176" s="4" t="s">
        <v>52</v>
      </c>
      <c r="S176" s="4" t="s">
        <v>52</v>
      </c>
      <c r="T176" s="5">
        <v>-0.2</v>
      </c>
    </row>
    <row r="177" spans="1:20" x14ac:dyDescent="0.3">
      <c r="A177">
        <v>37395</v>
      </c>
      <c r="B177" t="s">
        <v>21</v>
      </c>
      <c r="C177" s="3" t="s">
        <v>48</v>
      </c>
      <c r="D177" t="s">
        <v>49</v>
      </c>
      <c r="E177">
        <v>7868</v>
      </c>
      <c r="F177" t="s">
        <v>24</v>
      </c>
      <c r="H177" s="3" t="s">
        <v>50</v>
      </c>
      <c r="I177" s="3" t="s">
        <v>50</v>
      </c>
      <c r="J177" t="s">
        <v>21</v>
      </c>
      <c r="K177" t="s">
        <v>26</v>
      </c>
      <c r="L177" s="1">
        <v>45901</v>
      </c>
      <c r="M177" s="1">
        <v>45930</v>
      </c>
      <c r="N177" t="s">
        <v>27</v>
      </c>
      <c r="O177" t="s">
        <v>28</v>
      </c>
      <c r="Q177" t="s">
        <v>29</v>
      </c>
      <c r="R177" s="4" t="s">
        <v>53</v>
      </c>
      <c r="S177" s="4" t="s">
        <v>53</v>
      </c>
      <c r="T177" s="6">
        <v>29.7</v>
      </c>
    </row>
    <row r="178" spans="1:20" x14ac:dyDescent="0.3">
      <c r="A178">
        <v>37395</v>
      </c>
      <c r="B178" t="s">
        <v>21</v>
      </c>
      <c r="C178" s="3" t="s">
        <v>48</v>
      </c>
      <c r="D178" t="s">
        <v>49</v>
      </c>
      <c r="E178">
        <v>7868</v>
      </c>
      <c r="F178" t="s">
        <v>24</v>
      </c>
      <c r="H178" s="3" t="s">
        <v>50</v>
      </c>
      <c r="I178" s="3" t="s">
        <v>50</v>
      </c>
      <c r="J178" t="s">
        <v>21</v>
      </c>
      <c r="K178" t="s">
        <v>26</v>
      </c>
      <c r="L178" s="1">
        <v>45901</v>
      </c>
      <c r="M178" s="1">
        <v>45930</v>
      </c>
      <c r="N178" t="s">
        <v>27</v>
      </c>
      <c r="O178" t="s">
        <v>28</v>
      </c>
      <c r="Q178" t="s">
        <v>29</v>
      </c>
      <c r="R178" s="4" t="s">
        <v>54</v>
      </c>
      <c r="S178" s="4" t="s">
        <v>54</v>
      </c>
      <c r="T178" s="5">
        <v>10.3</v>
      </c>
    </row>
    <row r="179" spans="1:20" x14ac:dyDescent="0.3">
      <c r="A179">
        <v>37395</v>
      </c>
      <c r="B179" t="s">
        <v>21</v>
      </c>
      <c r="C179" s="3" t="s">
        <v>55</v>
      </c>
      <c r="D179" t="s">
        <v>56</v>
      </c>
      <c r="E179">
        <v>7868</v>
      </c>
      <c r="F179" t="s">
        <v>24</v>
      </c>
      <c r="H179" s="3" t="s">
        <v>57</v>
      </c>
      <c r="I179" s="3" t="s">
        <v>57</v>
      </c>
      <c r="J179" t="s">
        <v>21</v>
      </c>
      <c r="K179" t="s">
        <v>26</v>
      </c>
      <c r="L179" s="1">
        <v>45901</v>
      </c>
      <c r="M179" s="1">
        <v>45930</v>
      </c>
      <c r="N179" t="s">
        <v>27</v>
      </c>
      <c r="O179" t="s">
        <v>28</v>
      </c>
      <c r="Q179" t="s">
        <v>29</v>
      </c>
      <c r="R179" s="4" t="s">
        <v>58</v>
      </c>
      <c r="S179" s="4" t="s">
        <v>58</v>
      </c>
      <c r="T179" s="6">
        <v>16.7</v>
      </c>
    </row>
    <row r="180" spans="1:20" x14ac:dyDescent="0.3">
      <c r="A180">
        <v>37395</v>
      </c>
      <c r="B180" t="s">
        <v>21</v>
      </c>
      <c r="C180" s="3" t="s">
        <v>55</v>
      </c>
      <c r="D180" t="s">
        <v>56</v>
      </c>
      <c r="E180">
        <v>7868</v>
      </c>
      <c r="F180" t="s">
        <v>24</v>
      </c>
      <c r="H180" s="3" t="s">
        <v>57</v>
      </c>
      <c r="I180" s="3" t="s">
        <v>57</v>
      </c>
      <c r="J180" t="s">
        <v>21</v>
      </c>
      <c r="K180" t="s">
        <v>26</v>
      </c>
      <c r="L180" s="1">
        <v>45901</v>
      </c>
      <c r="M180" s="1">
        <v>45930</v>
      </c>
      <c r="N180" t="s">
        <v>27</v>
      </c>
      <c r="O180" t="s">
        <v>28</v>
      </c>
      <c r="Q180" t="s">
        <v>29</v>
      </c>
      <c r="R180" s="4" t="s">
        <v>59</v>
      </c>
      <c r="S180" s="4" t="s">
        <v>59</v>
      </c>
      <c r="T180" s="5">
        <v>1.1000000000000001</v>
      </c>
    </row>
    <row r="181" spans="1:20" x14ac:dyDescent="0.3">
      <c r="A181">
        <v>37395</v>
      </c>
      <c r="B181" t="s">
        <v>21</v>
      </c>
      <c r="C181" s="3" t="s">
        <v>60</v>
      </c>
      <c r="D181" t="s">
        <v>61</v>
      </c>
      <c r="E181">
        <v>7868</v>
      </c>
      <c r="F181" t="s">
        <v>24</v>
      </c>
      <c r="H181" s="3" t="s">
        <v>62</v>
      </c>
      <c r="I181" s="3" t="s">
        <v>62</v>
      </c>
      <c r="J181" t="s">
        <v>21</v>
      </c>
      <c r="K181" t="s">
        <v>26</v>
      </c>
      <c r="L181" s="1">
        <v>45901</v>
      </c>
      <c r="M181" s="1">
        <v>45930</v>
      </c>
      <c r="N181" t="s">
        <v>27</v>
      </c>
      <c r="O181" t="s">
        <v>28</v>
      </c>
      <c r="Q181" t="s">
        <v>29</v>
      </c>
      <c r="R181" s="4" t="s">
        <v>63</v>
      </c>
      <c r="S181" s="4" t="s">
        <v>63</v>
      </c>
      <c r="T181" s="6">
        <v>0</v>
      </c>
    </row>
    <row r="182" spans="1:20" x14ac:dyDescent="0.3">
      <c r="A182">
        <v>37395</v>
      </c>
      <c r="B182" t="s">
        <v>21</v>
      </c>
      <c r="C182" s="3" t="s">
        <v>60</v>
      </c>
      <c r="D182" t="s">
        <v>61</v>
      </c>
      <c r="E182">
        <v>7868</v>
      </c>
      <c r="F182" t="s">
        <v>24</v>
      </c>
      <c r="H182" s="3" t="s">
        <v>62</v>
      </c>
      <c r="I182" s="3" t="s">
        <v>62</v>
      </c>
      <c r="J182" t="s">
        <v>21</v>
      </c>
      <c r="K182" t="s">
        <v>26</v>
      </c>
      <c r="L182" s="1">
        <v>45901</v>
      </c>
      <c r="M182" s="1">
        <v>45930</v>
      </c>
      <c r="N182" t="s">
        <v>27</v>
      </c>
      <c r="O182" t="s">
        <v>28</v>
      </c>
      <c r="Q182" t="s">
        <v>29</v>
      </c>
      <c r="R182" s="4" t="s">
        <v>64</v>
      </c>
      <c r="S182" s="4" t="s">
        <v>64</v>
      </c>
      <c r="T182" s="5">
        <v>47.6</v>
      </c>
    </row>
    <row r="183" spans="1:20" x14ac:dyDescent="0.3">
      <c r="A183">
        <v>37395</v>
      </c>
      <c r="B183" t="s">
        <v>21</v>
      </c>
      <c r="C183" s="3" t="s">
        <v>60</v>
      </c>
      <c r="D183" t="s">
        <v>61</v>
      </c>
      <c r="E183">
        <v>7868</v>
      </c>
      <c r="F183" t="s">
        <v>24</v>
      </c>
      <c r="H183" s="3" t="s">
        <v>62</v>
      </c>
      <c r="I183" s="3" t="s">
        <v>62</v>
      </c>
      <c r="J183" t="s">
        <v>21</v>
      </c>
      <c r="K183" t="s">
        <v>26</v>
      </c>
      <c r="L183" s="1">
        <v>45901</v>
      </c>
      <c r="M183" s="1">
        <v>45930</v>
      </c>
      <c r="N183" t="s">
        <v>27</v>
      </c>
      <c r="O183" t="s">
        <v>28</v>
      </c>
      <c r="Q183" t="s">
        <v>29</v>
      </c>
      <c r="R183" s="4" t="s">
        <v>65</v>
      </c>
      <c r="S183" s="4" t="s">
        <v>65</v>
      </c>
      <c r="T183" s="6">
        <v>13.1</v>
      </c>
    </row>
    <row r="184" spans="1:20" x14ac:dyDescent="0.3">
      <c r="A184">
        <v>37395</v>
      </c>
      <c r="B184" t="s">
        <v>21</v>
      </c>
      <c r="C184" s="3" t="s">
        <v>66</v>
      </c>
      <c r="D184" t="s">
        <v>67</v>
      </c>
      <c r="E184">
        <v>7868</v>
      </c>
      <c r="F184" t="s">
        <v>24</v>
      </c>
      <c r="H184" s="3" t="s">
        <v>68</v>
      </c>
      <c r="I184" s="3" t="s">
        <v>68</v>
      </c>
      <c r="J184" t="s">
        <v>21</v>
      </c>
      <c r="K184" t="s">
        <v>26</v>
      </c>
      <c r="L184" s="1">
        <v>45901</v>
      </c>
      <c r="M184" s="1">
        <v>45930</v>
      </c>
      <c r="N184" t="s">
        <v>27</v>
      </c>
      <c r="O184" t="s">
        <v>28</v>
      </c>
      <c r="Q184" t="s">
        <v>29</v>
      </c>
      <c r="R184" s="4" t="s">
        <v>69</v>
      </c>
      <c r="S184" s="4" t="s">
        <v>69</v>
      </c>
      <c r="T184" s="5">
        <v>29</v>
      </c>
    </row>
    <row r="185" spans="1:20" x14ac:dyDescent="0.3">
      <c r="A185">
        <v>37395</v>
      </c>
      <c r="B185" t="s">
        <v>21</v>
      </c>
      <c r="C185" s="3" t="s">
        <v>66</v>
      </c>
      <c r="D185" t="s">
        <v>67</v>
      </c>
      <c r="E185">
        <v>7868</v>
      </c>
      <c r="F185" t="s">
        <v>24</v>
      </c>
      <c r="H185" s="3" t="s">
        <v>68</v>
      </c>
      <c r="I185" s="3" t="s">
        <v>68</v>
      </c>
      <c r="J185" t="s">
        <v>21</v>
      </c>
      <c r="K185" t="s">
        <v>26</v>
      </c>
      <c r="L185" s="1">
        <v>45901</v>
      </c>
      <c r="M185" s="1">
        <v>45930</v>
      </c>
      <c r="N185" t="s">
        <v>27</v>
      </c>
      <c r="O185" t="s">
        <v>28</v>
      </c>
      <c r="Q185" t="s">
        <v>29</v>
      </c>
      <c r="R185" s="4" t="s">
        <v>70</v>
      </c>
      <c r="S185" s="4" t="s">
        <v>70</v>
      </c>
      <c r="T185" s="6">
        <v>10.7</v>
      </c>
    </row>
    <row r="186" spans="1:20" x14ac:dyDescent="0.3">
      <c r="A186">
        <v>37395</v>
      </c>
      <c r="B186" t="s">
        <v>21</v>
      </c>
      <c r="C186" s="3" t="s">
        <v>71</v>
      </c>
      <c r="D186" t="s">
        <v>72</v>
      </c>
      <c r="E186">
        <v>7868</v>
      </c>
      <c r="F186" t="s">
        <v>24</v>
      </c>
      <c r="H186" s="3" t="s">
        <v>73</v>
      </c>
      <c r="I186" s="3" t="s">
        <v>73</v>
      </c>
      <c r="J186" t="s">
        <v>21</v>
      </c>
      <c r="K186" t="s">
        <v>26</v>
      </c>
      <c r="L186" s="1">
        <v>45901</v>
      </c>
      <c r="M186" s="1">
        <v>45930</v>
      </c>
      <c r="N186" t="s">
        <v>27</v>
      </c>
      <c r="O186" t="s">
        <v>28</v>
      </c>
      <c r="Q186" t="s">
        <v>29</v>
      </c>
      <c r="R186" s="4" t="s">
        <v>74</v>
      </c>
      <c r="S186" s="4" t="s">
        <v>74</v>
      </c>
      <c r="T186" s="5">
        <v>26.7</v>
      </c>
    </row>
    <row r="187" spans="1:20" x14ac:dyDescent="0.3">
      <c r="A187">
        <v>37395</v>
      </c>
      <c r="B187" t="s">
        <v>21</v>
      </c>
      <c r="C187" s="3" t="s">
        <v>71</v>
      </c>
      <c r="D187" t="s">
        <v>72</v>
      </c>
      <c r="E187">
        <v>7868</v>
      </c>
      <c r="F187" t="s">
        <v>24</v>
      </c>
      <c r="H187" s="3" t="s">
        <v>73</v>
      </c>
      <c r="I187" s="3" t="s">
        <v>73</v>
      </c>
      <c r="J187" t="s">
        <v>21</v>
      </c>
      <c r="K187" t="s">
        <v>26</v>
      </c>
      <c r="L187" s="1">
        <v>45901</v>
      </c>
      <c r="M187" s="1">
        <v>45930</v>
      </c>
      <c r="N187" t="s">
        <v>27</v>
      </c>
      <c r="O187" t="s">
        <v>28</v>
      </c>
      <c r="Q187" t="s">
        <v>29</v>
      </c>
      <c r="R187" s="4" t="s">
        <v>75</v>
      </c>
      <c r="S187" s="4" t="s">
        <v>75</v>
      </c>
      <c r="T187" s="6">
        <v>13.4</v>
      </c>
    </row>
    <row r="188" spans="1:20" x14ac:dyDescent="0.3">
      <c r="A188">
        <v>37395</v>
      </c>
      <c r="B188" t="s">
        <v>21</v>
      </c>
      <c r="C188" s="3" t="s">
        <v>76</v>
      </c>
      <c r="D188" t="s">
        <v>77</v>
      </c>
      <c r="E188">
        <v>7868</v>
      </c>
      <c r="F188" t="s">
        <v>24</v>
      </c>
      <c r="H188" s="3" t="s">
        <v>78</v>
      </c>
      <c r="I188" s="3" t="s">
        <v>78</v>
      </c>
      <c r="J188" t="s">
        <v>21</v>
      </c>
      <c r="K188" t="s">
        <v>26</v>
      </c>
      <c r="L188" s="1">
        <v>45901</v>
      </c>
      <c r="M188" s="1">
        <v>45930</v>
      </c>
      <c r="N188" t="s">
        <v>27</v>
      </c>
      <c r="O188" t="s">
        <v>28</v>
      </c>
      <c r="Q188" t="s">
        <v>29</v>
      </c>
      <c r="R188" s="4" t="s">
        <v>79</v>
      </c>
      <c r="S188" s="4" t="s">
        <v>79</v>
      </c>
      <c r="T188" s="5">
        <v>16</v>
      </c>
    </row>
    <row r="189" spans="1:20" x14ac:dyDescent="0.3">
      <c r="A189">
        <v>37395</v>
      </c>
      <c r="B189" t="s">
        <v>21</v>
      </c>
      <c r="C189" s="3" t="s">
        <v>80</v>
      </c>
      <c r="D189" t="s">
        <v>81</v>
      </c>
      <c r="E189">
        <v>7868</v>
      </c>
      <c r="F189" t="s">
        <v>24</v>
      </c>
      <c r="H189" s="3" t="s">
        <v>82</v>
      </c>
      <c r="I189" s="3" t="s">
        <v>82</v>
      </c>
      <c r="J189" t="s">
        <v>21</v>
      </c>
      <c r="K189" t="s">
        <v>26</v>
      </c>
      <c r="L189" s="1">
        <v>45901</v>
      </c>
      <c r="M189" s="1">
        <v>45930</v>
      </c>
      <c r="N189" t="s">
        <v>27</v>
      </c>
      <c r="O189" t="s">
        <v>28</v>
      </c>
      <c r="Q189" t="s">
        <v>29</v>
      </c>
      <c r="R189" s="4" t="s">
        <v>83</v>
      </c>
      <c r="S189" s="4" t="s">
        <v>83</v>
      </c>
      <c r="T189" s="6">
        <v>0.4</v>
      </c>
    </row>
    <row r="190" spans="1:20" x14ac:dyDescent="0.3">
      <c r="A190">
        <v>37395</v>
      </c>
      <c r="B190" t="s">
        <v>21</v>
      </c>
      <c r="C190" s="3" t="s">
        <v>80</v>
      </c>
      <c r="D190" t="s">
        <v>81</v>
      </c>
      <c r="E190">
        <v>7868</v>
      </c>
      <c r="F190" t="s">
        <v>24</v>
      </c>
      <c r="H190" s="3" t="s">
        <v>82</v>
      </c>
      <c r="I190" s="3" t="s">
        <v>82</v>
      </c>
      <c r="J190" t="s">
        <v>21</v>
      </c>
      <c r="K190" t="s">
        <v>26</v>
      </c>
      <c r="L190" s="1">
        <v>45901</v>
      </c>
      <c r="M190" s="1">
        <v>45930</v>
      </c>
      <c r="N190" t="s">
        <v>27</v>
      </c>
      <c r="O190" t="s">
        <v>28</v>
      </c>
      <c r="Q190" t="s">
        <v>29</v>
      </c>
      <c r="R190" s="4" t="s">
        <v>84</v>
      </c>
      <c r="S190" s="4" t="s">
        <v>84</v>
      </c>
      <c r="T190" s="5">
        <v>7.4</v>
      </c>
    </row>
    <row r="191" spans="1:20" x14ac:dyDescent="0.3">
      <c r="A191">
        <v>37395</v>
      </c>
      <c r="B191" t="s">
        <v>21</v>
      </c>
      <c r="C191" s="3" t="s">
        <v>80</v>
      </c>
      <c r="D191" t="s">
        <v>81</v>
      </c>
      <c r="E191">
        <v>7868</v>
      </c>
      <c r="F191" t="s">
        <v>24</v>
      </c>
      <c r="H191" s="3" t="s">
        <v>82</v>
      </c>
      <c r="I191" s="3" t="s">
        <v>82</v>
      </c>
      <c r="J191" t="s">
        <v>21</v>
      </c>
      <c r="K191" t="s">
        <v>26</v>
      </c>
      <c r="L191" s="1">
        <v>45901</v>
      </c>
      <c r="M191" s="1">
        <v>45930</v>
      </c>
      <c r="N191" t="s">
        <v>27</v>
      </c>
      <c r="O191" t="s">
        <v>28</v>
      </c>
      <c r="Q191" t="s">
        <v>29</v>
      </c>
      <c r="R191" s="4" t="s">
        <v>85</v>
      </c>
      <c r="S191" s="4" t="s">
        <v>85</v>
      </c>
      <c r="T191" s="6">
        <v>2.7</v>
      </c>
    </row>
    <row r="192" spans="1:20" x14ac:dyDescent="0.3">
      <c r="A192">
        <v>37395</v>
      </c>
      <c r="B192" t="s">
        <v>21</v>
      </c>
      <c r="C192" s="3" t="s">
        <v>80</v>
      </c>
      <c r="D192" t="s">
        <v>81</v>
      </c>
      <c r="E192">
        <v>7868</v>
      </c>
      <c r="F192" t="s">
        <v>24</v>
      </c>
      <c r="H192" s="3" t="s">
        <v>82</v>
      </c>
      <c r="I192" s="3" t="s">
        <v>82</v>
      </c>
      <c r="J192" t="s">
        <v>21</v>
      </c>
      <c r="K192" t="s">
        <v>26</v>
      </c>
      <c r="L192" s="1">
        <v>45901</v>
      </c>
      <c r="M192" s="1">
        <v>45930</v>
      </c>
      <c r="N192" t="s">
        <v>27</v>
      </c>
      <c r="O192" t="s">
        <v>28</v>
      </c>
      <c r="Q192" t="s">
        <v>29</v>
      </c>
      <c r="R192" s="4" t="s">
        <v>86</v>
      </c>
      <c r="S192" s="4" t="s">
        <v>86</v>
      </c>
      <c r="T192" s="5">
        <v>0</v>
      </c>
    </row>
    <row r="193" spans="1:20" x14ac:dyDescent="0.3">
      <c r="A193">
        <v>37395</v>
      </c>
      <c r="B193" t="s">
        <v>21</v>
      </c>
      <c r="C193" s="3" t="s">
        <v>87</v>
      </c>
      <c r="D193" t="s">
        <v>88</v>
      </c>
      <c r="E193">
        <v>7868</v>
      </c>
      <c r="F193" t="s">
        <v>24</v>
      </c>
      <c r="H193" s="3" t="s">
        <v>89</v>
      </c>
      <c r="I193" s="3" t="s">
        <v>89</v>
      </c>
      <c r="J193" t="s">
        <v>21</v>
      </c>
      <c r="K193" t="s">
        <v>26</v>
      </c>
      <c r="L193" s="1">
        <v>45901</v>
      </c>
      <c r="M193" s="1">
        <v>45930</v>
      </c>
      <c r="N193" t="s">
        <v>27</v>
      </c>
      <c r="O193" t="s">
        <v>28</v>
      </c>
      <c r="Q193" t="s">
        <v>29</v>
      </c>
      <c r="R193" s="4" t="s">
        <v>90</v>
      </c>
      <c r="S193" s="4" t="s">
        <v>90</v>
      </c>
      <c r="T193" s="6">
        <v>0</v>
      </c>
    </row>
    <row r="194" spans="1:20" x14ac:dyDescent="0.3">
      <c r="A194">
        <v>37395</v>
      </c>
      <c r="B194" t="s">
        <v>21</v>
      </c>
      <c r="C194" s="3" t="s">
        <v>87</v>
      </c>
      <c r="D194" t="s">
        <v>88</v>
      </c>
      <c r="E194">
        <v>7868</v>
      </c>
      <c r="F194" t="s">
        <v>24</v>
      </c>
      <c r="H194" s="3" t="s">
        <v>89</v>
      </c>
      <c r="I194" s="3" t="s">
        <v>89</v>
      </c>
      <c r="J194" t="s">
        <v>21</v>
      </c>
      <c r="K194" t="s">
        <v>26</v>
      </c>
      <c r="L194" s="1">
        <v>45901</v>
      </c>
      <c r="M194" s="1">
        <v>45930</v>
      </c>
      <c r="N194" t="s">
        <v>27</v>
      </c>
      <c r="O194" t="s">
        <v>28</v>
      </c>
      <c r="Q194" t="s">
        <v>29</v>
      </c>
      <c r="R194" s="4" t="s">
        <v>91</v>
      </c>
      <c r="S194" s="4" t="s">
        <v>91</v>
      </c>
      <c r="T194" s="5">
        <v>0</v>
      </c>
    </row>
    <row r="195" spans="1:20" x14ac:dyDescent="0.3">
      <c r="A195">
        <v>37395</v>
      </c>
      <c r="B195" t="s">
        <v>21</v>
      </c>
      <c r="C195" s="3" t="s">
        <v>87</v>
      </c>
      <c r="D195" t="s">
        <v>88</v>
      </c>
      <c r="E195">
        <v>7868</v>
      </c>
      <c r="F195" t="s">
        <v>24</v>
      </c>
      <c r="H195" s="3" t="s">
        <v>89</v>
      </c>
      <c r="I195" s="3" t="s">
        <v>89</v>
      </c>
      <c r="J195" t="s">
        <v>21</v>
      </c>
      <c r="K195" t="s">
        <v>26</v>
      </c>
      <c r="L195" s="1">
        <v>45901</v>
      </c>
      <c r="M195" s="1">
        <v>45930</v>
      </c>
      <c r="N195" t="s">
        <v>27</v>
      </c>
      <c r="O195" t="s">
        <v>28</v>
      </c>
      <c r="Q195" t="s">
        <v>29</v>
      </c>
      <c r="R195" s="4" t="s">
        <v>92</v>
      </c>
      <c r="S195" s="4" t="s">
        <v>92</v>
      </c>
      <c r="T195" s="6">
        <v>0.1</v>
      </c>
    </row>
    <row r="196" spans="1:20" x14ac:dyDescent="0.3">
      <c r="A196">
        <v>37395</v>
      </c>
      <c r="B196" t="s">
        <v>21</v>
      </c>
      <c r="C196" s="3" t="s">
        <v>93</v>
      </c>
      <c r="D196" t="s">
        <v>94</v>
      </c>
      <c r="E196">
        <v>7868</v>
      </c>
      <c r="F196" t="s">
        <v>24</v>
      </c>
      <c r="H196" s="3" t="s">
        <v>95</v>
      </c>
      <c r="I196" s="3" t="s">
        <v>95</v>
      </c>
      <c r="J196" t="s">
        <v>21</v>
      </c>
      <c r="K196" t="s">
        <v>26</v>
      </c>
      <c r="L196" s="1">
        <v>45901</v>
      </c>
      <c r="M196" s="1">
        <v>45930</v>
      </c>
      <c r="N196" t="s">
        <v>27</v>
      </c>
      <c r="O196" t="s">
        <v>28</v>
      </c>
      <c r="Q196" t="s">
        <v>29</v>
      </c>
      <c r="R196" s="4" t="s">
        <v>96</v>
      </c>
      <c r="S196" s="4" t="s">
        <v>96</v>
      </c>
      <c r="T196" s="5">
        <v>-0.1</v>
      </c>
    </row>
    <row r="197" spans="1:20" x14ac:dyDescent="0.3">
      <c r="A197">
        <v>37395</v>
      </c>
      <c r="B197" t="s">
        <v>21</v>
      </c>
      <c r="C197" s="3" t="s">
        <v>97</v>
      </c>
      <c r="D197" t="s">
        <v>98</v>
      </c>
      <c r="E197">
        <v>7868</v>
      </c>
      <c r="F197" t="s">
        <v>24</v>
      </c>
      <c r="H197" s="3" t="s">
        <v>99</v>
      </c>
      <c r="I197" s="3" t="s">
        <v>99</v>
      </c>
      <c r="J197" t="s">
        <v>21</v>
      </c>
      <c r="K197" t="s">
        <v>26</v>
      </c>
      <c r="L197" s="1">
        <v>45901</v>
      </c>
      <c r="M197" s="1">
        <v>45930</v>
      </c>
      <c r="N197" t="s">
        <v>27</v>
      </c>
      <c r="O197" t="s">
        <v>28</v>
      </c>
      <c r="Q197" t="s">
        <v>29</v>
      </c>
      <c r="R197" s="4" t="s">
        <v>100</v>
      </c>
      <c r="S197" s="4" t="s">
        <v>100</v>
      </c>
      <c r="T197" s="6">
        <v>0</v>
      </c>
    </row>
    <row r="198" spans="1:20" x14ac:dyDescent="0.3">
      <c r="A198">
        <v>37395</v>
      </c>
      <c r="B198" t="s">
        <v>21</v>
      </c>
      <c r="C198" s="3" t="s">
        <v>97</v>
      </c>
      <c r="D198" t="s">
        <v>98</v>
      </c>
      <c r="E198">
        <v>7868</v>
      </c>
      <c r="F198" t="s">
        <v>24</v>
      </c>
      <c r="H198" s="3" t="s">
        <v>99</v>
      </c>
      <c r="I198" s="3" t="s">
        <v>99</v>
      </c>
      <c r="J198" t="s">
        <v>21</v>
      </c>
      <c r="K198" t="s">
        <v>26</v>
      </c>
      <c r="L198" s="1">
        <v>45901</v>
      </c>
      <c r="M198" s="1">
        <v>45930</v>
      </c>
      <c r="N198" t="s">
        <v>27</v>
      </c>
      <c r="O198" t="s">
        <v>28</v>
      </c>
      <c r="Q198" t="s">
        <v>29</v>
      </c>
      <c r="R198" s="4" t="s">
        <v>101</v>
      </c>
      <c r="S198" s="4" t="s">
        <v>101</v>
      </c>
      <c r="T198" s="5">
        <v>23.7</v>
      </c>
    </row>
    <row r="199" spans="1:20" x14ac:dyDescent="0.3">
      <c r="A199">
        <v>37395</v>
      </c>
      <c r="B199" t="s">
        <v>21</v>
      </c>
      <c r="C199" s="3" t="s">
        <v>102</v>
      </c>
      <c r="D199" t="s">
        <v>103</v>
      </c>
      <c r="E199">
        <v>7868</v>
      </c>
      <c r="F199" t="s">
        <v>24</v>
      </c>
      <c r="H199" s="3" t="s">
        <v>104</v>
      </c>
      <c r="I199" s="3" t="s">
        <v>104</v>
      </c>
      <c r="J199" t="s">
        <v>21</v>
      </c>
      <c r="K199" t="s">
        <v>26</v>
      </c>
      <c r="L199" s="1">
        <v>45901</v>
      </c>
      <c r="M199" s="1">
        <v>45930</v>
      </c>
      <c r="N199" t="s">
        <v>27</v>
      </c>
      <c r="O199" t="s">
        <v>28</v>
      </c>
      <c r="Q199" t="s">
        <v>29</v>
      </c>
      <c r="R199" s="4" t="s">
        <v>105</v>
      </c>
      <c r="S199" s="4" t="s">
        <v>105</v>
      </c>
      <c r="T199" s="6">
        <v>0</v>
      </c>
    </row>
    <row r="200" spans="1:20" x14ac:dyDescent="0.3">
      <c r="A200">
        <v>37395</v>
      </c>
      <c r="B200" t="s">
        <v>21</v>
      </c>
      <c r="C200" s="3" t="s">
        <v>106</v>
      </c>
      <c r="D200" t="s">
        <v>107</v>
      </c>
      <c r="E200">
        <v>7868</v>
      </c>
      <c r="F200" t="s">
        <v>24</v>
      </c>
      <c r="H200" s="3" t="s">
        <v>108</v>
      </c>
      <c r="I200" s="3" t="s">
        <v>108</v>
      </c>
      <c r="J200" t="s">
        <v>21</v>
      </c>
      <c r="K200" t="s">
        <v>26</v>
      </c>
      <c r="L200" s="1">
        <v>45901</v>
      </c>
      <c r="M200" s="1">
        <v>45930</v>
      </c>
      <c r="N200" t="s">
        <v>27</v>
      </c>
      <c r="O200" t="s">
        <v>28</v>
      </c>
      <c r="Q200" t="s">
        <v>29</v>
      </c>
      <c r="R200" s="4" t="s">
        <v>109</v>
      </c>
      <c r="S200" s="4" t="s">
        <v>109</v>
      </c>
      <c r="T200" s="5">
        <v>36</v>
      </c>
    </row>
    <row r="201" spans="1:20" x14ac:dyDescent="0.3">
      <c r="A201">
        <v>37395</v>
      </c>
      <c r="B201" t="s">
        <v>21</v>
      </c>
      <c r="C201" s="3" t="s">
        <v>106</v>
      </c>
      <c r="D201" t="s">
        <v>107</v>
      </c>
      <c r="E201">
        <v>7868</v>
      </c>
      <c r="F201" t="s">
        <v>24</v>
      </c>
      <c r="H201" s="3" t="s">
        <v>108</v>
      </c>
      <c r="I201" s="3" t="s">
        <v>108</v>
      </c>
      <c r="J201" t="s">
        <v>21</v>
      </c>
      <c r="K201" t="s">
        <v>26</v>
      </c>
      <c r="L201" s="1">
        <v>45901</v>
      </c>
      <c r="M201" s="1">
        <v>45930</v>
      </c>
      <c r="N201" t="s">
        <v>27</v>
      </c>
      <c r="O201" t="s">
        <v>28</v>
      </c>
      <c r="Q201" t="s">
        <v>29</v>
      </c>
      <c r="R201" s="4" t="s">
        <v>110</v>
      </c>
      <c r="S201" s="4" t="s">
        <v>110</v>
      </c>
      <c r="T201" s="6">
        <v>2</v>
      </c>
    </row>
    <row r="202" spans="1:20" x14ac:dyDescent="0.3">
      <c r="A202">
        <v>37395</v>
      </c>
      <c r="B202" t="s">
        <v>21</v>
      </c>
      <c r="C202" s="3" t="s">
        <v>106</v>
      </c>
      <c r="D202" t="s">
        <v>107</v>
      </c>
      <c r="E202">
        <v>7868</v>
      </c>
      <c r="F202" t="s">
        <v>24</v>
      </c>
      <c r="H202" s="3" t="s">
        <v>108</v>
      </c>
      <c r="I202" s="3" t="s">
        <v>108</v>
      </c>
      <c r="J202" t="s">
        <v>21</v>
      </c>
      <c r="K202" t="s">
        <v>26</v>
      </c>
      <c r="L202" s="1">
        <v>45901</v>
      </c>
      <c r="M202" s="1">
        <v>45930</v>
      </c>
      <c r="N202" t="s">
        <v>27</v>
      </c>
      <c r="O202" t="s">
        <v>28</v>
      </c>
      <c r="Q202" t="s">
        <v>29</v>
      </c>
      <c r="R202" s="4" t="s">
        <v>111</v>
      </c>
      <c r="S202" s="4" t="s">
        <v>111</v>
      </c>
      <c r="T202" s="5">
        <v>3.4</v>
      </c>
    </row>
    <row r="203" spans="1:20" x14ac:dyDescent="0.3">
      <c r="A203">
        <v>37395</v>
      </c>
      <c r="B203" t="s">
        <v>21</v>
      </c>
      <c r="C203" s="3" t="s">
        <v>106</v>
      </c>
      <c r="D203" t="s">
        <v>107</v>
      </c>
      <c r="E203">
        <v>7868</v>
      </c>
      <c r="F203" t="s">
        <v>24</v>
      </c>
      <c r="H203" s="3" t="s">
        <v>108</v>
      </c>
      <c r="I203" s="3" t="s">
        <v>108</v>
      </c>
      <c r="J203" t="s">
        <v>21</v>
      </c>
      <c r="K203" t="s">
        <v>26</v>
      </c>
      <c r="L203" s="1">
        <v>45901</v>
      </c>
      <c r="M203" s="1">
        <v>45930</v>
      </c>
      <c r="N203" t="s">
        <v>27</v>
      </c>
      <c r="O203" t="s">
        <v>28</v>
      </c>
      <c r="Q203" t="s">
        <v>29</v>
      </c>
      <c r="R203" s="4" t="s">
        <v>112</v>
      </c>
      <c r="S203" s="4" t="s">
        <v>112</v>
      </c>
      <c r="T203" s="6">
        <v>0.8</v>
      </c>
    </row>
    <row r="204" spans="1:20" x14ac:dyDescent="0.3">
      <c r="A204">
        <v>37395</v>
      </c>
      <c r="B204" t="s">
        <v>21</v>
      </c>
      <c r="C204" s="3" t="s">
        <v>106</v>
      </c>
      <c r="D204" t="s">
        <v>107</v>
      </c>
      <c r="E204">
        <v>7868</v>
      </c>
      <c r="F204" t="s">
        <v>24</v>
      </c>
      <c r="H204" s="3" t="s">
        <v>108</v>
      </c>
      <c r="I204" s="3" t="s">
        <v>108</v>
      </c>
      <c r="J204" t="s">
        <v>21</v>
      </c>
      <c r="K204" t="s">
        <v>26</v>
      </c>
      <c r="L204" s="1">
        <v>45901</v>
      </c>
      <c r="M204" s="1">
        <v>45930</v>
      </c>
      <c r="N204" t="s">
        <v>27</v>
      </c>
      <c r="O204" t="s">
        <v>28</v>
      </c>
      <c r="Q204" t="s">
        <v>29</v>
      </c>
      <c r="R204" s="4" t="s">
        <v>113</v>
      </c>
      <c r="S204" s="4" t="s">
        <v>113</v>
      </c>
      <c r="T204" s="5">
        <v>0</v>
      </c>
    </row>
    <row r="205" spans="1:20" x14ac:dyDescent="0.3">
      <c r="A205">
        <v>37395</v>
      </c>
      <c r="B205" t="s">
        <v>21</v>
      </c>
      <c r="C205" s="3" t="s">
        <v>106</v>
      </c>
      <c r="D205" t="s">
        <v>107</v>
      </c>
      <c r="E205">
        <v>7868</v>
      </c>
      <c r="F205" t="s">
        <v>24</v>
      </c>
      <c r="H205" s="3" t="s">
        <v>108</v>
      </c>
      <c r="I205" s="3" t="s">
        <v>108</v>
      </c>
      <c r="J205" t="s">
        <v>21</v>
      </c>
      <c r="K205" t="s">
        <v>26</v>
      </c>
      <c r="L205" s="1">
        <v>45901</v>
      </c>
      <c r="M205" s="1">
        <v>45930</v>
      </c>
      <c r="N205" t="s">
        <v>27</v>
      </c>
      <c r="O205" t="s">
        <v>28</v>
      </c>
      <c r="Q205" t="s">
        <v>29</v>
      </c>
      <c r="R205" s="4" t="s">
        <v>114</v>
      </c>
      <c r="S205" s="4" t="s">
        <v>114</v>
      </c>
      <c r="T205" s="6">
        <v>7.3</v>
      </c>
    </row>
    <row r="206" spans="1:20" x14ac:dyDescent="0.3">
      <c r="A206">
        <v>37395</v>
      </c>
      <c r="B206" t="s">
        <v>21</v>
      </c>
      <c r="C206" s="3" t="s">
        <v>106</v>
      </c>
      <c r="D206" t="s">
        <v>107</v>
      </c>
      <c r="E206">
        <v>7868</v>
      </c>
      <c r="F206" t="s">
        <v>24</v>
      </c>
      <c r="H206" s="3" t="s">
        <v>108</v>
      </c>
      <c r="I206" s="3" t="s">
        <v>108</v>
      </c>
      <c r="J206" t="s">
        <v>21</v>
      </c>
      <c r="K206" t="s">
        <v>26</v>
      </c>
      <c r="L206" s="1">
        <v>45901</v>
      </c>
      <c r="M206" s="1">
        <v>45930</v>
      </c>
      <c r="N206" t="s">
        <v>27</v>
      </c>
      <c r="O206" t="s">
        <v>28</v>
      </c>
      <c r="Q206" t="s">
        <v>29</v>
      </c>
      <c r="R206" s="4" t="s">
        <v>115</v>
      </c>
      <c r="S206" s="4" t="s">
        <v>115</v>
      </c>
      <c r="T206" s="5">
        <v>0.1</v>
      </c>
    </row>
    <row r="207" spans="1:20" x14ac:dyDescent="0.3">
      <c r="A207">
        <v>37395</v>
      </c>
      <c r="B207" t="s">
        <v>21</v>
      </c>
      <c r="C207" s="3" t="s">
        <v>116</v>
      </c>
      <c r="D207" t="s">
        <v>117</v>
      </c>
      <c r="E207">
        <v>7868</v>
      </c>
      <c r="F207" t="s">
        <v>24</v>
      </c>
      <c r="H207" s="3" t="s">
        <v>118</v>
      </c>
      <c r="I207" s="3" t="s">
        <v>118</v>
      </c>
      <c r="J207" t="s">
        <v>21</v>
      </c>
      <c r="K207" t="s">
        <v>26</v>
      </c>
      <c r="L207" s="1">
        <v>45901</v>
      </c>
      <c r="M207" s="1">
        <v>45930</v>
      </c>
      <c r="N207" t="s">
        <v>27</v>
      </c>
      <c r="O207" t="s">
        <v>28</v>
      </c>
      <c r="Q207" t="s">
        <v>29</v>
      </c>
      <c r="R207" s="4" t="s">
        <v>119</v>
      </c>
      <c r="S207" s="4" t="s">
        <v>119</v>
      </c>
      <c r="T207" s="6">
        <v>1.3</v>
      </c>
    </row>
    <row r="208" spans="1:20" x14ac:dyDescent="0.3">
      <c r="A208">
        <v>37395</v>
      </c>
      <c r="B208" t="s">
        <v>21</v>
      </c>
      <c r="C208" s="3" t="s">
        <v>116</v>
      </c>
      <c r="D208" t="s">
        <v>117</v>
      </c>
      <c r="E208">
        <v>7868</v>
      </c>
      <c r="F208" t="s">
        <v>24</v>
      </c>
      <c r="H208" s="3" t="s">
        <v>118</v>
      </c>
      <c r="I208" s="3" t="s">
        <v>118</v>
      </c>
      <c r="J208" t="s">
        <v>21</v>
      </c>
      <c r="K208" t="s">
        <v>26</v>
      </c>
      <c r="L208" s="1">
        <v>45901</v>
      </c>
      <c r="M208" s="1">
        <v>45930</v>
      </c>
      <c r="N208" t="s">
        <v>27</v>
      </c>
      <c r="O208" t="s">
        <v>28</v>
      </c>
      <c r="Q208" t="s">
        <v>29</v>
      </c>
      <c r="R208" s="4" t="s">
        <v>120</v>
      </c>
      <c r="S208" s="4" t="s">
        <v>120</v>
      </c>
      <c r="T208" s="5">
        <v>0.1</v>
      </c>
    </row>
    <row r="209" spans="1:20" x14ac:dyDescent="0.3">
      <c r="A209">
        <v>37395</v>
      </c>
      <c r="B209" t="s">
        <v>21</v>
      </c>
      <c r="C209" s="3" t="s">
        <v>116</v>
      </c>
      <c r="D209" t="s">
        <v>117</v>
      </c>
      <c r="E209">
        <v>7868</v>
      </c>
      <c r="F209" t="s">
        <v>24</v>
      </c>
      <c r="H209" s="3" t="s">
        <v>118</v>
      </c>
      <c r="I209" s="3" t="s">
        <v>118</v>
      </c>
      <c r="J209" t="s">
        <v>21</v>
      </c>
      <c r="K209" t="s">
        <v>26</v>
      </c>
      <c r="L209" s="1">
        <v>45901</v>
      </c>
      <c r="M209" s="1">
        <v>45930</v>
      </c>
      <c r="N209" t="s">
        <v>27</v>
      </c>
      <c r="O209" t="s">
        <v>28</v>
      </c>
      <c r="Q209" t="s">
        <v>29</v>
      </c>
      <c r="R209" s="4" t="s">
        <v>121</v>
      </c>
      <c r="S209" s="4" t="s">
        <v>121</v>
      </c>
      <c r="T209" s="6">
        <v>7.7</v>
      </c>
    </row>
    <row r="210" spans="1:20" x14ac:dyDescent="0.3">
      <c r="A210">
        <v>37395</v>
      </c>
      <c r="B210" t="s">
        <v>21</v>
      </c>
      <c r="C210" s="3" t="s">
        <v>122</v>
      </c>
      <c r="D210" t="s">
        <v>123</v>
      </c>
      <c r="E210">
        <v>7868</v>
      </c>
      <c r="F210" t="s">
        <v>24</v>
      </c>
      <c r="H210" s="3" t="s">
        <v>124</v>
      </c>
      <c r="I210" s="3" t="s">
        <v>124</v>
      </c>
      <c r="J210" t="s">
        <v>21</v>
      </c>
      <c r="K210" t="s">
        <v>26</v>
      </c>
      <c r="L210" s="1">
        <v>45901</v>
      </c>
      <c r="M210" s="1">
        <v>45930</v>
      </c>
      <c r="N210" t="s">
        <v>27</v>
      </c>
      <c r="O210" t="s">
        <v>28</v>
      </c>
      <c r="Q210" t="s">
        <v>29</v>
      </c>
      <c r="R210" s="4" t="s">
        <v>125</v>
      </c>
      <c r="S210" s="4" t="s">
        <v>125</v>
      </c>
      <c r="T210" s="5">
        <v>21.2</v>
      </c>
    </row>
    <row r="211" spans="1:20" x14ac:dyDescent="0.3">
      <c r="A211">
        <v>37395</v>
      </c>
      <c r="B211" t="s">
        <v>21</v>
      </c>
      <c r="C211" s="3" t="s">
        <v>122</v>
      </c>
      <c r="D211" t="s">
        <v>123</v>
      </c>
      <c r="E211">
        <v>7868</v>
      </c>
      <c r="F211" t="s">
        <v>24</v>
      </c>
      <c r="H211" s="3" t="s">
        <v>124</v>
      </c>
      <c r="I211" s="3" t="s">
        <v>124</v>
      </c>
      <c r="J211" t="s">
        <v>21</v>
      </c>
      <c r="K211" t="s">
        <v>26</v>
      </c>
      <c r="L211" s="1">
        <v>45901</v>
      </c>
      <c r="M211" s="1">
        <v>45930</v>
      </c>
      <c r="N211" t="s">
        <v>27</v>
      </c>
      <c r="O211" t="s">
        <v>28</v>
      </c>
      <c r="Q211" t="s">
        <v>29</v>
      </c>
      <c r="R211" s="4" t="s">
        <v>126</v>
      </c>
      <c r="S211" s="4" t="s">
        <v>126</v>
      </c>
      <c r="T211" s="6">
        <v>0</v>
      </c>
    </row>
    <row r="212" spans="1:20" x14ac:dyDescent="0.3">
      <c r="A212">
        <v>37395</v>
      </c>
      <c r="B212" t="s">
        <v>21</v>
      </c>
      <c r="C212" s="3" t="s">
        <v>122</v>
      </c>
      <c r="D212" t="s">
        <v>123</v>
      </c>
      <c r="E212">
        <v>7868</v>
      </c>
      <c r="F212" t="s">
        <v>24</v>
      </c>
      <c r="H212" s="3" t="s">
        <v>124</v>
      </c>
      <c r="I212" s="3" t="s">
        <v>124</v>
      </c>
      <c r="J212" t="s">
        <v>21</v>
      </c>
      <c r="K212" t="s">
        <v>26</v>
      </c>
      <c r="L212" s="1">
        <v>45901</v>
      </c>
      <c r="M212" s="1">
        <v>45930</v>
      </c>
      <c r="N212" t="s">
        <v>27</v>
      </c>
      <c r="O212" t="s">
        <v>28</v>
      </c>
      <c r="Q212" t="s">
        <v>29</v>
      </c>
      <c r="R212" s="4" t="s">
        <v>127</v>
      </c>
      <c r="S212" s="4" t="s">
        <v>127</v>
      </c>
      <c r="T212" s="5">
        <v>0.1</v>
      </c>
    </row>
    <row r="213" spans="1:20" x14ac:dyDescent="0.3">
      <c r="A213">
        <v>37395</v>
      </c>
      <c r="B213" t="s">
        <v>21</v>
      </c>
      <c r="C213" s="3" t="s">
        <v>122</v>
      </c>
      <c r="D213" t="s">
        <v>123</v>
      </c>
      <c r="E213">
        <v>7868</v>
      </c>
      <c r="F213" t="s">
        <v>24</v>
      </c>
      <c r="H213" s="3" t="s">
        <v>124</v>
      </c>
      <c r="I213" s="3" t="s">
        <v>124</v>
      </c>
      <c r="J213" t="s">
        <v>21</v>
      </c>
      <c r="K213" t="s">
        <v>26</v>
      </c>
      <c r="L213" s="1">
        <v>45901</v>
      </c>
      <c r="M213" s="1">
        <v>45930</v>
      </c>
      <c r="N213" t="s">
        <v>27</v>
      </c>
      <c r="O213" t="s">
        <v>28</v>
      </c>
      <c r="Q213" t="s">
        <v>29</v>
      </c>
      <c r="R213" s="4" t="s">
        <v>128</v>
      </c>
      <c r="S213" s="4" t="s">
        <v>128</v>
      </c>
      <c r="T213" s="6">
        <v>32</v>
      </c>
    </row>
    <row r="214" spans="1:20" x14ac:dyDescent="0.3">
      <c r="A214">
        <v>37395</v>
      </c>
      <c r="B214" t="s">
        <v>21</v>
      </c>
      <c r="C214" s="3" t="s">
        <v>122</v>
      </c>
      <c r="D214" t="s">
        <v>123</v>
      </c>
      <c r="E214">
        <v>7868</v>
      </c>
      <c r="F214" t="s">
        <v>24</v>
      </c>
      <c r="H214" s="3" t="s">
        <v>124</v>
      </c>
      <c r="I214" s="3" t="s">
        <v>124</v>
      </c>
      <c r="J214" t="s">
        <v>21</v>
      </c>
      <c r="K214" t="s">
        <v>26</v>
      </c>
      <c r="L214" s="1">
        <v>45901</v>
      </c>
      <c r="M214" s="1">
        <v>45930</v>
      </c>
      <c r="N214" t="s">
        <v>27</v>
      </c>
      <c r="O214" t="s">
        <v>28</v>
      </c>
      <c r="Q214" t="s">
        <v>29</v>
      </c>
      <c r="R214" s="4" t="s">
        <v>129</v>
      </c>
      <c r="S214" s="4" t="s">
        <v>129</v>
      </c>
      <c r="T214" s="5">
        <v>10.1</v>
      </c>
    </row>
    <row r="215" spans="1:20" x14ac:dyDescent="0.3">
      <c r="A215">
        <v>37395</v>
      </c>
      <c r="B215" t="s">
        <v>21</v>
      </c>
      <c r="C215" s="3" t="s">
        <v>122</v>
      </c>
      <c r="D215" t="s">
        <v>123</v>
      </c>
      <c r="E215">
        <v>7868</v>
      </c>
      <c r="F215" t="s">
        <v>24</v>
      </c>
      <c r="H215" s="3" t="s">
        <v>124</v>
      </c>
      <c r="I215" s="3" t="s">
        <v>124</v>
      </c>
      <c r="J215" t="s">
        <v>21</v>
      </c>
      <c r="K215" t="s">
        <v>26</v>
      </c>
      <c r="L215" s="1">
        <v>45901</v>
      </c>
      <c r="M215" s="1">
        <v>45930</v>
      </c>
      <c r="N215" t="s">
        <v>27</v>
      </c>
      <c r="O215" t="s">
        <v>28</v>
      </c>
      <c r="Q215" t="s">
        <v>29</v>
      </c>
      <c r="R215" s="4" t="s">
        <v>130</v>
      </c>
      <c r="S215" s="4" t="s">
        <v>130</v>
      </c>
      <c r="T215" s="6">
        <v>0</v>
      </c>
    </row>
    <row r="216" spans="1:20" x14ac:dyDescent="0.3">
      <c r="A216">
        <v>37395</v>
      </c>
      <c r="B216" t="s">
        <v>21</v>
      </c>
      <c r="C216" s="3" t="s">
        <v>122</v>
      </c>
      <c r="D216" t="s">
        <v>123</v>
      </c>
      <c r="E216">
        <v>7868</v>
      </c>
      <c r="F216" t="s">
        <v>24</v>
      </c>
      <c r="H216" s="3" t="s">
        <v>124</v>
      </c>
      <c r="I216" s="3" t="s">
        <v>124</v>
      </c>
      <c r="J216" t="s">
        <v>21</v>
      </c>
      <c r="K216" t="s">
        <v>26</v>
      </c>
      <c r="L216" s="1">
        <v>45901</v>
      </c>
      <c r="M216" s="1">
        <v>45930</v>
      </c>
      <c r="N216" t="s">
        <v>27</v>
      </c>
      <c r="O216" t="s">
        <v>28</v>
      </c>
      <c r="Q216" t="s">
        <v>29</v>
      </c>
      <c r="R216" s="4" t="s">
        <v>131</v>
      </c>
      <c r="S216" s="4" t="s">
        <v>131</v>
      </c>
      <c r="T216" s="5">
        <v>9.1</v>
      </c>
    </row>
    <row r="217" spans="1:20" x14ac:dyDescent="0.3">
      <c r="A217">
        <v>37395</v>
      </c>
      <c r="B217" t="s">
        <v>21</v>
      </c>
      <c r="C217" s="3" t="s">
        <v>132</v>
      </c>
      <c r="D217" t="s">
        <v>133</v>
      </c>
      <c r="E217">
        <v>7868</v>
      </c>
      <c r="F217" t="s">
        <v>24</v>
      </c>
      <c r="H217" s="3" t="s">
        <v>134</v>
      </c>
      <c r="I217" s="3" t="s">
        <v>134</v>
      </c>
      <c r="J217" t="s">
        <v>21</v>
      </c>
      <c r="K217" t="s">
        <v>26</v>
      </c>
      <c r="L217" s="1">
        <v>45901</v>
      </c>
      <c r="M217" s="1">
        <v>45930</v>
      </c>
      <c r="N217" t="s">
        <v>27</v>
      </c>
      <c r="O217" t="s">
        <v>28</v>
      </c>
      <c r="Q217" t="s">
        <v>29</v>
      </c>
      <c r="R217" s="4" t="s">
        <v>135</v>
      </c>
      <c r="S217" s="4" t="s">
        <v>135</v>
      </c>
      <c r="T217" s="6">
        <v>3.5</v>
      </c>
    </row>
    <row r="218" spans="1:20" x14ac:dyDescent="0.3">
      <c r="A218">
        <v>37395</v>
      </c>
      <c r="B218" t="s">
        <v>21</v>
      </c>
      <c r="C218" s="3" t="s">
        <v>132</v>
      </c>
      <c r="D218" t="s">
        <v>133</v>
      </c>
      <c r="E218">
        <v>7868</v>
      </c>
      <c r="F218" t="s">
        <v>24</v>
      </c>
      <c r="H218" s="3" t="s">
        <v>134</v>
      </c>
      <c r="I218" s="3" t="s">
        <v>134</v>
      </c>
      <c r="J218" t="s">
        <v>21</v>
      </c>
      <c r="K218" t="s">
        <v>26</v>
      </c>
      <c r="L218" s="1">
        <v>45901</v>
      </c>
      <c r="M218" s="1">
        <v>45930</v>
      </c>
      <c r="N218" t="s">
        <v>27</v>
      </c>
      <c r="O218" t="s">
        <v>28</v>
      </c>
      <c r="Q218" t="s">
        <v>29</v>
      </c>
      <c r="R218" s="4" t="s">
        <v>136</v>
      </c>
      <c r="S218" s="4" t="s">
        <v>136</v>
      </c>
      <c r="T218" s="5">
        <v>28.2</v>
      </c>
    </row>
    <row r="219" spans="1:20" x14ac:dyDescent="0.3">
      <c r="A219">
        <v>37395</v>
      </c>
      <c r="B219" t="s">
        <v>21</v>
      </c>
      <c r="C219" s="3" t="s">
        <v>132</v>
      </c>
      <c r="D219" t="s">
        <v>133</v>
      </c>
      <c r="E219">
        <v>7868</v>
      </c>
      <c r="F219" t="s">
        <v>24</v>
      </c>
      <c r="H219" s="3" t="s">
        <v>134</v>
      </c>
      <c r="I219" s="3" t="s">
        <v>134</v>
      </c>
      <c r="J219" t="s">
        <v>21</v>
      </c>
      <c r="K219" t="s">
        <v>26</v>
      </c>
      <c r="L219" s="1">
        <v>45901</v>
      </c>
      <c r="M219" s="1">
        <v>45930</v>
      </c>
      <c r="N219" t="s">
        <v>27</v>
      </c>
      <c r="O219" t="s">
        <v>28</v>
      </c>
      <c r="Q219" t="s">
        <v>29</v>
      </c>
      <c r="R219" s="4" t="s">
        <v>137</v>
      </c>
      <c r="S219" s="4" t="s">
        <v>137</v>
      </c>
      <c r="T219" s="6">
        <v>0</v>
      </c>
    </row>
    <row r="220" spans="1:20" x14ac:dyDescent="0.3">
      <c r="A220">
        <v>37395</v>
      </c>
      <c r="B220" t="s">
        <v>21</v>
      </c>
      <c r="C220" s="3" t="s">
        <v>132</v>
      </c>
      <c r="D220" t="s">
        <v>133</v>
      </c>
      <c r="E220">
        <v>7868</v>
      </c>
      <c r="F220" t="s">
        <v>24</v>
      </c>
      <c r="H220" s="3" t="s">
        <v>134</v>
      </c>
      <c r="I220" s="3" t="s">
        <v>134</v>
      </c>
      <c r="J220" t="s">
        <v>21</v>
      </c>
      <c r="K220" t="s">
        <v>26</v>
      </c>
      <c r="L220" s="1">
        <v>45901</v>
      </c>
      <c r="M220" s="1">
        <v>45930</v>
      </c>
      <c r="N220" t="s">
        <v>27</v>
      </c>
      <c r="O220" t="s">
        <v>28</v>
      </c>
      <c r="Q220" t="s">
        <v>29</v>
      </c>
      <c r="R220" s="4" t="s">
        <v>138</v>
      </c>
      <c r="S220" s="4" t="s">
        <v>138</v>
      </c>
      <c r="T220" s="5">
        <v>0</v>
      </c>
    </row>
    <row r="221" spans="1:20" x14ac:dyDescent="0.3">
      <c r="A221">
        <v>37395</v>
      </c>
      <c r="B221" t="s">
        <v>21</v>
      </c>
      <c r="C221" s="3" t="s">
        <v>139</v>
      </c>
      <c r="D221" t="s">
        <v>140</v>
      </c>
      <c r="E221">
        <v>7868</v>
      </c>
      <c r="F221" t="s">
        <v>24</v>
      </c>
      <c r="H221" s="3" t="s">
        <v>141</v>
      </c>
      <c r="I221" s="3" t="s">
        <v>141</v>
      </c>
      <c r="J221" t="s">
        <v>21</v>
      </c>
      <c r="K221" t="s">
        <v>26</v>
      </c>
      <c r="L221" s="1">
        <v>45901</v>
      </c>
      <c r="M221" s="1">
        <v>45930</v>
      </c>
      <c r="N221" t="s">
        <v>27</v>
      </c>
      <c r="O221" t="s">
        <v>28</v>
      </c>
      <c r="Q221" t="s">
        <v>29</v>
      </c>
      <c r="R221" s="4" t="s">
        <v>142</v>
      </c>
      <c r="S221" s="4" t="s">
        <v>142</v>
      </c>
      <c r="T221" s="6">
        <v>-0.1</v>
      </c>
    </row>
    <row r="222" spans="1:20" x14ac:dyDescent="0.3">
      <c r="A222">
        <v>37395</v>
      </c>
      <c r="B222" t="s">
        <v>21</v>
      </c>
      <c r="C222" s="3" t="s">
        <v>143</v>
      </c>
      <c r="D222" t="s">
        <v>144</v>
      </c>
      <c r="E222">
        <v>7868</v>
      </c>
      <c r="F222" t="s">
        <v>24</v>
      </c>
      <c r="H222" s="3" t="s">
        <v>145</v>
      </c>
      <c r="I222" s="3" t="s">
        <v>145</v>
      </c>
      <c r="J222" t="s">
        <v>21</v>
      </c>
      <c r="K222" t="s">
        <v>26</v>
      </c>
      <c r="L222" s="1">
        <v>45901</v>
      </c>
      <c r="M222" s="1">
        <v>45930</v>
      </c>
      <c r="N222" t="s">
        <v>27</v>
      </c>
      <c r="O222" t="s">
        <v>28</v>
      </c>
      <c r="Q222" t="s">
        <v>29</v>
      </c>
      <c r="R222" s="4" t="s">
        <v>146</v>
      </c>
      <c r="S222" s="4" t="s">
        <v>146</v>
      </c>
      <c r="T222" s="5">
        <v>101.8</v>
      </c>
    </row>
    <row r="223" spans="1:20" x14ac:dyDescent="0.3">
      <c r="A223">
        <v>37395</v>
      </c>
      <c r="B223" t="s">
        <v>21</v>
      </c>
      <c r="C223" s="3" t="s">
        <v>143</v>
      </c>
      <c r="D223" t="s">
        <v>144</v>
      </c>
      <c r="E223">
        <v>7868</v>
      </c>
      <c r="F223" t="s">
        <v>24</v>
      </c>
      <c r="H223" s="3" t="s">
        <v>145</v>
      </c>
      <c r="I223" s="3" t="s">
        <v>145</v>
      </c>
      <c r="J223" t="s">
        <v>21</v>
      </c>
      <c r="K223" t="s">
        <v>26</v>
      </c>
      <c r="L223" s="1">
        <v>45901</v>
      </c>
      <c r="M223" s="1">
        <v>45930</v>
      </c>
      <c r="N223" t="s">
        <v>27</v>
      </c>
      <c r="O223" t="s">
        <v>28</v>
      </c>
      <c r="Q223" t="s">
        <v>29</v>
      </c>
      <c r="R223" s="4" t="s">
        <v>147</v>
      </c>
      <c r="S223" s="4" t="s">
        <v>147</v>
      </c>
      <c r="T223" s="6">
        <v>18.600000000000001</v>
      </c>
    </row>
    <row r="224" spans="1:20" x14ac:dyDescent="0.3">
      <c r="A224">
        <v>37395</v>
      </c>
      <c r="B224" t="s">
        <v>21</v>
      </c>
      <c r="C224" s="3" t="s">
        <v>148</v>
      </c>
      <c r="D224" t="s">
        <v>149</v>
      </c>
      <c r="E224">
        <v>7868</v>
      </c>
      <c r="F224" t="s">
        <v>24</v>
      </c>
      <c r="H224" s="3" t="s">
        <v>150</v>
      </c>
      <c r="I224" s="3" t="s">
        <v>150</v>
      </c>
      <c r="J224" t="s">
        <v>21</v>
      </c>
      <c r="K224" t="s">
        <v>26</v>
      </c>
      <c r="L224" s="1">
        <v>45901</v>
      </c>
      <c r="M224" s="1">
        <v>45930</v>
      </c>
      <c r="N224" t="s">
        <v>27</v>
      </c>
      <c r="O224" t="s">
        <v>28</v>
      </c>
      <c r="Q224" t="s">
        <v>29</v>
      </c>
      <c r="R224" s="4" t="s">
        <v>151</v>
      </c>
      <c r="S224" s="4" t="s">
        <v>151</v>
      </c>
      <c r="T224" s="5">
        <v>9.9</v>
      </c>
    </row>
    <row r="225" spans="1:20" x14ac:dyDescent="0.3">
      <c r="A225">
        <v>37395</v>
      </c>
      <c r="B225" t="s">
        <v>21</v>
      </c>
      <c r="C225" s="3" t="s">
        <v>148</v>
      </c>
      <c r="D225" t="s">
        <v>149</v>
      </c>
      <c r="E225">
        <v>7868</v>
      </c>
      <c r="F225" t="s">
        <v>24</v>
      </c>
      <c r="H225" s="3" t="s">
        <v>150</v>
      </c>
      <c r="I225" s="3" t="s">
        <v>150</v>
      </c>
      <c r="J225" t="s">
        <v>21</v>
      </c>
      <c r="K225" t="s">
        <v>26</v>
      </c>
      <c r="L225" s="1">
        <v>45901</v>
      </c>
      <c r="M225" s="1">
        <v>45930</v>
      </c>
      <c r="N225" t="s">
        <v>27</v>
      </c>
      <c r="O225" t="s">
        <v>28</v>
      </c>
      <c r="Q225" t="s">
        <v>29</v>
      </c>
      <c r="R225" s="4" t="s">
        <v>152</v>
      </c>
      <c r="S225" s="4" t="s">
        <v>152</v>
      </c>
      <c r="T225" s="6">
        <v>4.7</v>
      </c>
    </row>
    <row r="226" spans="1:20" x14ac:dyDescent="0.3">
      <c r="A226">
        <v>37395</v>
      </c>
      <c r="B226" t="s">
        <v>21</v>
      </c>
      <c r="C226" s="3" t="s">
        <v>148</v>
      </c>
      <c r="D226" t="s">
        <v>149</v>
      </c>
      <c r="E226">
        <v>7868</v>
      </c>
      <c r="F226" t="s">
        <v>24</v>
      </c>
      <c r="H226" s="3" t="s">
        <v>150</v>
      </c>
      <c r="I226" s="3" t="s">
        <v>150</v>
      </c>
      <c r="J226" t="s">
        <v>21</v>
      </c>
      <c r="K226" t="s">
        <v>26</v>
      </c>
      <c r="L226" s="1">
        <v>45901</v>
      </c>
      <c r="M226" s="1">
        <v>45930</v>
      </c>
      <c r="N226" t="s">
        <v>27</v>
      </c>
      <c r="O226" t="s">
        <v>28</v>
      </c>
      <c r="Q226" t="s">
        <v>29</v>
      </c>
      <c r="R226" s="4" t="s">
        <v>153</v>
      </c>
      <c r="S226" s="4" t="s">
        <v>153</v>
      </c>
      <c r="T226" s="5">
        <v>0</v>
      </c>
    </row>
    <row r="227" spans="1:20" x14ac:dyDescent="0.3">
      <c r="A227">
        <v>37395</v>
      </c>
      <c r="B227" t="s">
        <v>21</v>
      </c>
      <c r="C227" s="3" t="s">
        <v>154</v>
      </c>
      <c r="D227" t="s">
        <v>155</v>
      </c>
      <c r="E227">
        <v>7868</v>
      </c>
      <c r="F227" t="s">
        <v>24</v>
      </c>
      <c r="H227" s="3" t="s">
        <v>156</v>
      </c>
      <c r="I227" s="3" t="s">
        <v>156</v>
      </c>
      <c r="J227" t="s">
        <v>21</v>
      </c>
      <c r="K227" t="s">
        <v>26</v>
      </c>
      <c r="L227" s="1">
        <v>45901</v>
      </c>
      <c r="M227" s="1">
        <v>45930</v>
      </c>
      <c r="N227" t="s">
        <v>27</v>
      </c>
      <c r="O227" t="s">
        <v>28</v>
      </c>
      <c r="Q227" t="s">
        <v>29</v>
      </c>
      <c r="R227" s="4" t="s">
        <v>157</v>
      </c>
      <c r="S227" s="4" t="s">
        <v>157</v>
      </c>
      <c r="T227" s="6">
        <v>1.4</v>
      </c>
    </row>
    <row r="228" spans="1:20" x14ac:dyDescent="0.3">
      <c r="A228">
        <v>37395</v>
      </c>
      <c r="B228" t="s">
        <v>21</v>
      </c>
      <c r="C228" s="3" t="s">
        <v>158</v>
      </c>
      <c r="D228" t="s">
        <v>159</v>
      </c>
      <c r="E228">
        <v>7868</v>
      </c>
      <c r="F228" t="s">
        <v>24</v>
      </c>
      <c r="H228" s="3" t="s">
        <v>160</v>
      </c>
      <c r="I228" s="3" t="s">
        <v>160</v>
      </c>
      <c r="J228" t="s">
        <v>21</v>
      </c>
      <c r="K228" t="s">
        <v>26</v>
      </c>
      <c r="L228" s="1">
        <v>45901</v>
      </c>
      <c r="M228" s="1">
        <v>45930</v>
      </c>
      <c r="N228" t="s">
        <v>27</v>
      </c>
      <c r="O228" t="s">
        <v>28</v>
      </c>
      <c r="Q228" t="s">
        <v>29</v>
      </c>
      <c r="R228" s="4" t="s">
        <v>161</v>
      </c>
      <c r="S228" s="4" t="s">
        <v>161</v>
      </c>
      <c r="T228" s="5">
        <v>0</v>
      </c>
    </row>
    <row r="229" spans="1:20" x14ac:dyDescent="0.3">
      <c r="A229">
        <v>37395</v>
      </c>
      <c r="B229" t="s">
        <v>21</v>
      </c>
      <c r="C229" s="3" t="s">
        <v>162</v>
      </c>
      <c r="D229" t="s">
        <v>163</v>
      </c>
      <c r="E229">
        <v>7868</v>
      </c>
      <c r="F229" t="s">
        <v>24</v>
      </c>
      <c r="H229" s="3" t="s">
        <v>164</v>
      </c>
      <c r="I229" s="3" t="s">
        <v>164</v>
      </c>
      <c r="J229" t="s">
        <v>21</v>
      </c>
      <c r="K229" t="s">
        <v>26</v>
      </c>
      <c r="L229" s="1">
        <v>45901</v>
      </c>
      <c r="M229" s="1">
        <v>45930</v>
      </c>
      <c r="N229" t="s">
        <v>27</v>
      </c>
      <c r="O229" t="s">
        <v>28</v>
      </c>
      <c r="Q229" t="s">
        <v>29</v>
      </c>
      <c r="R229" s="4" t="s">
        <v>165</v>
      </c>
      <c r="S229" s="4" t="s">
        <v>165</v>
      </c>
      <c r="T229" s="6">
        <v>0</v>
      </c>
    </row>
    <row r="230" spans="1:20" x14ac:dyDescent="0.3">
      <c r="A230">
        <v>37395</v>
      </c>
      <c r="B230" t="s">
        <v>21</v>
      </c>
      <c r="C230" s="3" t="s">
        <v>166</v>
      </c>
      <c r="D230" t="s">
        <v>167</v>
      </c>
      <c r="E230">
        <v>7868</v>
      </c>
      <c r="F230" t="s">
        <v>24</v>
      </c>
      <c r="H230" s="3" t="s">
        <v>168</v>
      </c>
      <c r="I230" s="3" t="s">
        <v>168</v>
      </c>
      <c r="J230" t="s">
        <v>21</v>
      </c>
      <c r="K230" t="s">
        <v>26</v>
      </c>
      <c r="L230" s="1">
        <v>45901</v>
      </c>
      <c r="M230" s="1">
        <v>45930</v>
      </c>
      <c r="N230" t="s">
        <v>27</v>
      </c>
      <c r="O230" t="s">
        <v>28</v>
      </c>
      <c r="Q230" t="s">
        <v>29</v>
      </c>
      <c r="R230" s="4" t="s">
        <v>169</v>
      </c>
      <c r="S230" s="4" t="s">
        <v>169</v>
      </c>
      <c r="T230" s="5">
        <v>0</v>
      </c>
    </row>
    <row r="231" spans="1:20" x14ac:dyDescent="0.3">
      <c r="A231">
        <v>37395</v>
      </c>
      <c r="B231" t="s">
        <v>21</v>
      </c>
      <c r="C231" s="3" t="s">
        <v>166</v>
      </c>
      <c r="D231" t="s">
        <v>167</v>
      </c>
      <c r="E231">
        <v>7868</v>
      </c>
      <c r="F231" t="s">
        <v>24</v>
      </c>
      <c r="H231" s="3" t="s">
        <v>168</v>
      </c>
      <c r="I231" s="3" t="s">
        <v>168</v>
      </c>
      <c r="J231" t="s">
        <v>21</v>
      </c>
      <c r="K231" t="s">
        <v>26</v>
      </c>
      <c r="L231" s="1">
        <v>45901</v>
      </c>
      <c r="M231" s="1">
        <v>45930</v>
      </c>
      <c r="N231" t="s">
        <v>27</v>
      </c>
      <c r="O231" t="s">
        <v>28</v>
      </c>
      <c r="Q231" t="s">
        <v>29</v>
      </c>
      <c r="R231" s="4" t="s">
        <v>170</v>
      </c>
      <c r="S231" s="4" t="s">
        <v>170</v>
      </c>
      <c r="T231" s="6">
        <v>-0.9</v>
      </c>
    </row>
    <row r="232" spans="1:20" x14ac:dyDescent="0.3">
      <c r="A232">
        <v>37395</v>
      </c>
      <c r="B232" t="s">
        <v>21</v>
      </c>
      <c r="C232" s="3" t="s">
        <v>166</v>
      </c>
      <c r="D232" t="s">
        <v>167</v>
      </c>
      <c r="E232">
        <v>7868</v>
      </c>
      <c r="F232" t="s">
        <v>24</v>
      </c>
      <c r="H232" s="3" t="s">
        <v>168</v>
      </c>
      <c r="I232" s="3" t="s">
        <v>168</v>
      </c>
      <c r="J232" t="s">
        <v>21</v>
      </c>
      <c r="K232" t="s">
        <v>26</v>
      </c>
      <c r="L232" s="1">
        <v>45901</v>
      </c>
      <c r="M232" s="1">
        <v>45930</v>
      </c>
      <c r="N232" t="s">
        <v>27</v>
      </c>
      <c r="O232" t="s">
        <v>28</v>
      </c>
      <c r="Q232" t="s">
        <v>29</v>
      </c>
      <c r="R232" s="4" t="s">
        <v>171</v>
      </c>
      <c r="S232" s="4" t="s">
        <v>171</v>
      </c>
      <c r="T232" s="5">
        <v>0.8</v>
      </c>
    </row>
    <row r="233" spans="1:20" x14ac:dyDescent="0.3">
      <c r="A233">
        <v>37395</v>
      </c>
      <c r="B233" t="s">
        <v>21</v>
      </c>
      <c r="C233" s="3" t="s">
        <v>166</v>
      </c>
      <c r="D233" t="s">
        <v>167</v>
      </c>
      <c r="E233">
        <v>7868</v>
      </c>
      <c r="F233" t="s">
        <v>24</v>
      </c>
      <c r="H233" s="3" t="s">
        <v>168</v>
      </c>
      <c r="I233" s="3" t="s">
        <v>168</v>
      </c>
      <c r="J233" t="s">
        <v>21</v>
      </c>
      <c r="K233" t="s">
        <v>26</v>
      </c>
      <c r="L233" s="1">
        <v>45901</v>
      </c>
      <c r="M233" s="1">
        <v>45930</v>
      </c>
      <c r="N233" t="s">
        <v>27</v>
      </c>
      <c r="O233" t="s">
        <v>28</v>
      </c>
      <c r="Q233" t="s">
        <v>29</v>
      </c>
      <c r="R233" s="4" t="s">
        <v>172</v>
      </c>
      <c r="S233" s="4" t="s">
        <v>172</v>
      </c>
      <c r="T233" s="6">
        <v>0</v>
      </c>
    </row>
    <row r="234" spans="1:20" x14ac:dyDescent="0.3">
      <c r="A234">
        <v>37395</v>
      </c>
      <c r="B234" t="s">
        <v>21</v>
      </c>
      <c r="C234" s="3" t="s">
        <v>166</v>
      </c>
      <c r="D234" t="s">
        <v>167</v>
      </c>
      <c r="E234">
        <v>7868</v>
      </c>
      <c r="F234" t="s">
        <v>24</v>
      </c>
      <c r="H234" s="3" t="s">
        <v>168</v>
      </c>
      <c r="I234" s="3" t="s">
        <v>168</v>
      </c>
      <c r="J234" t="s">
        <v>21</v>
      </c>
      <c r="K234" t="s">
        <v>26</v>
      </c>
      <c r="L234" s="1">
        <v>45901</v>
      </c>
      <c r="M234" s="1">
        <v>45930</v>
      </c>
      <c r="N234" t="s">
        <v>27</v>
      </c>
      <c r="O234" t="s">
        <v>28</v>
      </c>
      <c r="Q234" t="s">
        <v>29</v>
      </c>
      <c r="R234" s="4" t="s">
        <v>173</v>
      </c>
      <c r="S234" s="4" t="s">
        <v>173</v>
      </c>
      <c r="T234" s="5">
        <v>0</v>
      </c>
    </row>
    <row r="235" spans="1:20" x14ac:dyDescent="0.3">
      <c r="A235">
        <v>37395</v>
      </c>
      <c r="B235" t="s">
        <v>21</v>
      </c>
      <c r="C235" s="3" t="s">
        <v>174</v>
      </c>
      <c r="D235" t="s">
        <v>175</v>
      </c>
      <c r="E235">
        <v>7868</v>
      </c>
      <c r="F235" t="s">
        <v>24</v>
      </c>
      <c r="H235" s="3" t="s">
        <v>176</v>
      </c>
      <c r="I235" s="3" t="s">
        <v>176</v>
      </c>
      <c r="J235" t="s">
        <v>21</v>
      </c>
      <c r="K235" t="s">
        <v>26</v>
      </c>
      <c r="L235" s="1">
        <v>45901</v>
      </c>
      <c r="M235" s="1">
        <v>45930</v>
      </c>
      <c r="N235" t="s">
        <v>27</v>
      </c>
      <c r="O235" t="s">
        <v>28</v>
      </c>
      <c r="Q235" t="s">
        <v>29</v>
      </c>
      <c r="R235" s="7" t="s">
        <v>177</v>
      </c>
      <c r="S235" s="7" t="s">
        <v>177</v>
      </c>
      <c r="T235" s="6">
        <v>-2</v>
      </c>
    </row>
    <row r="236" spans="1:20" x14ac:dyDescent="0.3">
      <c r="A236">
        <v>37395</v>
      </c>
      <c r="B236" t="s">
        <v>21</v>
      </c>
      <c r="C236" s="3" t="s">
        <v>174</v>
      </c>
      <c r="D236" t="s">
        <v>175</v>
      </c>
      <c r="E236">
        <v>7868</v>
      </c>
      <c r="F236" t="s">
        <v>24</v>
      </c>
      <c r="H236" s="3" t="s">
        <v>176</v>
      </c>
      <c r="I236" s="3" t="s">
        <v>176</v>
      </c>
      <c r="J236" t="s">
        <v>21</v>
      </c>
      <c r="K236" t="s">
        <v>26</v>
      </c>
      <c r="L236" s="1">
        <v>45901</v>
      </c>
      <c r="M236" s="1">
        <v>45930</v>
      </c>
      <c r="N236" t="s">
        <v>27</v>
      </c>
      <c r="O236" t="s">
        <v>28</v>
      </c>
      <c r="Q236" t="s">
        <v>29</v>
      </c>
      <c r="R236" s="4" t="s">
        <v>178</v>
      </c>
      <c r="S236" s="4" t="s">
        <v>178</v>
      </c>
      <c r="T236" s="5">
        <v>0</v>
      </c>
    </row>
    <row r="237" spans="1:20" x14ac:dyDescent="0.3">
      <c r="A237">
        <v>37395</v>
      </c>
      <c r="B237" t="s">
        <v>21</v>
      </c>
      <c r="C237" s="3" t="s">
        <v>179</v>
      </c>
      <c r="D237" t="s">
        <v>180</v>
      </c>
      <c r="E237">
        <v>7868</v>
      </c>
      <c r="F237" t="s">
        <v>24</v>
      </c>
      <c r="H237" s="3" t="s">
        <v>181</v>
      </c>
      <c r="I237" s="3" t="s">
        <v>181</v>
      </c>
      <c r="J237" t="s">
        <v>21</v>
      </c>
      <c r="K237" t="s">
        <v>26</v>
      </c>
      <c r="L237" s="1">
        <v>45901</v>
      </c>
      <c r="M237" s="1">
        <v>45930</v>
      </c>
      <c r="N237" t="s">
        <v>27</v>
      </c>
      <c r="O237" t="s">
        <v>28</v>
      </c>
      <c r="Q237" t="s">
        <v>29</v>
      </c>
      <c r="R237" s="7" t="s">
        <v>182</v>
      </c>
      <c r="S237" s="7" t="s">
        <v>182</v>
      </c>
      <c r="T237" s="6">
        <v>0.2</v>
      </c>
    </row>
    <row r="238" spans="1:20" x14ac:dyDescent="0.3">
      <c r="A238">
        <v>37395</v>
      </c>
      <c r="B238" t="s">
        <v>21</v>
      </c>
      <c r="C238" s="3" t="s">
        <v>183</v>
      </c>
      <c r="D238" t="s">
        <v>184</v>
      </c>
      <c r="E238">
        <v>7868</v>
      </c>
      <c r="F238" t="s">
        <v>24</v>
      </c>
      <c r="H238" s="3" t="s">
        <v>185</v>
      </c>
      <c r="I238" s="3" t="s">
        <v>185</v>
      </c>
      <c r="J238" t="s">
        <v>21</v>
      </c>
      <c r="K238" t="s">
        <v>26</v>
      </c>
      <c r="L238" s="1">
        <v>45901</v>
      </c>
      <c r="M238" s="1">
        <v>45930</v>
      </c>
      <c r="N238" t="s">
        <v>27</v>
      </c>
      <c r="O238" t="s">
        <v>28</v>
      </c>
      <c r="Q238" t="s">
        <v>29</v>
      </c>
      <c r="R238" s="4" t="s">
        <v>186</v>
      </c>
      <c r="S238" s="4" t="s">
        <v>186</v>
      </c>
      <c r="T238" s="5">
        <v>-9.9999999999886305E-2</v>
      </c>
    </row>
    <row r="239" spans="1:20" x14ac:dyDescent="0.3">
      <c r="A239">
        <v>37395</v>
      </c>
      <c r="B239" t="s">
        <v>21</v>
      </c>
      <c r="C239" s="3" t="s">
        <v>22</v>
      </c>
      <c r="D239" t="s">
        <v>23</v>
      </c>
      <c r="E239">
        <v>7868</v>
      </c>
      <c r="F239" t="s">
        <v>24</v>
      </c>
      <c r="H239" s="3" t="s">
        <v>25</v>
      </c>
      <c r="I239" s="3" t="s">
        <v>25</v>
      </c>
      <c r="J239" t="s">
        <v>21</v>
      </c>
      <c r="K239" t="s">
        <v>26</v>
      </c>
      <c r="L239" s="1">
        <v>45931</v>
      </c>
      <c r="M239" s="1">
        <v>45961</v>
      </c>
      <c r="N239" t="s">
        <v>27</v>
      </c>
      <c r="O239" t="s">
        <v>28</v>
      </c>
      <c r="Q239" t="s">
        <v>29</v>
      </c>
      <c r="R239" s="4" t="s">
        <v>30</v>
      </c>
      <c r="S239" s="4" t="s">
        <v>30</v>
      </c>
      <c r="T239" s="5">
        <v>41.8</v>
      </c>
    </row>
    <row r="240" spans="1:20" x14ac:dyDescent="0.3">
      <c r="A240">
        <v>37395</v>
      </c>
      <c r="B240" t="s">
        <v>21</v>
      </c>
      <c r="C240" s="3" t="s">
        <v>22</v>
      </c>
      <c r="D240" t="s">
        <v>23</v>
      </c>
      <c r="E240">
        <v>7868</v>
      </c>
      <c r="F240" t="s">
        <v>24</v>
      </c>
      <c r="H240" s="3" t="s">
        <v>25</v>
      </c>
      <c r="I240" s="3" t="s">
        <v>25</v>
      </c>
      <c r="J240" t="s">
        <v>21</v>
      </c>
      <c r="K240" t="s">
        <v>26</v>
      </c>
      <c r="L240" s="1">
        <v>45931</v>
      </c>
      <c r="M240" s="1">
        <v>45961</v>
      </c>
      <c r="N240" t="s">
        <v>27</v>
      </c>
      <c r="O240" t="s">
        <v>28</v>
      </c>
      <c r="Q240" t="s">
        <v>29</v>
      </c>
      <c r="R240" s="4" t="s">
        <v>31</v>
      </c>
      <c r="S240" s="4" t="s">
        <v>31</v>
      </c>
      <c r="T240" s="6">
        <v>39.299999999999997</v>
      </c>
    </row>
    <row r="241" spans="1:20" x14ac:dyDescent="0.3">
      <c r="A241">
        <v>37395</v>
      </c>
      <c r="B241" t="s">
        <v>21</v>
      </c>
      <c r="C241" s="3" t="s">
        <v>22</v>
      </c>
      <c r="D241" t="s">
        <v>23</v>
      </c>
      <c r="E241">
        <v>7868</v>
      </c>
      <c r="F241" t="s">
        <v>24</v>
      </c>
      <c r="H241" s="3" t="s">
        <v>25</v>
      </c>
      <c r="I241" s="3" t="s">
        <v>25</v>
      </c>
      <c r="J241" t="s">
        <v>21</v>
      </c>
      <c r="K241" t="s">
        <v>26</v>
      </c>
      <c r="L241" s="1">
        <v>45931</v>
      </c>
      <c r="M241" s="1">
        <v>45961</v>
      </c>
      <c r="N241" t="s">
        <v>27</v>
      </c>
      <c r="O241" t="s">
        <v>28</v>
      </c>
      <c r="Q241" t="s">
        <v>29</v>
      </c>
      <c r="R241" s="4" t="s">
        <v>32</v>
      </c>
      <c r="S241" s="4" t="s">
        <v>32</v>
      </c>
      <c r="T241" s="5">
        <v>34.299999999999997</v>
      </c>
    </row>
    <row r="242" spans="1:20" x14ac:dyDescent="0.3">
      <c r="A242">
        <v>37395</v>
      </c>
      <c r="B242" t="s">
        <v>21</v>
      </c>
      <c r="C242" s="3" t="s">
        <v>22</v>
      </c>
      <c r="D242" t="s">
        <v>23</v>
      </c>
      <c r="E242">
        <v>7868</v>
      </c>
      <c r="F242" t="s">
        <v>24</v>
      </c>
      <c r="H242" s="3" t="s">
        <v>25</v>
      </c>
      <c r="I242" s="3" t="s">
        <v>25</v>
      </c>
      <c r="J242" t="s">
        <v>21</v>
      </c>
      <c r="K242" t="s">
        <v>26</v>
      </c>
      <c r="L242" s="1">
        <v>45931</v>
      </c>
      <c r="M242" s="1">
        <v>45961</v>
      </c>
      <c r="N242" t="s">
        <v>27</v>
      </c>
      <c r="O242" t="s">
        <v>28</v>
      </c>
      <c r="Q242" t="s">
        <v>29</v>
      </c>
      <c r="R242" s="4" t="s">
        <v>33</v>
      </c>
      <c r="S242" s="4" t="s">
        <v>33</v>
      </c>
      <c r="T242" s="6">
        <v>49.2</v>
      </c>
    </row>
    <row r="243" spans="1:20" x14ac:dyDescent="0.3">
      <c r="A243">
        <v>37395</v>
      </c>
      <c r="B243" t="s">
        <v>21</v>
      </c>
      <c r="C243" s="3" t="s">
        <v>22</v>
      </c>
      <c r="D243" t="s">
        <v>23</v>
      </c>
      <c r="E243">
        <v>7868</v>
      </c>
      <c r="F243" t="s">
        <v>24</v>
      </c>
      <c r="H243" s="3" t="s">
        <v>25</v>
      </c>
      <c r="I243" s="3" t="s">
        <v>25</v>
      </c>
      <c r="J243" t="s">
        <v>21</v>
      </c>
      <c r="K243" t="s">
        <v>26</v>
      </c>
      <c r="L243" s="1">
        <v>45931</v>
      </c>
      <c r="M243" s="1">
        <v>45961</v>
      </c>
      <c r="N243" t="s">
        <v>27</v>
      </c>
      <c r="O243" t="s">
        <v>28</v>
      </c>
      <c r="Q243" t="s">
        <v>29</v>
      </c>
      <c r="R243" s="4" t="s">
        <v>34</v>
      </c>
      <c r="S243" s="4" t="s">
        <v>34</v>
      </c>
      <c r="T243" s="5">
        <v>11.1</v>
      </c>
    </row>
    <row r="244" spans="1:20" x14ac:dyDescent="0.3">
      <c r="A244">
        <v>37395</v>
      </c>
      <c r="B244" t="s">
        <v>21</v>
      </c>
      <c r="C244" s="3" t="s">
        <v>22</v>
      </c>
      <c r="D244" t="s">
        <v>23</v>
      </c>
      <c r="E244">
        <v>7868</v>
      </c>
      <c r="F244" t="s">
        <v>24</v>
      </c>
      <c r="H244" s="3" t="s">
        <v>25</v>
      </c>
      <c r="I244" s="3" t="s">
        <v>25</v>
      </c>
      <c r="J244" t="s">
        <v>21</v>
      </c>
      <c r="K244" t="s">
        <v>26</v>
      </c>
      <c r="L244" s="1">
        <v>45931</v>
      </c>
      <c r="M244" s="1">
        <v>45961</v>
      </c>
      <c r="N244" t="s">
        <v>27</v>
      </c>
      <c r="O244" t="s">
        <v>28</v>
      </c>
      <c r="Q244" t="s">
        <v>29</v>
      </c>
      <c r="R244" s="4" t="s">
        <v>35</v>
      </c>
      <c r="S244" s="4" t="s">
        <v>35</v>
      </c>
      <c r="T244" s="6">
        <v>0.9</v>
      </c>
    </row>
    <row r="245" spans="1:20" x14ac:dyDescent="0.3">
      <c r="A245">
        <v>37395</v>
      </c>
      <c r="B245" t="s">
        <v>21</v>
      </c>
      <c r="C245" s="3" t="s">
        <v>22</v>
      </c>
      <c r="D245" t="s">
        <v>23</v>
      </c>
      <c r="E245">
        <v>7868</v>
      </c>
      <c r="F245" t="s">
        <v>24</v>
      </c>
      <c r="H245" s="3" t="s">
        <v>25</v>
      </c>
      <c r="I245" s="3" t="s">
        <v>25</v>
      </c>
      <c r="J245" t="s">
        <v>21</v>
      </c>
      <c r="K245" t="s">
        <v>26</v>
      </c>
      <c r="L245" s="1">
        <v>45931</v>
      </c>
      <c r="M245" s="1">
        <v>45961</v>
      </c>
      <c r="N245" t="s">
        <v>27</v>
      </c>
      <c r="O245" t="s">
        <v>28</v>
      </c>
      <c r="Q245" t="s">
        <v>29</v>
      </c>
      <c r="R245" s="4" t="s">
        <v>36</v>
      </c>
      <c r="S245" s="4" t="s">
        <v>36</v>
      </c>
      <c r="T245" s="5">
        <v>51.8</v>
      </c>
    </row>
    <row r="246" spans="1:20" x14ac:dyDescent="0.3">
      <c r="A246">
        <v>37395</v>
      </c>
      <c r="B246" t="s">
        <v>21</v>
      </c>
      <c r="C246" s="3" t="s">
        <v>37</v>
      </c>
      <c r="D246" t="s">
        <v>38</v>
      </c>
      <c r="E246">
        <v>7868</v>
      </c>
      <c r="F246" t="s">
        <v>24</v>
      </c>
      <c r="H246" s="3" t="s">
        <v>39</v>
      </c>
      <c r="I246" s="3" t="s">
        <v>39</v>
      </c>
      <c r="J246" t="s">
        <v>21</v>
      </c>
      <c r="K246" t="s">
        <v>26</v>
      </c>
      <c r="L246" s="1">
        <v>45931</v>
      </c>
      <c r="M246" s="1">
        <v>45961</v>
      </c>
      <c r="N246" t="s">
        <v>27</v>
      </c>
      <c r="O246" t="s">
        <v>28</v>
      </c>
      <c r="Q246" t="s">
        <v>29</v>
      </c>
      <c r="R246" s="4" t="s">
        <v>40</v>
      </c>
      <c r="S246" s="4" t="s">
        <v>40</v>
      </c>
      <c r="T246" s="6">
        <v>36</v>
      </c>
    </row>
    <row r="247" spans="1:20" x14ac:dyDescent="0.3">
      <c r="A247">
        <v>37395</v>
      </c>
      <c r="B247" t="s">
        <v>21</v>
      </c>
      <c r="C247" s="3" t="s">
        <v>37</v>
      </c>
      <c r="D247" t="s">
        <v>38</v>
      </c>
      <c r="E247">
        <v>7868</v>
      </c>
      <c r="F247" t="s">
        <v>24</v>
      </c>
      <c r="H247" s="3" t="s">
        <v>39</v>
      </c>
      <c r="I247" s="3" t="s">
        <v>39</v>
      </c>
      <c r="J247" t="s">
        <v>21</v>
      </c>
      <c r="K247" t="s">
        <v>26</v>
      </c>
      <c r="L247" s="1">
        <v>45931</v>
      </c>
      <c r="M247" s="1">
        <v>45961</v>
      </c>
      <c r="N247" t="s">
        <v>27</v>
      </c>
      <c r="O247" t="s">
        <v>28</v>
      </c>
      <c r="Q247" t="s">
        <v>29</v>
      </c>
      <c r="R247" s="4" t="s">
        <v>41</v>
      </c>
      <c r="S247" s="4" t="s">
        <v>41</v>
      </c>
      <c r="T247" s="5">
        <v>3.3</v>
      </c>
    </row>
    <row r="248" spans="1:20" x14ac:dyDescent="0.3">
      <c r="A248">
        <v>37395</v>
      </c>
      <c r="B248" t="s">
        <v>21</v>
      </c>
      <c r="C248" s="3" t="s">
        <v>37</v>
      </c>
      <c r="D248" t="s">
        <v>38</v>
      </c>
      <c r="E248">
        <v>7868</v>
      </c>
      <c r="F248" t="s">
        <v>24</v>
      </c>
      <c r="H248" s="3" t="s">
        <v>39</v>
      </c>
      <c r="I248" s="3" t="s">
        <v>39</v>
      </c>
      <c r="J248" t="s">
        <v>21</v>
      </c>
      <c r="K248" t="s">
        <v>26</v>
      </c>
      <c r="L248" s="1">
        <v>45931</v>
      </c>
      <c r="M248" s="1">
        <v>45961</v>
      </c>
      <c r="N248" t="s">
        <v>27</v>
      </c>
      <c r="O248" t="s">
        <v>28</v>
      </c>
      <c r="Q248" t="s">
        <v>29</v>
      </c>
      <c r="R248" s="4" t="s">
        <v>42</v>
      </c>
      <c r="S248" s="4" t="s">
        <v>42</v>
      </c>
      <c r="T248" s="6">
        <v>5.6</v>
      </c>
    </row>
    <row r="249" spans="1:20" x14ac:dyDescent="0.3">
      <c r="A249">
        <v>37395</v>
      </c>
      <c r="B249" t="s">
        <v>21</v>
      </c>
      <c r="C249" s="3" t="s">
        <v>37</v>
      </c>
      <c r="D249" t="s">
        <v>38</v>
      </c>
      <c r="E249">
        <v>7868</v>
      </c>
      <c r="F249" t="s">
        <v>24</v>
      </c>
      <c r="H249" s="3" t="s">
        <v>39</v>
      </c>
      <c r="I249" s="3" t="s">
        <v>39</v>
      </c>
      <c r="J249" t="s">
        <v>21</v>
      </c>
      <c r="K249" t="s">
        <v>26</v>
      </c>
      <c r="L249" s="1">
        <v>45931</v>
      </c>
      <c r="M249" s="1">
        <v>45961</v>
      </c>
      <c r="N249" t="s">
        <v>27</v>
      </c>
      <c r="O249" t="s">
        <v>28</v>
      </c>
      <c r="Q249" t="s">
        <v>29</v>
      </c>
      <c r="R249" s="4" t="s">
        <v>43</v>
      </c>
      <c r="S249" s="4" t="s">
        <v>43</v>
      </c>
      <c r="T249" s="5">
        <v>47</v>
      </c>
    </row>
    <row r="250" spans="1:20" x14ac:dyDescent="0.3">
      <c r="A250">
        <v>37395</v>
      </c>
      <c r="B250" t="s">
        <v>21</v>
      </c>
      <c r="C250" s="3" t="s">
        <v>37</v>
      </c>
      <c r="D250" t="s">
        <v>38</v>
      </c>
      <c r="E250">
        <v>7868</v>
      </c>
      <c r="F250" t="s">
        <v>24</v>
      </c>
      <c r="H250" s="3" t="s">
        <v>39</v>
      </c>
      <c r="I250" s="3" t="s">
        <v>39</v>
      </c>
      <c r="J250" t="s">
        <v>21</v>
      </c>
      <c r="K250" t="s">
        <v>26</v>
      </c>
      <c r="L250" s="1">
        <v>45931</v>
      </c>
      <c r="M250" s="1">
        <v>45961</v>
      </c>
      <c r="N250" t="s">
        <v>27</v>
      </c>
      <c r="O250" t="s">
        <v>28</v>
      </c>
      <c r="Q250" t="s">
        <v>29</v>
      </c>
      <c r="R250" s="4" t="s">
        <v>44</v>
      </c>
      <c r="S250" s="4" t="s">
        <v>44</v>
      </c>
      <c r="T250" s="6">
        <v>5.2</v>
      </c>
    </row>
    <row r="251" spans="1:20" x14ac:dyDescent="0.3">
      <c r="A251">
        <v>37395</v>
      </c>
      <c r="B251" t="s">
        <v>21</v>
      </c>
      <c r="C251" s="3" t="s">
        <v>37</v>
      </c>
      <c r="D251" t="s">
        <v>38</v>
      </c>
      <c r="E251">
        <v>7868</v>
      </c>
      <c r="F251" t="s">
        <v>24</v>
      </c>
      <c r="H251" s="3" t="s">
        <v>39</v>
      </c>
      <c r="I251" s="3" t="s">
        <v>39</v>
      </c>
      <c r="J251" t="s">
        <v>21</v>
      </c>
      <c r="K251" t="s">
        <v>26</v>
      </c>
      <c r="L251" s="1">
        <v>45931</v>
      </c>
      <c r="M251" s="1">
        <v>45961</v>
      </c>
      <c r="N251" t="s">
        <v>27</v>
      </c>
      <c r="O251" t="s">
        <v>28</v>
      </c>
      <c r="Q251" t="s">
        <v>29</v>
      </c>
      <c r="R251" s="4" t="s">
        <v>45</v>
      </c>
      <c r="S251" s="4" t="s">
        <v>45</v>
      </c>
      <c r="T251" s="5">
        <v>0</v>
      </c>
    </row>
    <row r="252" spans="1:20" x14ac:dyDescent="0.3">
      <c r="A252">
        <v>37395</v>
      </c>
      <c r="B252" t="s">
        <v>21</v>
      </c>
      <c r="C252" s="3" t="s">
        <v>37</v>
      </c>
      <c r="D252" t="s">
        <v>38</v>
      </c>
      <c r="E252">
        <v>7868</v>
      </c>
      <c r="F252" t="s">
        <v>24</v>
      </c>
      <c r="H252" s="3" t="s">
        <v>39</v>
      </c>
      <c r="I252" s="3" t="s">
        <v>39</v>
      </c>
      <c r="J252" t="s">
        <v>21</v>
      </c>
      <c r="K252" t="s">
        <v>26</v>
      </c>
      <c r="L252" s="1">
        <v>45931</v>
      </c>
      <c r="M252" s="1">
        <v>45961</v>
      </c>
      <c r="N252" t="s">
        <v>27</v>
      </c>
      <c r="O252" t="s">
        <v>28</v>
      </c>
      <c r="Q252" t="s">
        <v>29</v>
      </c>
      <c r="R252" s="4" t="s">
        <v>46</v>
      </c>
      <c r="S252" s="4" t="s">
        <v>46</v>
      </c>
      <c r="T252" s="6">
        <v>0.1</v>
      </c>
    </row>
    <row r="253" spans="1:20" x14ac:dyDescent="0.3">
      <c r="A253">
        <v>37395</v>
      </c>
      <c r="B253" t="s">
        <v>21</v>
      </c>
      <c r="C253" s="3" t="s">
        <v>37</v>
      </c>
      <c r="D253" t="s">
        <v>38</v>
      </c>
      <c r="E253">
        <v>7868</v>
      </c>
      <c r="F253" t="s">
        <v>24</v>
      </c>
      <c r="H253" s="3" t="s">
        <v>39</v>
      </c>
      <c r="I253" s="3" t="s">
        <v>39</v>
      </c>
      <c r="J253" t="s">
        <v>21</v>
      </c>
      <c r="K253" t="s">
        <v>26</v>
      </c>
      <c r="L253" s="1">
        <v>45931</v>
      </c>
      <c r="M253" s="1">
        <v>45961</v>
      </c>
      <c r="N253" t="s">
        <v>27</v>
      </c>
      <c r="O253" t="s">
        <v>28</v>
      </c>
      <c r="Q253" t="s">
        <v>29</v>
      </c>
      <c r="R253" s="4" t="s">
        <v>47</v>
      </c>
      <c r="S253" s="4" t="s">
        <v>47</v>
      </c>
      <c r="T253" s="5">
        <v>0.1</v>
      </c>
    </row>
    <row r="254" spans="1:20" x14ac:dyDescent="0.3">
      <c r="A254">
        <v>37395</v>
      </c>
      <c r="B254" t="s">
        <v>21</v>
      </c>
      <c r="C254" s="3" t="s">
        <v>48</v>
      </c>
      <c r="D254" t="s">
        <v>49</v>
      </c>
      <c r="E254">
        <v>7868</v>
      </c>
      <c r="F254" t="s">
        <v>24</v>
      </c>
      <c r="H254" s="3" t="s">
        <v>50</v>
      </c>
      <c r="I254" s="3" t="s">
        <v>50</v>
      </c>
      <c r="J254" t="s">
        <v>21</v>
      </c>
      <c r="K254" t="s">
        <v>26</v>
      </c>
      <c r="L254" s="1">
        <v>45931</v>
      </c>
      <c r="M254" s="1">
        <v>45961</v>
      </c>
      <c r="N254" t="s">
        <v>27</v>
      </c>
      <c r="O254" t="s">
        <v>28</v>
      </c>
      <c r="Q254" t="s">
        <v>29</v>
      </c>
      <c r="R254" s="4" t="s">
        <v>51</v>
      </c>
      <c r="S254" s="4" t="s">
        <v>51</v>
      </c>
      <c r="T254" s="6">
        <v>0.2</v>
      </c>
    </row>
    <row r="255" spans="1:20" x14ac:dyDescent="0.3">
      <c r="A255">
        <v>37395</v>
      </c>
      <c r="B255" t="s">
        <v>21</v>
      </c>
      <c r="C255" s="3" t="s">
        <v>48</v>
      </c>
      <c r="D255" t="s">
        <v>49</v>
      </c>
      <c r="E255">
        <v>7868</v>
      </c>
      <c r="F255" t="s">
        <v>24</v>
      </c>
      <c r="H255" s="3" t="s">
        <v>50</v>
      </c>
      <c r="I255" s="3" t="s">
        <v>50</v>
      </c>
      <c r="J255" t="s">
        <v>21</v>
      </c>
      <c r="K255" t="s">
        <v>26</v>
      </c>
      <c r="L255" s="1">
        <v>45931</v>
      </c>
      <c r="M255" s="1">
        <v>45961</v>
      </c>
      <c r="N255" t="s">
        <v>27</v>
      </c>
      <c r="O255" t="s">
        <v>28</v>
      </c>
      <c r="Q255" t="s">
        <v>29</v>
      </c>
      <c r="R255" s="4" t="s">
        <v>52</v>
      </c>
      <c r="S255" s="4" t="s">
        <v>52</v>
      </c>
      <c r="T255" s="5">
        <v>1</v>
      </c>
    </row>
    <row r="256" spans="1:20" x14ac:dyDescent="0.3">
      <c r="A256">
        <v>37395</v>
      </c>
      <c r="B256" t="s">
        <v>21</v>
      </c>
      <c r="C256" s="3" t="s">
        <v>48</v>
      </c>
      <c r="D256" t="s">
        <v>49</v>
      </c>
      <c r="E256">
        <v>7868</v>
      </c>
      <c r="F256" t="s">
        <v>24</v>
      </c>
      <c r="H256" s="3" t="s">
        <v>50</v>
      </c>
      <c r="I256" s="3" t="s">
        <v>50</v>
      </c>
      <c r="J256" t="s">
        <v>21</v>
      </c>
      <c r="K256" t="s">
        <v>26</v>
      </c>
      <c r="L256" s="1">
        <v>45931</v>
      </c>
      <c r="M256" s="1">
        <v>45961</v>
      </c>
      <c r="N256" t="s">
        <v>27</v>
      </c>
      <c r="O256" t="s">
        <v>28</v>
      </c>
      <c r="Q256" t="s">
        <v>29</v>
      </c>
      <c r="R256" s="4" t="s">
        <v>53</v>
      </c>
      <c r="S256" s="4" t="s">
        <v>53</v>
      </c>
      <c r="T256" s="6">
        <v>28.4</v>
      </c>
    </row>
    <row r="257" spans="1:20" x14ac:dyDescent="0.3">
      <c r="A257">
        <v>37395</v>
      </c>
      <c r="B257" t="s">
        <v>21</v>
      </c>
      <c r="C257" s="3" t="s">
        <v>48</v>
      </c>
      <c r="D257" t="s">
        <v>49</v>
      </c>
      <c r="E257">
        <v>7868</v>
      </c>
      <c r="F257" t="s">
        <v>24</v>
      </c>
      <c r="H257" s="3" t="s">
        <v>50</v>
      </c>
      <c r="I257" s="3" t="s">
        <v>50</v>
      </c>
      <c r="J257" t="s">
        <v>21</v>
      </c>
      <c r="K257" t="s">
        <v>26</v>
      </c>
      <c r="L257" s="1">
        <v>45931</v>
      </c>
      <c r="M257" s="1">
        <v>45961</v>
      </c>
      <c r="N257" t="s">
        <v>27</v>
      </c>
      <c r="O257" t="s">
        <v>28</v>
      </c>
      <c r="Q257" t="s">
        <v>29</v>
      </c>
      <c r="R257" s="4" t="s">
        <v>54</v>
      </c>
      <c r="S257" s="4" t="s">
        <v>54</v>
      </c>
      <c r="T257" s="5">
        <v>11.8</v>
      </c>
    </row>
    <row r="258" spans="1:20" x14ac:dyDescent="0.3">
      <c r="A258">
        <v>37395</v>
      </c>
      <c r="B258" t="s">
        <v>21</v>
      </c>
      <c r="C258" s="3" t="s">
        <v>55</v>
      </c>
      <c r="D258" t="s">
        <v>56</v>
      </c>
      <c r="E258">
        <v>7868</v>
      </c>
      <c r="F258" t="s">
        <v>24</v>
      </c>
      <c r="H258" s="3" t="s">
        <v>57</v>
      </c>
      <c r="I258" s="3" t="s">
        <v>57</v>
      </c>
      <c r="J258" t="s">
        <v>21</v>
      </c>
      <c r="K258" t="s">
        <v>26</v>
      </c>
      <c r="L258" s="1">
        <v>45931</v>
      </c>
      <c r="M258" s="1">
        <v>45961</v>
      </c>
      <c r="N258" t="s">
        <v>27</v>
      </c>
      <c r="O258" t="s">
        <v>28</v>
      </c>
      <c r="Q258" t="s">
        <v>29</v>
      </c>
      <c r="R258" s="4" t="s">
        <v>58</v>
      </c>
      <c r="S258" s="4" t="s">
        <v>58</v>
      </c>
      <c r="T258" s="6">
        <v>12.9</v>
      </c>
    </row>
    <row r="259" spans="1:20" x14ac:dyDescent="0.3">
      <c r="A259">
        <v>37395</v>
      </c>
      <c r="B259" t="s">
        <v>21</v>
      </c>
      <c r="C259" s="3" t="s">
        <v>55</v>
      </c>
      <c r="D259" t="s">
        <v>56</v>
      </c>
      <c r="E259">
        <v>7868</v>
      </c>
      <c r="F259" t="s">
        <v>24</v>
      </c>
      <c r="H259" s="3" t="s">
        <v>57</v>
      </c>
      <c r="I259" s="3" t="s">
        <v>57</v>
      </c>
      <c r="J259" t="s">
        <v>21</v>
      </c>
      <c r="K259" t="s">
        <v>26</v>
      </c>
      <c r="L259" s="1">
        <v>45931</v>
      </c>
      <c r="M259" s="1">
        <v>45961</v>
      </c>
      <c r="N259" t="s">
        <v>27</v>
      </c>
      <c r="O259" t="s">
        <v>28</v>
      </c>
      <c r="Q259" t="s">
        <v>29</v>
      </c>
      <c r="R259" s="4" t="s">
        <v>59</v>
      </c>
      <c r="S259" s="4" t="s">
        <v>59</v>
      </c>
      <c r="T259" s="5">
        <v>0.1</v>
      </c>
    </row>
    <row r="260" spans="1:20" x14ac:dyDescent="0.3">
      <c r="A260">
        <v>37395</v>
      </c>
      <c r="B260" t="s">
        <v>21</v>
      </c>
      <c r="C260" s="3" t="s">
        <v>60</v>
      </c>
      <c r="D260" t="s">
        <v>61</v>
      </c>
      <c r="E260">
        <v>7868</v>
      </c>
      <c r="F260" t="s">
        <v>24</v>
      </c>
      <c r="H260" s="3" t="s">
        <v>62</v>
      </c>
      <c r="I260" s="3" t="s">
        <v>62</v>
      </c>
      <c r="J260" t="s">
        <v>21</v>
      </c>
      <c r="K260" t="s">
        <v>26</v>
      </c>
      <c r="L260" s="1">
        <v>45931</v>
      </c>
      <c r="M260" s="1">
        <v>45961</v>
      </c>
      <c r="N260" t="s">
        <v>27</v>
      </c>
      <c r="O260" t="s">
        <v>28</v>
      </c>
      <c r="Q260" t="s">
        <v>29</v>
      </c>
      <c r="R260" s="4" t="s">
        <v>63</v>
      </c>
      <c r="S260" s="4" t="s">
        <v>63</v>
      </c>
      <c r="T260" s="6">
        <v>0</v>
      </c>
    </row>
    <row r="261" spans="1:20" x14ac:dyDescent="0.3">
      <c r="A261">
        <v>37395</v>
      </c>
      <c r="B261" t="s">
        <v>21</v>
      </c>
      <c r="C261" s="3" t="s">
        <v>60</v>
      </c>
      <c r="D261" t="s">
        <v>61</v>
      </c>
      <c r="E261">
        <v>7868</v>
      </c>
      <c r="F261" t="s">
        <v>24</v>
      </c>
      <c r="H261" s="3" t="s">
        <v>62</v>
      </c>
      <c r="I261" s="3" t="s">
        <v>62</v>
      </c>
      <c r="J261" t="s">
        <v>21</v>
      </c>
      <c r="K261" t="s">
        <v>26</v>
      </c>
      <c r="L261" s="1">
        <v>45931</v>
      </c>
      <c r="M261" s="1">
        <v>45961</v>
      </c>
      <c r="N261" t="s">
        <v>27</v>
      </c>
      <c r="O261" t="s">
        <v>28</v>
      </c>
      <c r="Q261" t="s">
        <v>29</v>
      </c>
      <c r="R261" s="4" t="s">
        <v>64</v>
      </c>
      <c r="S261" s="4" t="s">
        <v>64</v>
      </c>
      <c r="T261" s="5">
        <v>46.8</v>
      </c>
    </row>
    <row r="262" spans="1:20" x14ac:dyDescent="0.3">
      <c r="A262">
        <v>37395</v>
      </c>
      <c r="B262" t="s">
        <v>21</v>
      </c>
      <c r="C262" s="3" t="s">
        <v>60</v>
      </c>
      <c r="D262" t="s">
        <v>61</v>
      </c>
      <c r="E262">
        <v>7868</v>
      </c>
      <c r="F262" t="s">
        <v>24</v>
      </c>
      <c r="H262" s="3" t="s">
        <v>62</v>
      </c>
      <c r="I262" s="3" t="s">
        <v>62</v>
      </c>
      <c r="J262" t="s">
        <v>21</v>
      </c>
      <c r="K262" t="s">
        <v>26</v>
      </c>
      <c r="L262" s="1">
        <v>45931</v>
      </c>
      <c r="M262" s="1">
        <v>45961</v>
      </c>
      <c r="N262" t="s">
        <v>27</v>
      </c>
      <c r="O262" t="s">
        <v>28</v>
      </c>
      <c r="Q262" t="s">
        <v>29</v>
      </c>
      <c r="R262" s="4" t="s">
        <v>65</v>
      </c>
      <c r="S262" s="4" t="s">
        <v>65</v>
      </c>
      <c r="T262" s="6">
        <v>14.2</v>
      </c>
    </row>
    <row r="263" spans="1:20" x14ac:dyDescent="0.3">
      <c r="A263">
        <v>37395</v>
      </c>
      <c r="B263" t="s">
        <v>21</v>
      </c>
      <c r="C263" s="3" t="s">
        <v>66</v>
      </c>
      <c r="D263" t="s">
        <v>67</v>
      </c>
      <c r="E263">
        <v>7868</v>
      </c>
      <c r="F263" t="s">
        <v>24</v>
      </c>
      <c r="H263" s="3" t="s">
        <v>68</v>
      </c>
      <c r="I263" s="3" t="s">
        <v>68</v>
      </c>
      <c r="J263" t="s">
        <v>21</v>
      </c>
      <c r="K263" t="s">
        <v>26</v>
      </c>
      <c r="L263" s="1">
        <v>45931</v>
      </c>
      <c r="M263" s="1">
        <v>45961</v>
      </c>
      <c r="N263" t="s">
        <v>27</v>
      </c>
      <c r="O263" t="s">
        <v>28</v>
      </c>
      <c r="Q263" t="s">
        <v>29</v>
      </c>
      <c r="R263" s="4" t="s">
        <v>69</v>
      </c>
      <c r="S263" s="4" t="s">
        <v>69</v>
      </c>
      <c r="T263" s="5">
        <v>28</v>
      </c>
    </row>
    <row r="264" spans="1:20" x14ac:dyDescent="0.3">
      <c r="A264">
        <v>37395</v>
      </c>
      <c r="B264" t="s">
        <v>21</v>
      </c>
      <c r="C264" s="3" t="s">
        <v>66</v>
      </c>
      <c r="D264" t="s">
        <v>67</v>
      </c>
      <c r="E264">
        <v>7868</v>
      </c>
      <c r="F264" t="s">
        <v>24</v>
      </c>
      <c r="H264" s="3" t="s">
        <v>68</v>
      </c>
      <c r="I264" s="3" t="s">
        <v>68</v>
      </c>
      <c r="J264" t="s">
        <v>21</v>
      </c>
      <c r="K264" t="s">
        <v>26</v>
      </c>
      <c r="L264" s="1">
        <v>45931</v>
      </c>
      <c r="M264" s="1">
        <v>45961</v>
      </c>
      <c r="N264" t="s">
        <v>27</v>
      </c>
      <c r="O264" t="s">
        <v>28</v>
      </c>
      <c r="Q264" t="s">
        <v>29</v>
      </c>
      <c r="R264" s="4" t="s">
        <v>70</v>
      </c>
      <c r="S264" s="4" t="s">
        <v>70</v>
      </c>
      <c r="T264" s="6">
        <v>11.5</v>
      </c>
    </row>
    <row r="265" spans="1:20" x14ac:dyDescent="0.3">
      <c r="A265">
        <v>37395</v>
      </c>
      <c r="B265" t="s">
        <v>21</v>
      </c>
      <c r="C265" s="3" t="s">
        <v>71</v>
      </c>
      <c r="D265" t="s">
        <v>72</v>
      </c>
      <c r="E265">
        <v>7868</v>
      </c>
      <c r="F265" t="s">
        <v>24</v>
      </c>
      <c r="H265" s="3" t="s">
        <v>73</v>
      </c>
      <c r="I265" s="3" t="s">
        <v>73</v>
      </c>
      <c r="J265" t="s">
        <v>21</v>
      </c>
      <c r="K265" t="s">
        <v>26</v>
      </c>
      <c r="L265" s="1">
        <v>45931</v>
      </c>
      <c r="M265" s="1">
        <v>45961</v>
      </c>
      <c r="N265" t="s">
        <v>27</v>
      </c>
      <c r="O265" t="s">
        <v>28</v>
      </c>
      <c r="Q265" t="s">
        <v>29</v>
      </c>
      <c r="R265" s="4" t="s">
        <v>74</v>
      </c>
      <c r="S265" s="4" t="s">
        <v>74</v>
      </c>
      <c r="T265" s="5">
        <v>35.799999999999997</v>
      </c>
    </row>
    <row r="266" spans="1:20" x14ac:dyDescent="0.3">
      <c r="A266">
        <v>37395</v>
      </c>
      <c r="B266" t="s">
        <v>21</v>
      </c>
      <c r="C266" s="3" t="s">
        <v>71</v>
      </c>
      <c r="D266" t="s">
        <v>72</v>
      </c>
      <c r="E266">
        <v>7868</v>
      </c>
      <c r="F266" t="s">
        <v>24</v>
      </c>
      <c r="H266" s="3" t="s">
        <v>73</v>
      </c>
      <c r="I266" s="3" t="s">
        <v>73</v>
      </c>
      <c r="J266" t="s">
        <v>21</v>
      </c>
      <c r="K266" t="s">
        <v>26</v>
      </c>
      <c r="L266" s="1">
        <v>45931</v>
      </c>
      <c r="M266" s="1">
        <v>45961</v>
      </c>
      <c r="N266" t="s">
        <v>27</v>
      </c>
      <c r="O266" t="s">
        <v>28</v>
      </c>
      <c r="Q266" t="s">
        <v>29</v>
      </c>
      <c r="R266" s="4" t="s">
        <v>75</v>
      </c>
      <c r="S266" s="4" t="s">
        <v>75</v>
      </c>
      <c r="T266" s="6">
        <v>16.100000000000001</v>
      </c>
    </row>
    <row r="267" spans="1:20" x14ac:dyDescent="0.3">
      <c r="A267">
        <v>37395</v>
      </c>
      <c r="B267" t="s">
        <v>21</v>
      </c>
      <c r="C267" s="3" t="s">
        <v>76</v>
      </c>
      <c r="D267" t="s">
        <v>77</v>
      </c>
      <c r="E267">
        <v>7868</v>
      </c>
      <c r="F267" t="s">
        <v>24</v>
      </c>
      <c r="H267" s="3" t="s">
        <v>78</v>
      </c>
      <c r="I267" s="3" t="s">
        <v>78</v>
      </c>
      <c r="J267" t="s">
        <v>21</v>
      </c>
      <c r="K267" t="s">
        <v>26</v>
      </c>
      <c r="L267" s="1">
        <v>45931</v>
      </c>
      <c r="M267" s="1">
        <v>45961</v>
      </c>
      <c r="N267" t="s">
        <v>27</v>
      </c>
      <c r="O267" t="s">
        <v>28</v>
      </c>
      <c r="Q267" t="s">
        <v>29</v>
      </c>
      <c r="R267" s="4" t="s">
        <v>79</v>
      </c>
      <c r="S267" s="4" t="s">
        <v>79</v>
      </c>
      <c r="T267" s="5">
        <v>16</v>
      </c>
    </row>
    <row r="268" spans="1:20" x14ac:dyDescent="0.3">
      <c r="A268">
        <v>37395</v>
      </c>
      <c r="B268" t="s">
        <v>21</v>
      </c>
      <c r="C268" s="3" t="s">
        <v>80</v>
      </c>
      <c r="D268" t="s">
        <v>81</v>
      </c>
      <c r="E268">
        <v>7868</v>
      </c>
      <c r="F268" t="s">
        <v>24</v>
      </c>
      <c r="H268" s="3" t="s">
        <v>82</v>
      </c>
      <c r="I268" s="3" t="s">
        <v>82</v>
      </c>
      <c r="J268" t="s">
        <v>21</v>
      </c>
      <c r="K268" t="s">
        <v>26</v>
      </c>
      <c r="L268" s="1">
        <v>45931</v>
      </c>
      <c r="M268" s="1">
        <v>45961</v>
      </c>
      <c r="N268" t="s">
        <v>27</v>
      </c>
      <c r="O268" t="s">
        <v>28</v>
      </c>
      <c r="Q268" t="s">
        <v>29</v>
      </c>
      <c r="R268" s="4" t="s">
        <v>83</v>
      </c>
      <c r="S268" s="4" t="s">
        <v>83</v>
      </c>
      <c r="T268" s="6">
        <v>0.2</v>
      </c>
    </row>
    <row r="269" spans="1:20" x14ac:dyDescent="0.3">
      <c r="A269">
        <v>37395</v>
      </c>
      <c r="B269" t="s">
        <v>21</v>
      </c>
      <c r="C269" s="3" t="s">
        <v>80</v>
      </c>
      <c r="D269" t="s">
        <v>81</v>
      </c>
      <c r="E269">
        <v>7868</v>
      </c>
      <c r="F269" t="s">
        <v>24</v>
      </c>
      <c r="H269" s="3" t="s">
        <v>82</v>
      </c>
      <c r="I269" s="3" t="s">
        <v>82</v>
      </c>
      <c r="J269" t="s">
        <v>21</v>
      </c>
      <c r="K269" t="s">
        <v>26</v>
      </c>
      <c r="L269" s="1">
        <v>45931</v>
      </c>
      <c r="M269" s="1">
        <v>45961</v>
      </c>
      <c r="N269" t="s">
        <v>27</v>
      </c>
      <c r="O269" t="s">
        <v>28</v>
      </c>
      <c r="Q269" t="s">
        <v>29</v>
      </c>
      <c r="R269" s="4" t="s">
        <v>84</v>
      </c>
      <c r="S269" s="4" t="s">
        <v>84</v>
      </c>
      <c r="T269" s="5">
        <v>6.4</v>
      </c>
    </row>
    <row r="270" spans="1:20" x14ac:dyDescent="0.3">
      <c r="A270">
        <v>37395</v>
      </c>
      <c r="B270" t="s">
        <v>21</v>
      </c>
      <c r="C270" s="3" t="s">
        <v>80</v>
      </c>
      <c r="D270" t="s">
        <v>81</v>
      </c>
      <c r="E270">
        <v>7868</v>
      </c>
      <c r="F270" t="s">
        <v>24</v>
      </c>
      <c r="H270" s="3" t="s">
        <v>82</v>
      </c>
      <c r="I270" s="3" t="s">
        <v>82</v>
      </c>
      <c r="J270" t="s">
        <v>21</v>
      </c>
      <c r="K270" t="s">
        <v>26</v>
      </c>
      <c r="L270" s="1">
        <v>45931</v>
      </c>
      <c r="M270" s="1">
        <v>45961</v>
      </c>
      <c r="N270" t="s">
        <v>27</v>
      </c>
      <c r="O270" t="s">
        <v>28</v>
      </c>
      <c r="Q270" t="s">
        <v>29</v>
      </c>
      <c r="R270" s="4" t="s">
        <v>85</v>
      </c>
      <c r="S270" s="4" t="s">
        <v>85</v>
      </c>
      <c r="T270" s="6">
        <v>2.5</v>
      </c>
    </row>
    <row r="271" spans="1:20" x14ac:dyDescent="0.3">
      <c r="A271">
        <v>37395</v>
      </c>
      <c r="B271" t="s">
        <v>21</v>
      </c>
      <c r="C271" s="3" t="s">
        <v>80</v>
      </c>
      <c r="D271" t="s">
        <v>81</v>
      </c>
      <c r="E271">
        <v>7868</v>
      </c>
      <c r="F271" t="s">
        <v>24</v>
      </c>
      <c r="H271" s="3" t="s">
        <v>82</v>
      </c>
      <c r="I271" s="3" t="s">
        <v>82</v>
      </c>
      <c r="J271" t="s">
        <v>21</v>
      </c>
      <c r="K271" t="s">
        <v>26</v>
      </c>
      <c r="L271" s="1">
        <v>45931</v>
      </c>
      <c r="M271" s="1">
        <v>45961</v>
      </c>
      <c r="N271" t="s">
        <v>27</v>
      </c>
      <c r="O271" t="s">
        <v>28</v>
      </c>
      <c r="Q271" t="s">
        <v>29</v>
      </c>
      <c r="R271" s="4" t="s">
        <v>86</v>
      </c>
      <c r="S271" s="4" t="s">
        <v>86</v>
      </c>
      <c r="T271" s="5">
        <v>0</v>
      </c>
    </row>
    <row r="272" spans="1:20" x14ac:dyDescent="0.3">
      <c r="A272">
        <v>37395</v>
      </c>
      <c r="B272" t="s">
        <v>21</v>
      </c>
      <c r="C272" s="3" t="s">
        <v>87</v>
      </c>
      <c r="D272" t="s">
        <v>88</v>
      </c>
      <c r="E272">
        <v>7868</v>
      </c>
      <c r="F272" t="s">
        <v>24</v>
      </c>
      <c r="H272" s="3" t="s">
        <v>89</v>
      </c>
      <c r="I272" s="3" t="s">
        <v>89</v>
      </c>
      <c r="J272" t="s">
        <v>21</v>
      </c>
      <c r="K272" t="s">
        <v>26</v>
      </c>
      <c r="L272" s="1">
        <v>45931</v>
      </c>
      <c r="M272" s="1">
        <v>45961</v>
      </c>
      <c r="N272" t="s">
        <v>27</v>
      </c>
      <c r="O272" t="s">
        <v>28</v>
      </c>
      <c r="Q272" t="s">
        <v>29</v>
      </c>
      <c r="R272" s="4" t="s">
        <v>90</v>
      </c>
      <c r="S272" s="4" t="s">
        <v>90</v>
      </c>
      <c r="T272" s="6">
        <v>0</v>
      </c>
    </row>
    <row r="273" spans="1:20" x14ac:dyDescent="0.3">
      <c r="A273">
        <v>37395</v>
      </c>
      <c r="B273" t="s">
        <v>21</v>
      </c>
      <c r="C273" s="3" t="s">
        <v>87</v>
      </c>
      <c r="D273" t="s">
        <v>88</v>
      </c>
      <c r="E273">
        <v>7868</v>
      </c>
      <c r="F273" t="s">
        <v>24</v>
      </c>
      <c r="H273" s="3" t="s">
        <v>89</v>
      </c>
      <c r="I273" s="3" t="s">
        <v>89</v>
      </c>
      <c r="J273" t="s">
        <v>21</v>
      </c>
      <c r="K273" t="s">
        <v>26</v>
      </c>
      <c r="L273" s="1">
        <v>45931</v>
      </c>
      <c r="M273" s="1">
        <v>45961</v>
      </c>
      <c r="N273" t="s">
        <v>27</v>
      </c>
      <c r="O273" t="s">
        <v>28</v>
      </c>
      <c r="Q273" t="s">
        <v>29</v>
      </c>
      <c r="R273" s="4" t="s">
        <v>91</v>
      </c>
      <c r="S273" s="4" t="s">
        <v>91</v>
      </c>
      <c r="T273" s="5">
        <v>0</v>
      </c>
    </row>
    <row r="274" spans="1:20" x14ac:dyDescent="0.3">
      <c r="A274">
        <v>37395</v>
      </c>
      <c r="B274" t="s">
        <v>21</v>
      </c>
      <c r="C274" s="3" t="s">
        <v>87</v>
      </c>
      <c r="D274" t="s">
        <v>88</v>
      </c>
      <c r="E274">
        <v>7868</v>
      </c>
      <c r="F274" t="s">
        <v>24</v>
      </c>
      <c r="H274" s="3" t="s">
        <v>89</v>
      </c>
      <c r="I274" s="3" t="s">
        <v>89</v>
      </c>
      <c r="J274" t="s">
        <v>21</v>
      </c>
      <c r="K274" t="s">
        <v>26</v>
      </c>
      <c r="L274" s="1">
        <v>45931</v>
      </c>
      <c r="M274" s="1">
        <v>45961</v>
      </c>
      <c r="N274" t="s">
        <v>27</v>
      </c>
      <c r="O274" t="s">
        <v>28</v>
      </c>
      <c r="Q274" t="s">
        <v>29</v>
      </c>
      <c r="R274" s="4" t="s">
        <v>92</v>
      </c>
      <c r="S274" s="4" t="s">
        <v>92</v>
      </c>
      <c r="T274" s="6">
        <v>0.1</v>
      </c>
    </row>
    <row r="275" spans="1:20" x14ac:dyDescent="0.3">
      <c r="A275">
        <v>37395</v>
      </c>
      <c r="B275" t="s">
        <v>21</v>
      </c>
      <c r="C275" s="3" t="s">
        <v>93</v>
      </c>
      <c r="D275" t="s">
        <v>94</v>
      </c>
      <c r="E275">
        <v>7868</v>
      </c>
      <c r="F275" t="s">
        <v>24</v>
      </c>
      <c r="H275" s="3" t="s">
        <v>95</v>
      </c>
      <c r="I275" s="3" t="s">
        <v>95</v>
      </c>
      <c r="J275" t="s">
        <v>21</v>
      </c>
      <c r="K275" t="s">
        <v>26</v>
      </c>
      <c r="L275" s="1">
        <v>45931</v>
      </c>
      <c r="M275" s="1">
        <v>45961</v>
      </c>
      <c r="N275" t="s">
        <v>27</v>
      </c>
      <c r="O275" t="s">
        <v>28</v>
      </c>
      <c r="Q275" t="s">
        <v>29</v>
      </c>
      <c r="R275" s="4" t="s">
        <v>96</v>
      </c>
      <c r="S275" s="4" t="s">
        <v>96</v>
      </c>
      <c r="T275" s="5">
        <v>0</v>
      </c>
    </row>
    <row r="276" spans="1:20" x14ac:dyDescent="0.3">
      <c r="A276">
        <v>37395</v>
      </c>
      <c r="B276" t="s">
        <v>21</v>
      </c>
      <c r="C276" s="3" t="s">
        <v>97</v>
      </c>
      <c r="D276" t="s">
        <v>98</v>
      </c>
      <c r="E276">
        <v>7868</v>
      </c>
      <c r="F276" t="s">
        <v>24</v>
      </c>
      <c r="H276" s="3" t="s">
        <v>99</v>
      </c>
      <c r="I276" s="3" t="s">
        <v>99</v>
      </c>
      <c r="J276" t="s">
        <v>21</v>
      </c>
      <c r="K276" t="s">
        <v>26</v>
      </c>
      <c r="L276" s="1">
        <v>45931</v>
      </c>
      <c r="M276" s="1">
        <v>45961</v>
      </c>
      <c r="N276" t="s">
        <v>27</v>
      </c>
      <c r="O276" t="s">
        <v>28</v>
      </c>
      <c r="Q276" t="s">
        <v>29</v>
      </c>
      <c r="R276" s="4" t="s">
        <v>100</v>
      </c>
      <c r="S276" s="4" t="s">
        <v>100</v>
      </c>
      <c r="T276" s="6">
        <v>0</v>
      </c>
    </row>
    <row r="277" spans="1:20" x14ac:dyDescent="0.3">
      <c r="A277">
        <v>37395</v>
      </c>
      <c r="B277" t="s">
        <v>21</v>
      </c>
      <c r="C277" s="3" t="s">
        <v>97</v>
      </c>
      <c r="D277" t="s">
        <v>98</v>
      </c>
      <c r="E277">
        <v>7868</v>
      </c>
      <c r="F277" t="s">
        <v>24</v>
      </c>
      <c r="H277" s="3" t="s">
        <v>99</v>
      </c>
      <c r="I277" s="3" t="s">
        <v>99</v>
      </c>
      <c r="J277" t="s">
        <v>21</v>
      </c>
      <c r="K277" t="s">
        <v>26</v>
      </c>
      <c r="L277" s="1">
        <v>45931</v>
      </c>
      <c r="M277" s="1">
        <v>45961</v>
      </c>
      <c r="N277" t="s">
        <v>27</v>
      </c>
      <c r="O277" t="s">
        <v>28</v>
      </c>
      <c r="Q277" t="s">
        <v>29</v>
      </c>
      <c r="R277" s="4" t="s">
        <v>101</v>
      </c>
      <c r="S277" s="4" t="s">
        <v>101</v>
      </c>
      <c r="T277" s="5">
        <v>24</v>
      </c>
    </row>
    <row r="278" spans="1:20" x14ac:dyDescent="0.3">
      <c r="A278">
        <v>37395</v>
      </c>
      <c r="B278" t="s">
        <v>21</v>
      </c>
      <c r="C278" s="3" t="s">
        <v>102</v>
      </c>
      <c r="D278" t="s">
        <v>103</v>
      </c>
      <c r="E278">
        <v>7868</v>
      </c>
      <c r="F278" t="s">
        <v>24</v>
      </c>
      <c r="H278" s="3" t="s">
        <v>104</v>
      </c>
      <c r="I278" s="3" t="s">
        <v>104</v>
      </c>
      <c r="J278" t="s">
        <v>21</v>
      </c>
      <c r="K278" t="s">
        <v>26</v>
      </c>
      <c r="L278" s="1">
        <v>45931</v>
      </c>
      <c r="M278" s="1">
        <v>45961</v>
      </c>
      <c r="N278" t="s">
        <v>27</v>
      </c>
      <c r="O278" t="s">
        <v>28</v>
      </c>
      <c r="Q278" t="s">
        <v>29</v>
      </c>
      <c r="R278" s="4" t="s">
        <v>105</v>
      </c>
      <c r="S278" s="4" t="s">
        <v>105</v>
      </c>
      <c r="T278" s="6">
        <v>0</v>
      </c>
    </row>
    <row r="279" spans="1:20" x14ac:dyDescent="0.3">
      <c r="A279">
        <v>37395</v>
      </c>
      <c r="B279" t="s">
        <v>21</v>
      </c>
      <c r="C279" s="3" t="s">
        <v>106</v>
      </c>
      <c r="D279" t="s">
        <v>107</v>
      </c>
      <c r="E279">
        <v>7868</v>
      </c>
      <c r="F279" t="s">
        <v>24</v>
      </c>
      <c r="H279" s="3" t="s">
        <v>108</v>
      </c>
      <c r="I279" s="3" t="s">
        <v>108</v>
      </c>
      <c r="J279" t="s">
        <v>21</v>
      </c>
      <c r="K279" t="s">
        <v>26</v>
      </c>
      <c r="L279" s="1">
        <v>45931</v>
      </c>
      <c r="M279" s="1">
        <v>45961</v>
      </c>
      <c r="N279" t="s">
        <v>27</v>
      </c>
      <c r="O279" t="s">
        <v>28</v>
      </c>
      <c r="Q279" t="s">
        <v>29</v>
      </c>
      <c r="R279" s="4" t="s">
        <v>109</v>
      </c>
      <c r="S279" s="4" t="s">
        <v>109</v>
      </c>
      <c r="T279" s="5">
        <v>36.200000000000003</v>
      </c>
    </row>
    <row r="280" spans="1:20" x14ac:dyDescent="0.3">
      <c r="A280">
        <v>37395</v>
      </c>
      <c r="B280" t="s">
        <v>21</v>
      </c>
      <c r="C280" s="3" t="s">
        <v>106</v>
      </c>
      <c r="D280" t="s">
        <v>107</v>
      </c>
      <c r="E280">
        <v>7868</v>
      </c>
      <c r="F280" t="s">
        <v>24</v>
      </c>
      <c r="H280" s="3" t="s">
        <v>108</v>
      </c>
      <c r="I280" s="3" t="s">
        <v>108</v>
      </c>
      <c r="J280" t="s">
        <v>21</v>
      </c>
      <c r="K280" t="s">
        <v>26</v>
      </c>
      <c r="L280" s="1">
        <v>45931</v>
      </c>
      <c r="M280" s="1">
        <v>45961</v>
      </c>
      <c r="N280" t="s">
        <v>27</v>
      </c>
      <c r="O280" t="s">
        <v>28</v>
      </c>
      <c r="Q280" t="s">
        <v>29</v>
      </c>
      <c r="R280" s="4" t="s">
        <v>110</v>
      </c>
      <c r="S280" s="4" t="s">
        <v>110</v>
      </c>
      <c r="T280" s="6">
        <v>1.8</v>
      </c>
    </row>
    <row r="281" spans="1:20" x14ac:dyDescent="0.3">
      <c r="A281">
        <v>37395</v>
      </c>
      <c r="B281" t="s">
        <v>21</v>
      </c>
      <c r="C281" s="3" t="s">
        <v>106</v>
      </c>
      <c r="D281" t="s">
        <v>107</v>
      </c>
      <c r="E281">
        <v>7868</v>
      </c>
      <c r="F281" t="s">
        <v>24</v>
      </c>
      <c r="H281" s="3" t="s">
        <v>108</v>
      </c>
      <c r="I281" s="3" t="s">
        <v>108</v>
      </c>
      <c r="J281" t="s">
        <v>21</v>
      </c>
      <c r="K281" t="s">
        <v>26</v>
      </c>
      <c r="L281" s="1">
        <v>45931</v>
      </c>
      <c r="M281" s="1">
        <v>45961</v>
      </c>
      <c r="N281" t="s">
        <v>27</v>
      </c>
      <c r="O281" t="s">
        <v>28</v>
      </c>
      <c r="Q281" t="s">
        <v>29</v>
      </c>
      <c r="R281" s="4" t="s">
        <v>111</v>
      </c>
      <c r="S281" s="4" t="s">
        <v>111</v>
      </c>
      <c r="T281" s="5">
        <v>3.7</v>
      </c>
    </row>
    <row r="282" spans="1:20" x14ac:dyDescent="0.3">
      <c r="A282">
        <v>37395</v>
      </c>
      <c r="B282" t="s">
        <v>21</v>
      </c>
      <c r="C282" s="3" t="s">
        <v>106</v>
      </c>
      <c r="D282" t="s">
        <v>107</v>
      </c>
      <c r="E282">
        <v>7868</v>
      </c>
      <c r="F282" t="s">
        <v>24</v>
      </c>
      <c r="H282" s="3" t="s">
        <v>108</v>
      </c>
      <c r="I282" s="3" t="s">
        <v>108</v>
      </c>
      <c r="J282" t="s">
        <v>21</v>
      </c>
      <c r="K282" t="s">
        <v>26</v>
      </c>
      <c r="L282" s="1">
        <v>45931</v>
      </c>
      <c r="M282" s="1">
        <v>45961</v>
      </c>
      <c r="N282" t="s">
        <v>27</v>
      </c>
      <c r="O282" t="s">
        <v>28</v>
      </c>
      <c r="Q282" t="s">
        <v>29</v>
      </c>
      <c r="R282" s="4" t="s">
        <v>112</v>
      </c>
      <c r="S282" s="4" t="s">
        <v>112</v>
      </c>
      <c r="T282" s="6">
        <v>0.9</v>
      </c>
    </row>
    <row r="283" spans="1:20" x14ac:dyDescent="0.3">
      <c r="A283">
        <v>37395</v>
      </c>
      <c r="B283" t="s">
        <v>21</v>
      </c>
      <c r="C283" s="3" t="s">
        <v>106</v>
      </c>
      <c r="D283" t="s">
        <v>107</v>
      </c>
      <c r="E283">
        <v>7868</v>
      </c>
      <c r="F283" t="s">
        <v>24</v>
      </c>
      <c r="H283" s="3" t="s">
        <v>108</v>
      </c>
      <c r="I283" s="3" t="s">
        <v>108</v>
      </c>
      <c r="J283" t="s">
        <v>21</v>
      </c>
      <c r="K283" t="s">
        <v>26</v>
      </c>
      <c r="L283" s="1">
        <v>45931</v>
      </c>
      <c r="M283" s="1">
        <v>45961</v>
      </c>
      <c r="N283" t="s">
        <v>27</v>
      </c>
      <c r="O283" t="s">
        <v>28</v>
      </c>
      <c r="Q283" t="s">
        <v>29</v>
      </c>
      <c r="R283" s="4" t="s">
        <v>113</v>
      </c>
      <c r="S283" s="4" t="s">
        <v>113</v>
      </c>
      <c r="T283" s="5">
        <v>0</v>
      </c>
    </row>
    <row r="284" spans="1:20" x14ac:dyDescent="0.3">
      <c r="A284">
        <v>37395</v>
      </c>
      <c r="B284" t="s">
        <v>21</v>
      </c>
      <c r="C284" s="3" t="s">
        <v>106</v>
      </c>
      <c r="D284" t="s">
        <v>107</v>
      </c>
      <c r="E284">
        <v>7868</v>
      </c>
      <c r="F284" t="s">
        <v>24</v>
      </c>
      <c r="H284" s="3" t="s">
        <v>108</v>
      </c>
      <c r="I284" s="3" t="s">
        <v>108</v>
      </c>
      <c r="J284" t="s">
        <v>21</v>
      </c>
      <c r="K284" t="s">
        <v>26</v>
      </c>
      <c r="L284" s="1">
        <v>45931</v>
      </c>
      <c r="M284" s="1">
        <v>45961</v>
      </c>
      <c r="N284" t="s">
        <v>27</v>
      </c>
      <c r="O284" t="s">
        <v>28</v>
      </c>
      <c r="Q284" t="s">
        <v>29</v>
      </c>
      <c r="R284" s="4" t="s">
        <v>114</v>
      </c>
      <c r="S284" s="4" t="s">
        <v>114</v>
      </c>
      <c r="T284" s="6">
        <v>9.4</v>
      </c>
    </row>
    <row r="285" spans="1:20" x14ac:dyDescent="0.3">
      <c r="A285">
        <v>37395</v>
      </c>
      <c r="B285" t="s">
        <v>21</v>
      </c>
      <c r="C285" s="3" t="s">
        <v>106</v>
      </c>
      <c r="D285" t="s">
        <v>107</v>
      </c>
      <c r="E285">
        <v>7868</v>
      </c>
      <c r="F285" t="s">
        <v>24</v>
      </c>
      <c r="H285" s="3" t="s">
        <v>108</v>
      </c>
      <c r="I285" s="3" t="s">
        <v>108</v>
      </c>
      <c r="J285" t="s">
        <v>21</v>
      </c>
      <c r="K285" t="s">
        <v>26</v>
      </c>
      <c r="L285" s="1">
        <v>45931</v>
      </c>
      <c r="M285" s="1">
        <v>45961</v>
      </c>
      <c r="N285" t="s">
        <v>27</v>
      </c>
      <c r="O285" t="s">
        <v>28</v>
      </c>
      <c r="Q285" t="s">
        <v>29</v>
      </c>
      <c r="R285" s="4" t="s">
        <v>115</v>
      </c>
      <c r="S285" s="4" t="s">
        <v>115</v>
      </c>
      <c r="T285" s="5">
        <v>0</v>
      </c>
    </row>
    <row r="286" spans="1:20" x14ac:dyDescent="0.3">
      <c r="A286">
        <v>37395</v>
      </c>
      <c r="B286" t="s">
        <v>21</v>
      </c>
      <c r="C286" s="3" t="s">
        <v>116</v>
      </c>
      <c r="D286" t="s">
        <v>117</v>
      </c>
      <c r="E286">
        <v>7868</v>
      </c>
      <c r="F286" t="s">
        <v>24</v>
      </c>
      <c r="H286" s="3" t="s">
        <v>118</v>
      </c>
      <c r="I286" s="3" t="s">
        <v>118</v>
      </c>
      <c r="J286" t="s">
        <v>21</v>
      </c>
      <c r="K286" t="s">
        <v>26</v>
      </c>
      <c r="L286" s="1">
        <v>45931</v>
      </c>
      <c r="M286" s="1">
        <v>45961</v>
      </c>
      <c r="N286" t="s">
        <v>27</v>
      </c>
      <c r="O286" t="s">
        <v>28</v>
      </c>
      <c r="Q286" t="s">
        <v>29</v>
      </c>
      <c r="R286" s="4" t="s">
        <v>119</v>
      </c>
      <c r="S286" s="4" t="s">
        <v>119</v>
      </c>
      <c r="T286" s="6">
        <v>1.2</v>
      </c>
    </row>
    <row r="287" spans="1:20" x14ac:dyDescent="0.3">
      <c r="A287">
        <v>37395</v>
      </c>
      <c r="B287" t="s">
        <v>21</v>
      </c>
      <c r="C287" s="3" t="s">
        <v>116</v>
      </c>
      <c r="D287" t="s">
        <v>117</v>
      </c>
      <c r="E287">
        <v>7868</v>
      </c>
      <c r="F287" t="s">
        <v>24</v>
      </c>
      <c r="H287" s="3" t="s">
        <v>118</v>
      </c>
      <c r="I287" s="3" t="s">
        <v>118</v>
      </c>
      <c r="J287" t="s">
        <v>21</v>
      </c>
      <c r="K287" t="s">
        <v>26</v>
      </c>
      <c r="L287" s="1">
        <v>45931</v>
      </c>
      <c r="M287" s="1">
        <v>45961</v>
      </c>
      <c r="N287" t="s">
        <v>27</v>
      </c>
      <c r="O287" t="s">
        <v>28</v>
      </c>
      <c r="Q287" t="s">
        <v>29</v>
      </c>
      <c r="R287" s="4" t="s">
        <v>120</v>
      </c>
      <c r="S287" s="4" t="s">
        <v>120</v>
      </c>
      <c r="T287" s="5">
        <v>0.1</v>
      </c>
    </row>
    <row r="288" spans="1:20" x14ac:dyDescent="0.3">
      <c r="A288">
        <v>37395</v>
      </c>
      <c r="B288" t="s">
        <v>21</v>
      </c>
      <c r="C288" s="3" t="s">
        <v>116</v>
      </c>
      <c r="D288" t="s">
        <v>117</v>
      </c>
      <c r="E288">
        <v>7868</v>
      </c>
      <c r="F288" t="s">
        <v>24</v>
      </c>
      <c r="H288" s="3" t="s">
        <v>118</v>
      </c>
      <c r="I288" s="3" t="s">
        <v>118</v>
      </c>
      <c r="J288" t="s">
        <v>21</v>
      </c>
      <c r="K288" t="s">
        <v>26</v>
      </c>
      <c r="L288" s="1">
        <v>45931</v>
      </c>
      <c r="M288" s="1">
        <v>45961</v>
      </c>
      <c r="N288" t="s">
        <v>27</v>
      </c>
      <c r="O288" t="s">
        <v>28</v>
      </c>
      <c r="Q288" t="s">
        <v>29</v>
      </c>
      <c r="R288" s="4" t="s">
        <v>121</v>
      </c>
      <c r="S288" s="4" t="s">
        <v>121</v>
      </c>
      <c r="T288" s="6">
        <v>10.6</v>
      </c>
    </row>
    <row r="289" spans="1:20" x14ac:dyDescent="0.3">
      <c r="A289">
        <v>37395</v>
      </c>
      <c r="B289" t="s">
        <v>21</v>
      </c>
      <c r="C289" s="3" t="s">
        <v>122</v>
      </c>
      <c r="D289" t="s">
        <v>123</v>
      </c>
      <c r="E289">
        <v>7868</v>
      </c>
      <c r="F289" t="s">
        <v>24</v>
      </c>
      <c r="H289" s="3" t="s">
        <v>124</v>
      </c>
      <c r="I289" s="3" t="s">
        <v>124</v>
      </c>
      <c r="J289" t="s">
        <v>21</v>
      </c>
      <c r="K289" t="s">
        <v>26</v>
      </c>
      <c r="L289" s="1">
        <v>45931</v>
      </c>
      <c r="M289" s="1">
        <v>45961</v>
      </c>
      <c r="N289" t="s">
        <v>27</v>
      </c>
      <c r="O289" t="s">
        <v>28</v>
      </c>
      <c r="Q289" t="s">
        <v>29</v>
      </c>
      <c r="R289" s="4" t="s">
        <v>125</v>
      </c>
      <c r="S289" s="4" t="s">
        <v>125</v>
      </c>
      <c r="T289" s="5">
        <v>27</v>
      </c>
    </row>
    <row r="290" spans="1:20" x14ac:dyDescent="0.3">
      <c r="A290">
        <v>37395</v>
      </c>
      <c r="B290" t="s">
        <v>21</v>
      </c>
      <c r="C290" s="3" t="s">
        <v>122</v>
      </c>
      <c r="D290" t="s">
        <v>123</v>
      </c>
      <c r="E290">
        <v>7868</v>
      </c>
      <c r="F290" t="s">
        <v>24</v>
      </c>
      <c r="H290" s="3" t="s">
        <v>124</v>
      </c>
      <c r="I290" s="3" t="s">
        <v>124</v>
      </c>
      <c r="J290" t="s">
        <v>21</v>
      </c>
      <c r="K290" t="s">
        <v>26</v>
      </c>
      <c r="L290" s="1">
        <v>45931</v>
      </c>
      <c r="M290" s="1">
        <v>45961</v>
      </c>
      <c r="N290" t="s">
        <v>27</v>
      </c>
      <c r="O290" t="s">
        <v>28</v>
      </c>
      <c r="Q290" t="s">
        <v>29</v>
      </c>
      <c r="R290" s="4" t="s">
        <v>126</v>
      </c>
      <c r="S290" s="4" t="s">
        <v>126</v>
      </c>
      <c r="T290" s="6">
        <v>0.2</v>
      </c>
    </row>
    <row r="291" spans="1:20" x14ac:dyDescent="0.3">
      <c r="A291">
        <v>37395</v>
      </c>
      <c r="B291" t="s">
        <v>21</v>
      </c>
      <c r="C291" s="3" t="s">
        <v>122</v>
      </c>
      <c r="D291" t="s">
        <v>123</v>
      </c>
      <c r="E291">
        <v>7868</v>
      </c>
      <c r="F291" t="s">
        <v>24</v>
      </c>
      <c r="H291" s="3" t="s">
        <v>124</v>
      </c>
      <c r="I291" s="3" t="s">
        <v>124</v>
      </c>
      <c r="J291" t="s">
        <v>21</v>
      </c>
      <c r="K291" t="s">
        <v>26</v>
      </c>
      <c r="L291" s="1">
        <v>45931</v>
      </c>
      <c r="M291" s="1">
        <v>45961</v>
      </c>
      <c r="N291" t="s">
        <v>27</v>
      </c>
      <c r="O291" t="s">
        <v>28</v>
      </c>
      <c r="Q291" t="s">
        <v>29</v>
      </c>
      <c r="R291" s="4" t="s">
        <v>127</v>
      </c>
      <c r="S291" s="4" t="s">
        <v>127</v>
      </c>
      <c r="T291" s="5">
        <v>0</v>
      </c>
    </row>
    <row r="292" spans="1:20" x14ac:dyDescent="0.3">
      <c r="A292">
        <v>37395</v>
      </c>
      <c r="B292" t="s">
        <v>21</v>
      </c>
      <c r="C292" s="3" t="s">
        <v>122</v>
      </c>
      <c r="D292" t="s">
        <v>123</v>
      </c>
      <c r="E292">
        <v>7868</v>
      </c>
      <c r="F292" t="s">
        <v>24</v>
      </c>
      <c r="H292" s="3" t="s">
        <v>124</v>
      </c>
      <c r="I292" s="3" t="s">
        <v>124</v>
      </c>
      <c r="J292" t="s">
        <v>21</v>
      </c>
      <c r="K292" t="s">
        <v>26</v>
      </c>
      <c r="L292" s="1">
        <v>45931</v>
      </c>
      <c r="M292" s="1">
        <v>45961</v>
      </c>
      <c r="N292" t="s">
        <v>27</v>
      </c>
      <c r="O292" t="s">
        <v>28</v>
      </c>
      <c r="Q292" t="s">
        <v>29</v>
      </c>
      <c r="R292" s="4" t="s">
        <v>128</v>
      </c>
      <c r="S292" s="4" t="s">
        <v>128</v>
      </c>
      <c r="T292" s="6">
        <v>30.2</v>
      </c>
    </row>
    <row r="293" spans="1:20" x14ac:dyDescent="0.3">
      <c r="A293">
        <v>37395</v>
      </c>
      <c r="B293" t="s">
        <v>21</v>
      </c>
      <c r="C293" s="3" t="s">
        <v>122</v>
      </c>
      <c r="D293" t="s">
        <v>123</v>
      </c>
      <c r="E293">
        <v>7868</v>
      </c>
      <c r="F293" t="s">
        <v>24</v>
      </c>
      <c r="H293" s="3" t="s">
        <v>124</v>
      </c>
      <c r="I293" s="3" t="s">
        <v>124</v>
      </c>
      <c r="J293" t="s">
        <v>21</v>
      </c>
      <c r="K293" t="s">
        <v>26</v>
      </c>
      <c r="L293" s="1">
        <v>45931</v>
      </c>
      <c r="M293" s="1">
        <v>45961</v>
      </c>
      <c r="N293" t="s">
        <v>27</v>
      </c>
      <c r="O293" t="s">
        <v>28</v>
      </c>
      <c r="Q293" t="s">
        <v>29</v>
      </c>
      <c r="R293" s="4" t="s">
        <v>129</v>
      </c>
      <c r="S293" s="4" t="s">
        <v>129</v>
      </c>
      <c r="T293" s="5">
        <v>10.199999999999999</v>
      </c>
    </row>
    <row r="294" spans="1:20" x14ac:dyDescent="0.3">
      <c r="A294">
        <v>37395</v>
      </c>
      <c r="B294" t="s">
        <v>21</v>
      </c>
      <c r="C294" s="3" t="s">
        <v>122</v>
      </c>
      <c r="D294" t="s">
        <v>123</v>
      </c>
      <c r="E294">
        <v>7868</v>
      </c>
      <c r="F294" t="s">
        <v>24</v>
      </c>
      <c r="H294" s="3" t="s">
        <v>124</v>
      </c>
      <c r="I294" s="3" t="s">
        <v>124</v>
      </c>
      <c r="J294" t="s">
        <v>21</v>
      </c>
      <c r="K294" t="s">
        <v>26</v>
      </c>
      <c r="L294" s="1">
        <v>45931</v>
      </c>
      <c r="M294" s="1">
        <v>45961</v>
      </c>
      <c r="N294" t="s">
        <v>27</v>
      </c>
      <c r="O294" t="s">
        <v>28</v>
      </c>
      <c r="Q294" t="s">
        <v>29</v>
      </c>
      <c r="R294" s="4" t="s">
        <v>130</v>
      </c>
      <c r="S294" s="4" t="s">
        <v>130</v>
      </c>
      <c r="T294" s="6">
        <v>-0.2</v>
      </c>
    </row>
    <row r="295" spans="1:20" x14ac:dyDescent="0.3">
      <c r="A295">
        <v>37395</v>
      </c>
      <c r="B295" t="s">
        <v>21</v>
      </c>
      <c r="C295" s="3" t="s">
        <v>122</v>
      </c>
      <c r="D295" t="s">
        <v>123</v>
      </c>
      <c r="E295">
        <v>7868</v>
      </c>
      <c r="F295" t="s">
        <v>24</v>
      </c>
      <c r="H295" s="3" t="s">
        <v>124</v>
      </c>
      <c r="I295" s="3" t="s">
        <v>124</v>
      </c>
      <c r="J295" t="s">
        <v>21</v>
      </c>
      <c r="K295" t="s">
        <v>26</v>
      </c>
      <c r="L295" s="1">
        <v>45931</v>
      </c>
      <c r="M295" s="1">
        <v>45961</v>
      </c>
      <c r="N295" t="s">
        <v>27</v>
      </c>
      <c r="O295" t="s">
        <v>28</v>
      </c>
      <c r="Q295" t="s">
        <v>29</v>
      </c>
      <c r="R295" s="4" t="s">
        <v>131</v>
      </c>
      <c r="S295" s="4" t="s">
        <v>131</v>
      </c>
      <c r="T295" s="5">
        <v>10.9</v>
      </c>
    </row>
    <row r="296" spans="1:20" x14ac:dyDescent="0.3">
      <c r="A296">
        <v>37395</v>
      </c>
      <c r="B296" t="s">
        <v>21</v>
      </c>
      <c r="C296" s="3" t="s">
        <v>132</v>
      </c>
      <c r="D296" t="s">
        <v>133</v>
      </c>
      <c r="E296">
        <v>7868</v>
      </c>
      <c r="F296" t="s">
        <v>24</v>
      </c>
      <c r="H296" s="3" t="s">
        <v>134</v>
      </c>
      <c r="I296" s="3" t="s">
        <v>134</v>
      </c>
      <c r="J296" t="s">
        <v>21</v>
      </c>
      <c r="K296" t="s">
        <v>26</v>
      </c>
      <c r="L296" s="1">
        <v>45931</v>
      </c>
      <c r="M296" s="1">
        <v>45961</v>
      </c>
      <c r="N296" t="s">
        <v>27</v>
      </c>
      <c r="O296" t="s">
        <v>28</v>
      </c>
      <c r="Q296" t="s">
        <v>29</v>
      </c>
      <c r="R296" s="4" t="s">
        <v>135</v>
      </c>
      <c r="S296" s="4" t="s">
        <v>135</v>
      </c>
      <c r="T296" s="6">
        <v>3.4</v>
      </c>
    </row>
    <row r="297" spans="1:20" x14ac:dyDescent="0.3">
      <c r="A297">
        <v>37395</v>
      </c>
      <c r="B297" t="s">
        <v>21</v>
      </c>
      <c r="C297" s="3" t="s">
        <v>132</v>
      </c>
      <c r="D297" t="s">
        <v>133</v>
      </c>
      <c r="E297">
        <v>7868</v>
      </c>
      <c r="F297" t="s">
        <v>24</v>
      </c>
      <c r="H297" s="3" t="s">
        <v>134</v>
      </c>
      <c r="I297" s="3" t="s">
        <v>134</v>
      </c>
      <c r="J297" t="s">
        <v>21</v>
      </c>
      <c r="K297" t="s">
        <v>26</v>
      </c>
      <c r="L297" s="1">
        <v>45931</v>
      </c>
      <c r="M297" s="1">
        <v>45961</v>
      </c>
      <c r="N297" t="s">
        <v>27</v>
      </c>
      <c r="O297" t="s">
        <v>28</v>
      </c>
      <c r="Q297" t="s">
        <v>29</v>
      </c>
      <c r="R297" s="4" t="s">
        <v>136</v>
      </c>
      <c r="S297" s="4" t="s">
        <v>136</v>
      </c>
      <c r="T297" s="5">
        <v>30.6</v>
      </c>
    </row>
    <row r="298" spans="1:20" x14ac:dyDescent="0.3">
      <c r="A298">
        <v>37395</v>
      </c>
      <c r="B298" t="s">
        <v>21</v>
      </c>
      <c r="C298" s="3" t="s">
        <v>132</v>
      </c>
      <c r="D298" t="s">
        <v>133</v>
      </c>
      <c r="E298">
        <v>7868</v>
      </c>
      <c r="F298" t="s">
        <v>24</v>
      </c>
      <c r="H298" s="3" t="s">
        <v>134</v>
      </c>
      <c r="I298" s="3" t="s">
        <v>134</v>
      </c>
      <c r="J298" t="s">
        <v>21</v>
      </c>
      <c r="K298" t="s">
        <v>26</v>
      </c>
      <c r="L298" s="1">
        <v>45931</v>
      </c>
      <c r="M298" s="1">
        <v>45961</v>
      </c>
      <c r="N298" t="s">
        <v>27</v>
      </c>
      <c r="O298" t="s">
        <v>28</v>
      </c>
      <c r="Q298" t="s">
        <v>29</v>
      </c>
      <c r="R298" s="4" t="s">
        <v>137</v>
      </c>
      <c r="S298" s="4" t="s">
        <v>137</v>
      </c>
      <c r="T298" s="6">
        <v>0</v>
      </c>
    </row>
    <row r="299" spans="1:20" x14ac:dyDescent="0.3">
      <c r="A299">
        <v>37395</v>
      </c>
      <c r="B299" t="s">
        <v>21</v>
      </c>
      <c r="C299" s="3" t="s">
        <v>132</v>
      </c>
      <c r="D299" t="s">
        <v>133</v>
      </c>
      <c r="E299">
        <v>7868</v>
      </c>
      <c r="F299" t="s">
        <v>24</v>
      </c>
      <c r="H299" s="3" t="s">
        <v>134</v>
      </c>
      <c r="I299" s="3" t="s">
        <v>134</v>
      </c>
      <c r="J299" t="s">
        <v>21</v>
      </c>
      <c r="K299" t="s">
        <v>26</v>
      </c>
      <c r="L299" s="1">
        <v>45931</v>
      </c>
      <c r="M299" s="1">
        <v>45961</v>
      </c>
      <c r="N299" t="s">
        <v>27</v>
      </c>
      <c r="O299" t="s">
        <v>28</v>
      </c>
      <c r="Q299" t="s">
        <v>29</v>
      </c>
      <c r="R299" s="4" t="s">
        <v>138</v>
      </c>
      <c r="S299" s="4" t="s">
        <v>138</v>
      </c>
      <c r="T299" s="5">
        <v>0</v>
      </c>
    </row>
    <row r="300" spans="1:20" x14ac:dyDescent="0.3">
      <c r="A300">
        <v>37395</v>
      </c>
      <c r="B300" t="s">
        <v>21</v>
      </c>
      <c r="C300" s="3" t="s">
        <v>139</v>
      </c>
      <c r="D300" t="s">
        <v>140</v>
      </c>
      <c r="E300">
        <v>7868</v>
      </c>
      <c r="F300" t="s">
        <v>24</v>
      </c>
      <c r="H300" s="3" t="s">
        <v>141</v>
      </c>
      <c r="I300" s="3" t="s">
        <v>141</v>
      </c>
      <c r="J300" t="s">
        <v>21</v>
      </c>
      <c r="K300" t="s">
        <v>26</v>
      </c>
      <c r="L300" s="1">
        <v>45931</v>
      </c>
      <c r="M300" s="1">
        <v>45961</v>
      </c>
      <c r="N300" t="s">
        <v>27</v>
      </c>
      <c r="O300" t="s">
        <v>28</v>
      </c>
      <c r="Q300" t="s">
        <v>29</v>
      </c>
      <c r="R300" s="4" t="s">
        <v>142</v>
      </c>
      <c r="S300" s="4" t="s">
        <v>142</v>
      </c>
      <c r="T300" s="6">
        <v>0</v>
      </c>
    </row>
    <row r="301" spans="1:20" x14ac:dyDescent="0.3">
      <c r="A301">
        <v>37395</v>
      </c>
      <c r="B301" t="s">
        <v>21</v>
      </c>
      <c r="C301" s="3" t="s">
        <v>143</v>
      </c>
      <c r="D301" t="s">
        <v>144</v>
      </c>
      <c r="E301">
        <v>7868</v>
      </c>
      <c r="F301" t="s">
        <v>24</v>
      </c>
      <c r="H301" s="3" t="s">
        <v>145</v>
      </c>
      <c r="I301" s="3" t="s">
        <v>145</v>
      </c>
      <c r="J301" t="s">
        <v>21</v>
      </c>
      <c r="K301" t="s">
        <v>26</v>
      </c>
      <c r="L301" s="1">
        <v>45931</v>
      </c>
      <c r="M301" s="1">
        <v>45961</v>
      </c>
      <c r="N301" t="s">
        <v>27</v>
      </c>
      <c r="O301" t="s">
        <v>28</v>
      </c>
      <c r="Q301" t="s">
        <v>29</v>
      </c>
      <c r="R301" s="4" t="s">
        <v>146</v>
      </c>
      <c r="S301" s="4" t="s">
        <v>146</v>
      </c>
      <c r="T301" s="5">
        <v>91.1</v>
      </c>
    </row>
    <row r="302" spans="1:20" x14ac:dyDescent="0.3">
      <c r="A302">
        <v>37395</v>
      </c>
      <c r="B302" t="s">
        <v>21</v>
      </c>
      <c r="C302" s="3" t="s">
        <v>143</v>
      </c>
      <c r="D302" t="s">
        <v>144</v>
      </c>
      <c r="E302">
        <v>7868</v>
      </c>
      <c r="F302" t="s">
        <v>24</v>
      </c>
      <c r="H302" s="3" t="s">
        <v>145</v>
      </c>
      <c r="I302" s="3" t="s">
        <v>145</v>
      </c>
      <c r="J302" t="s">
        <v>21</v>
      </c>
      <c r="K302" t="s">
        <v>26</v>
      </c>
      <c r="L302" s="1">
        <v>45931</v>
      </c>
      <c r="M302" s="1">
        <v>45961</v>
      </c>
      <c r="N302" t="s">
        <v>27</v>
      </c>
      <c r="O302" t="s">
        <v>28</v>
      </c>
      <c r="Q302" t="s">
        <v>29</v>
      </c>
      <c r="R302" s="4" t="s">
        <v>147</v>
      </c>
      <c r="S302" s="4" t="s">
        <v>147</v>
      </c>
      <c r="T302" s="6">
        <v>17.399999999999999</v>
      </c>
    </row>
    <row r="303" spans="1:20" x14ac:dyDescent="0.3">
      <c r="A303">
        <v>37395</v>
      </c>
      <c r="B303" t="s">
        <v>21</v>
      </c>
      <c r="C303" s="3" t="s">
        <v>148</v>
      </c>
      <c r="D303" t="s">
        <v>149</v>
      </c>
      <c r="E303">
        <v>7868</v>
      </c>
      <c r="F303" t="s">
        <v>24</v>
      </c>
      <c r="H303" s="3" t="s">
        <v>150</v>
      </c>
      <c r="I303" s="3" t="s">
        <v>150</v>
      </c>
      <c r="J303" t="s">
        <v>21</v>
      </c>
      <c r="K303" t="s">
        <v>26</v>
      </c>
      <c r="L303" s="1">
        <v>45931</v>
      </c>
      <c r="M303" s="1">
        <v>45961</v>
      </c>
      <c r="N303" t="s">
        <v>27</v>
      </c>
      <c r="O303" t="s">
        <v>28</v>
      </c>
      <c r="Q303" t="s">
        <v>29</v>
      </c>
      <c r="R303" s="4" t="s">
        <v>151</v>
      </c>
      <c r="S303" s="4" t="s">
        <v>151</v>
      </c>
      <c r="T303" s="5">
        <v>10.5</v>
      </c>
    </row>
    <row r="304" spans="1:20" x14ac:dyDescent="0.3">
      <c r="A304">
        <v>37395</v>
      </c>
      <c r="B304" t="s">
        <v>21</v>
      </c>
      <c r="C304" s="3" t="s">
        <v>148</v>
      </c>
      <c r="D304" t="s">
        <v>149</v>
      </c>
      <c r="E304">
        <v>7868</v>
      </c>
      <c r="F304" t="s">
        <v>24</v>
      </c>
      <c r="H304" s="3" t="s">
        <v>150</v>
      </c>
      <c r="I304" s="3" t="s">
        <v>150</v>
      </c>
      <c r="J304" t="s">
        <v>21</v>
      </c>
      <c r="K304" t="s">
        <v>26</v>
      </c>
      <c r="L304" s="1">
        <v>45931</v>
      </c>
      <c r="M304" s="1">
        <v>45961</v>
      </c>
      <c r="N304" t="s">
        <v>27</v>
      </c>
      <c r="O304" t="s">
        <v>28</v>
      </c>
      <c r="Q304" t="s">
        <v>29</v>
      </c>
      <c r="R304" s="4" t="s">
        <v>152</v>
      </c>
      <c r="S304" s="4" t="s">
        <v>152</v>
      </c>
      <c r="T304" s="6">
        <v>2.9</v>
      </c>
    </row>
    <row r="305" spans="1:20" x14ac:dyDescent="0.3">
      <c r="A305">
        <v>37395</v>
      </c>
      <c r="B305" t="s">
        <v>21</v>
      </c>
      <c r="C305" s="3" t="s">
        <v>148</v>
      </c>
      <c r="D305" t="s">
        <v>149</v>
      </c>
      <c r="E305">
        <v>7868</v>
      </c>
      <c r="F305" t="s">
        <v>24</v>
      </c>
      <c r="H305" s="3" t="s">
        <v>150</v>
      </c>
      <c r="I305" s="3" t="s">
        <v>150</v>
      </c>
      <c r="J305" t="s">
        <v>21</v>
      </c>
      <c r="K305" t="s">
        <v>26</v>
      </c>
      <c r="L305" s="1">
        <v>45931</v>
      </c>
      <c r="M305" s="1">
        <v>45961</v>
      </c>
      <c r="N305" t="s">
        <v>27</v>
      </c>
      <c r="O305" t="s">
        <v>28</v>
      </c>
      <c r="Q305" t="s">
        <v>29</v>
      </c>
      <c r="R305" s="4" t="s">
        <v>153</v>
      </c>
      <c r="S305" s="4" t="s">
        <v>153</v>
      </c>
      <c r="T305" s="5">
        <v>0</v>
      </c>
    </row>
    <row r="306" spans="1:20" x14ac:dyDescent="0.3">
      <c r="A306">
        <v>37395</v>
      </c>
      <c r="B306" t="s">
        <v>21</v>
      </c>
      <c r="C306" s="3" t="s">
        <v>154</v>
      </c>
      <c r="D306" t="s">
        <v>155</v>
      </c>
      <c r="E306">
        <v>7868</v>
      </c>
      <c r="F306" t="s">
        <v>24</v>
      </c>
      <c r="H306" s="3" t="s">
        <v>156</v>
      </c>
      <c r="I306" s="3" t="s">
        <v>156</v>
      </c>
      <c r="J306" t="s">
        <v>21</v>
      </c>
      <c r="K306" t="s">
        <v>26</v>
      </c>
      <c r="L306" s="1">
        <v>45931</v>
      </c>
      <c r="M306" s="1">
        <v>45961</v>
      </c>
      <c r="N306" t="s">
        <v>27</v>
      </c>
      <c r="O306" t="s">
        <v>28</v>
      </c>
      <c r="Q306" t="s">
        <v>29</v>
      </c>
      <c r="R306" s="4" t="s">
        <v>157</v>
      </c>
      <c r="S306" s="4" t="s">
        <v>157</v>
      </c>
      <c r="T306" s="6">
        <v>1.4</v>
      </c>
    </row>
    <row r="307" spans="1:20" x14ac:dyDescent="0.3">
      <c r="A307">
        <v>37395</v>
      </c>
      <c r="B307" t="s">
        <v>21</v>
      </c>
      <c r="C307" s="3" t="s">
        <v>158</v>
      </c>
      <c r="D307" t="s">
        <v>159</v>
      </c>
      <c r="E307">
        <v>7868</v>
      </c>
      <c r="F307" t="s">
        <v>24</v>
      </c>
      <c r="H307" s="3" t="s">
        <v>160</v>
      </c>
      <c r="I307" s="3" t="s">
        <v>160</v>
      </c>
      <c r="J307" t="s">
        <v>21</v>
      </c>
      <c r="K307" t="s">
        <v>26</v>
      </c>
      <c r="L307" s="1">
        <v>45931</v>
      </c>
      <c r="M307" s="1">
        <v>45961</v>
      </c>
      <c r="N307" t="s">
        <v>27</v>
      </c>
      <c r="O307" t="s">
        <v>28</v>
      </c>
      <c r="Q307" t="s">
        <v>29</v>
      </c>
      <c r="R307" s="4" t="s">
        <v>161</v>
      </c>
      <c r="S307" s="4" t="s">
        <v>161</v>
      </c>
      <c r="T307" s="5">
        <v>0</v>
      </c>
    </row>
    <row r="308" spans="1:20" x14ac:dyDescent="0.3">
      <c r="A308">
        <v>37395</v>
      </c>
      <c r="B308" t="s">
        <v>21</v>
      </c>
      <c r="C308" s="3" t="s">
        <v>162</v>
      </c>
      <c r="D308" t="s">
        <v>163</v>
      </c>
      <c r="E308">
        <v>7868</v>
      </c>
      <c r="F308" t="s">
        <v>24</v>
      </c>
      <c r="H308" s="3" t="s">
        <v>164</v>
      </c>
      <c r="I308" s="3" t="s">
        <v>164</v>
      </c>
      <c r="J308" t="s">
        <v>21</v>
      </c>
      <c r="K308" t="s">
        <v>26</v>
      </c>
      <c r="L308" s="1">
        <v>45931</v>
      </c>
      <c r="M308" s="1">
        <v>45961</v>
      </c>
      <c r="N308" t="s">
        <v>27</v>
      </c>
      <c r="O308" t="s">
        <v>28</v>
      </c>
      <c r="Q308" t="s">
        <v>29</v>
      </c>
      <c r="R308" s="4" t="s">
        <v>165</v>
      </c>
      <c r="S308" s="4" t="s">
        <v>165</v>
      </c>
      <c r="T308" s="6">
        <v>0</v>
      </c>
    </row>
    <row r="309" spans="1:20" x14ac:dyDescent="0.3">
      <c r="A309">
        <v>37395</v>
      </c>
      <c r="B309" t="s">
        <v>21</v>
      </c>
      <c r="C309" s="3" t="s">
        <v>166</v>
      </c>
      <c r="D309" t="s">
        <v>167</v>
      </c>
      <c r="E309">
        <v>7868</v>
      </c>
      <c r="F309" t="s">
        <v>24</v>
      </c>
      <c r="H309" s="3" t="s">
        <v>168</v>
      </c>
      <c r="I309" s="3" t="s">
        <v>168</v>
      </c>
      <c r="J309" t="s">
        <v>21</v>
      </c>
      <c r="K309" t="s">
        <v>26</v>
      </c>
      <c r="L309" s="1">
        <v>45931</v>
      </c>
      <c r="M309" s="1">
        <v>45961</v>
      </c>
      <c r="N309" t="s">
        <v>27</v>
      </c>
      <c r="O309" t="s">
        <v>28</v>
      </c>
      <c r="Q309" t="s">
        <v>29</v>
      </c>
      <c r="R309" s="4" t="s">
        <v>169</v>
      </c>
      <c r="S309" s="4" t="s">
        <v>169</v>
      </c>
      <c r="T309" s="5">
        <v>0</v>
      </c>
    </row>
    <row r="310" spans="1:20" x14ac:dyDescent="0.3">
      <c r="A310">
        <v>37395</v>
      </c>
      <c r="B310" t="s">
        <v>21</v>
      </c>
      <c r="C310" s="3" t="s">
        <v>166</v>
      </c>
      <c r="D310" t="s">
        <v>167</v>
      </c>
      <c r="E310">
        <v>7868</v>
      </c>
      <c r="F310" t="s">
        <v>24</v>
      </c>
      <c r="H310" s="3" t="s">
        <v>168</v>
      </c>
      <c r="I310" s="3" t="s">
        <v>168</v>
      </c>
      <c r="J310" t="s">
        <v>21</v>
      </c>
      <c r="K310" t="s">
        <v>26</v>
      </c>
      <c r="L310" s="1">
        <v>45931</v>
      </c>
      <c r="M310" s="1">
        <v>45961</v>
      </c>
      <c r="N310" t="s">
        <v>27</v>
      </c>
      <c r="O310" t="s">
        <v>28</v>
      </c>
      <c r="Q310" t="s">
        <v>29</v>
      </c>
      <c r="R310" s="4" t="s">
        <v>170</v>
      </c>
      <c r="S310" s="4" t="s">
        <v>170</v>
      </c>
      <c r="T310" s="6">
        <v>-0.5</v>
      </c>
    </row>
    <row r="311" spans="1:20" x14ac:dyDescent="0.3">
      <c r="A311">
        <v>37395</v>
      </c>
      <c r="B311" t="s">
        <v>21</v>
      </c>
      <c r="C311" s="3" t="s">
        <v>166</v>
      </c>
      <c r="D311" t="s">
        <v>167</v>
      </c>
      <c r="E311">
        <v>7868</v>
      </c>
      <c r="F311" t="s">
        <v>24</v>
      </c>
      <c r="H311" s="3" t="s">
        <v>168</v>
      </c>
      <c r="I311" s="3" t="s">
        <v>168</v>
      </c>
      <c r="J311" t="s">
        <v>21</v>
      </c>
      <c r="K311" t="s">
        <v>26</v>
      </c>
      <c r="L311" s="1">
        <v>45931</v>
      </c>
      <c r="M311" s="1">
        <v>45961</v>
      </c>
      <c r="N311" t="s">
        <v>27</v>
      </c>
      <c r="O311" t="s">
        <v>28</v>
      </c>
      <c r="Q311" t="s">
        <v>29</v>
      </c>
      <c r="R311" s="4" t="s">
        <v>171</v>
      </c>
      <c r="S311" s="4" t="s">
        <v>171</v>
      </c>
      <c r="T311" s="5">
        <v>1.4</v>
      </c>
    </row>
    <row r="312" spans="1:20" x14ac:dyDescent="0.3">
      <c r="A312">
        <v>37395</v>
      </c>
      <c r="B312" t="s">
        <v>21</v>
      </c>
      <c r="C312" s="3" t="s">
        <v>166</v>
      </c>
      <c r="D312" t="s">
        <v>167</v>
      </c>
      <c r="E312">
        <v>7868</v>
      </c>
      <c r="F312" t="s">
        <v>24</v>
      </c>
      <c r="H312" s="3" t="s">
        <v>168</v>
      </c>
      <c r="I312" s="3" t="s">
        <v>168</v>
      </c>
      <c r="J312" t="s">
        <v>21</v>
      </c>
      <c r="K312" t="s">
        <v>26</v>
      </c>
      <c r="L312" s="1">
        <v>45931</v>
      </c>
      <c r="M312" s="1">
        <v>45961</v>
      </c>
      <c r="N312" t="s">
        <v>27</v>
      </c>
      <c r="O312" t="s">
        <v>28</v>
      </c>
      <c r="Q312" t="s">
        <v>29</v>
      </c>
      <c r="R312" s="4" t="s">
        <v>172</v>
      </c>
      <c r="S312" s="4" t="s">
        <v>172</v>
      </c>
      <c r="T312" s="6">
        <v>0.6</v>
      </c>
    </row>
    <row r="313" spans="1:20" x14ac:dyDescent="0.3">
      <c r="A313">
        <v>37395</v>
      </c>
      <c r="B313" t="s">
        <v>21</v>
      </c>
      <c r="C313" s="3" t="s">
        <v>166</v>
      </c>
      <c r="D313" t="s">
        <v>167</v>
      </c>
      <c r="E313">
        <v>7868</v>
      </c>
      <c r="F313" t="s">
        <v>24</v>
      </c>
      <c r="H313" s="3" t="s">
        <v>168</v>
      </c>
      <c r="I313" s="3" t="s">
        <v>168</v>
      </c>
      <c r="J313" t="s">
        <v>21</v>
      </c>
      <c r="K313" t="s">
        <v>26</v>
      </c>
      <c r="L313" s="1">
        <v>45931</v>
      </c>
      <c r="M313" s="1">
        <v>45961</v>
      </c>
      <c r="N313" t="s">
        <v>27</v>
      </c>
      <c r="O313" t="s">
        <v>28</v>
      </c>
      <c r="Q313" t="s">
        <v>29</v>
      </c>
      <c r="R313" s="4" t="s">
        <v>173</v>
      </c>
      <c r="S313" s="4" t="s">
        <v>173</v>
      </c>
      <c r="T313" s="5">
        <v>0</v>
      </c>
    </row>
    <row r="314" spans="1:20" x14ac:dyDescent="0.3">
      <c r="A314">
        <v>37395</v>
      </c>
      <c r="B314" t="s">
        <v>21</v>
      </c>
      <c r="C314" s="3" t="s">
        <v>174</v>
      </c>
      <c r="D314" t="s">
        <v>175</v>
      </c>
      <c r="E314">
        <v>7868</v>
      </c>
      <c r="F314" t="s">
        <v>24</v>
      </c>
      <c r="H314" s="3" t="s">
        <v>176</v>
      </c>
      <c r="I314" s="3" t="s">
        <v>176</v>
      </c>
      <c r="J314" t="s">
        <v>21</v>
      </c>
      <c r="K314" t="s">
        <v>26</v>
      </c>
      <c r="L314" s="1">
        <v>45931</v>
      </c>
      <c r="M314" s="1">
        <v>45961</v>
      </c>
      <c r="N314" t="s">
        <v>27</v>
      </c>
      <c r="O314" t="s">
        <v>28</v>
      </c>
      <c r="Q314" t="s">
        <v>29</v>
      </c>
      <c r="R314" s="7" t="s">
        <v>177</v>
      </c>
      <c r="S314" s="7" t="s">
        <v>177</v>
      </c>
      <c r="T314" s="6">
        <v>-0.7</v>
      </c>
    </row>
    <row r="315" spans="1:20" x14ac:dyDescent="0.3">
      <c r="A315">
        <v>37395</v>
      </c>
      <c r="B315" t="s">
        <v>21</v>
      </c>
      <c r="C315" s="3" t="s">
        <v>174</v>
      </c>
      <c r="D315" t="s">
        <v>175</v>
      </c>
      <c r="E315">
        <v>7868</v>
      </c>
      <c r="F315" t="s">
        <v>24</v>
      </c>
      <c r="H315" s="3" t="s">
        <v>176</v>
      </c>
      <c r="I315" s="3" t="s">
        <v>176</v>
      </c>
      <c r="J315" t="s">
        <v>21</v>
      </c>
      <c r="K315" t="s">
        <v>26</v>
      </c>
      <c r="L315" s="1">
        <v>45931</v>
      </c>
      <c r="M315" s="1">
        <v>45961</v>
      </c>
      <c r="N315" t="s">
        <v>27</v>
      </c>
      <c r="O315" t="s">
        <v>28</v>
      </c>
      <c r="Q315" t="s">
        <v>29</v>
      </c>
      <c r="R315" s="4" t="s">
        <v>178</v>
      </c>
      <c r="S315" s="4" t="s">
        <v>178</v>
      </c>
      <c r="T315" s="5">
        <v>0</v>
      </c>
    </row>
    <row r="316" spans="1:20" x14ac:dyDescent="0.3">
      <c r="A316">
        <v>37395</v>
      </c>
      <c r="B316" t="s">
        <v>21</v>
      </c>
      <c r="C316" s="3" t="s">
        <v>179</v>
      </c>
      <c r="D316" t="s">
        <v>180</v>
      </c>
      <c r="E316">
        <v>7868</v>
      </c>
      <c r="F316" t="s">
        <v>24</v>
      </c>
      <c r="H316" s="3" t="s">
        <v>181</v>
      </c>
      <c r="I316" s="3" t="s">
        <v>181</v>
      </c>
      <c r="J316" t="s">
        <v>21</v>
      </c>
      <c r="K316" t="s">
        <v>26</v>
      </c>
      <c r="L316" s="1">
        <v>45931</v>
      </c>
      <c r="M316" s="1">
        <v>45961</v>
      </c>
      <c r="N316" t="s">
        <v>27</v>
      </c>
      <c r="O316" t="s">
        <v>28</v>
      </c>
      <c r="Q316" t="s">
        <v>29</v>
      </c>
      <c r="R316" s="7" t="s">
        <v>182</v>
      </c>
      <c r="S316" s="7" t="s">
        <v>182</v>
      </c>
      <c r="T316" s="6">
        <v>0.1</v>
      </c>
    </row>
    <row r="317" spans="1:20" x14ac:dyDescent="0.3">
      <c r="A317">
        <v>37395</v>
      </c>
      <c r="B317" t="s">
        <v>21</v>
      </c>
      <c r="C317" s="3" t="s">
        <v>183</v>
      </c>
      <c r="D317" t="s">
        <v>184</v>
      </c>
      <c r="E317">
        <v>7868</v>
      </c>
      <c r="F317" t="s">
        <v>24</v>
      </c>
      <c r="H317" s="3" t="s">
        <v>185</v>
      </c>
      <c r="I317" s="3" t="s">
        <v>185</v>
      </c>
      <c r="J317" t="s">
        <v>21</v>
      </c>
      <c r="K317" t="s">
        <v>26</v>
      </c>
      <c r="L317" s="1">
        <v>45931</v>
      </c>
      <c r="M317" s="1">
        <v>45961</v>
      </c>
      <c r="N317" t="s">
        <v>27</v>
      </c>
      <c r="O317" t="s">
        <v>28</v>
      </c>
      <c r="Q317" t="s">
        <v>29</v>
      </c>
      <c r="R317" s="4" t="s">
        <v>186</v>
      </c>
      <c r="S317" s="4" t="s">
        <v>186</v>
      </c>
      <c r="T317" s="5">
        <v>0.2</v>
      </c>
    </row>
    <row r="318" spans="1:20" x14ac:dyDescent="0.3">
      <c r="A318">
        <v>37395</v>
      </c>
      <c r="B318" t="s">
        <v>21</v>
      </c>
      <c r="C318" s="3" t="s">
        <v>22</v>
      </c>
      <c r="D318" t="s">
        <v>23</v>
      </c>
      <c r="E318">
        <v>7868</v>
      </c>
      <c r="F318" t="s">
        <v>24</v>
      </c>
      <c r="H318" s="3" t="s">
        <v>25</v>
      </c>
      <c r="I318" s="3" t="s">
        <v>25</v>
      </c>
      <c r="J318" t="s">
        <v>21</v>
      </c>
      <c r="K318" t="s">
        <v>26</v>
      </c>
      <c r="L318" s="1">
        <v>45962</v>
      </c>
      <c r="M318" s="1">
        <v>45991</v>
      </c>
      <c r="N318" t="s">
        <v>27</v>
      </c>
      <c r="O318" t="s">
        <v>28</v>
      </c>
      <c r="Q318" t="s">
        <v>29</v>
      </c>
      <c r="R318" s="4" t="s">
        <v>30</v>
      </c>
      <c r="S318" s="4" t="s">
        <v>30</v>
      </c>
      <c r="T318" s="5">
        <v>49</v>
      </c>
    </row>
    <row r="319" spans="1:20" x14ac:dyDescent="0.3">
      <c r="A319">
        <v>37395</v>
      </c>
      <c r="B319" t="s">
        <v>21</v>
      </c>
      <c r="C319" s="3" t="s">
        <v>22</v>
      </c>
      <c r="D319" t="s">
        <v>23</v>
      </c>
      <c r="E319">
        <v>7868</v>
      </c>
      <c r="F319" t="s">
        <v>24</v>
      </c>
      <c r="H319" s="3" t="s">
        <v>25</v>
      </c>
      <c r="I319" s="3" t="s">
        <v>25</v>
      </c>
      <c r="J319" t="s">
        <v>21</v>
      </c>
      <c r="K319" t="s">
        <v>26</v>
      </c>
      <c r="L319" s="1">
        <v>45962</v>
      </c>
      <c r="M319" s="1">
        <v>45991</v>
      </c>
      <c r="N319" t="s">
        <v>27</v>
      </c>
      <c r="O319" t="s">
        <v>28</v>
      </c>
      <c r="Q319" t="s">
        <v>29</v>
      </c>
      <c r="R319" s="4" t="s">
        <v>31</v>
      </c>
      <c r="S319" s="4" t="s">
        <v>31</v>
      </c>
      <c r="T319" s="6">
        <v>45.5</v>
      </c>
    </row>
    <row r="320" spans="1:20" x14ac:dyDescent="0.3">
      <c r="A320">
        <v>37395</v>
      </c>
      <c r="B320" t="s">
        <v>21</v>
      </c>
      <c r="C320" s="3" t="s">
        <v>22</v>
      </c>
      <c r="D320" t="s">
        <v>23</v>
      </c>
      <c r="E320">
        <v>7868</v>
      </c>
      <c r="F320" t="s">
        <v>24</v>
      </c>
      <c r="H320" s="3" t="s">
        <v>25</v>
      </c>
      <c r="I320" s="3" t="s">
        <v>25</v>
      </c>
      <c r="J320" t="s">
        <v>21</v>
      </c>
      <c r="K320" t="s">
        <v>26</v>
      </c>
      <c r="L320" s="1">
        <v>45962</v>
      </c>
      <c r="M320" s="1">
        <v>45991</v>
      </c>
      <c r="N320" t="s">
        <v>27</v>
      </c>
      <c r="O320" t="s">
        <v>28</v>
      </c>
      <c r="Q320" t="s">
        <v>29</v>
      </c>
      <c r="R320" s="4" t="s">
        <v>32</v>
      </c>
      <c r="S320" s="4" t="s">
        <v>32</v>
      </c>
      <c r="T320" s="5">
        <v>37.799999999999997</v>
      </c>
    </row>
    <row r="321" spans="1:20" x14ac:dyDescent="0.3">
      <c r="A321">
        <v>37395</v>
      </c>
      <c r="B321" t="s">
        <v>21</v>
      </c>
      <c r="C321" s="3" t="s">
        <v>22</v>
      </c>
      <c r="D321" t="s">
        <v>23</v>
      </c>
      <c r="E321">
        <v>7868</v>
      </c>
      <c r="F321" t="s">
        <v>24</v>
      </c>
      <c r="H321" s="3" t="s">
        <v>25</v>
      </c>
      <c r="I321" s="3" t="s">
        <v>25</v>
      </c>
      <c r="J321" t="s">
        <v>21</v>
      </c>
      <c r="K321" t="s">
        <v>26</v>
      </c>
      <c r="L321" s="1">
        <v>45962</v>
      </c>
      <c r="M321" s="1">
        <v>45991</v>
      </c>
      <c r="N321" t="s">
        <v>27</v>
      </c>
      <c r="O321" t="s">
        <v>28</v>
      </c>
      <c r="Q321" t="s">
        <v>29</v>
      </c>
      <c r="R321" s="4" t="s">
        <v>33</v>
      </c>
      <c r="S321" s="4" t="s">
        <v>33</v>
      </c>
      <c r="T321" s="6">
        <v>47.1</v>
      </c>
    </row>
    <row r="322" spans="1:20" x14ac:dyDescent="0.3">
      <c r="A322">
        <v>37395</v>
      </c>
      <c r="B322" t="s">
        <v>21</v>
      </c>
      <c r="C322" s="3" t="s">
        <v>22</v>
      </c>
      <c r="D322" t="s">
        <v>23</v>
      </c>
      <c r="E322">
        <v>7868</v>
      </c>
      <c r="F322" t="s">
        <v>24</v>
      </c>
      <c r="H322" s="3" t="s">
        <v>25</v>
      </c>
      <c r="I322" s="3" t="s">
        <v>25</v>
      </c>
      <c r="J322" t="s">
        <v>21</v>
      </c>
      <c r="K322" t="s">
        <v>26</v>
      </c>
      <c r="L322" s="1">
        <v>45962</v>
      </c>
      <c r="M322" s="1">
        <v>45991</v>
      </c>
      <c r="N322" t="s">
        <v>27</v>
      </c>
      <c r="O322" t="s">
        <v>28</v>
      </c>
      <c r="Q322" t="s">
        <v>29</v>
      </c>
      <c r="R322" s="4" t="s">
        <v>34</v>
      </c>
      <c r="S322" s="4" t="s">
        <v>34</v>
      </c>
      <c r="T322" s="5">
        <v>15.4</v>
      </c>
    </row>
    <row r="323" spans="1:20" x14ac:dyDescent="0.3">
      <c r="A323">
        <v>37395</v>
      </c>
      <c r="B323" t="s">
        <v>21</v>
      </c>
      <c r="C323" s="3" t="s">
        <v>22</v>
      </c>
      <c r="D323" t="s">
        <v>23</v>
      </c>
      <c r="E323">
        <v>7868</v>
      </c>
      <c r="F323" t="s">
        <v>24</v>
      </c>
      <c r="H323" s="3" t="s">
        <v>25</v>
      </c>
      <c r="I323" s="3" t="s">
        <v>25</v>
      </c>
      <c r="J323" t="s">
        <v>21</v>
      </c>
      <c r="K323" t="s">
        <v>26</v>
      </c>
      <c r="L323" s="1">
        <v>45962</v>
      </c>
      <c r="M323" s="1">
        <v>45991</v>
      </c>
      <c r="N323" t="s">
        <v>27</v>
      </c>
      <c r="O323" t="s">
        <v>28</v>
      </c>
      <c r="Q323" t="s">
        <v>29</v>
      </c>
      <c r="R323" s="4" t="s">
        <v>35</v>
      </c>
      <c r="S323" s="4" t="s">
        <v>35</v>
      </c>
      <c r="T323" s="6">
        <v>-0.8</v>
      </c>
    </row>
    <row r="324" spans="1:20" x14ac:dyDescent="0.3">
      <c r="A324">
        <v>37395</v>
      </c>
      <c r="B324" t="s">
        <v>21</v>
      </c>
      <c r="C324" s="3" t="s">
        <v>22</v>
      </c>
      <c r="D324" t="s">
        <v>23</v>
      </c>
      <c r="E324">
        <v>7868</v>
      </c>
      <c r="F324" t="s">
        <v>24</v>
      </c>
      <c r="H324" s="3" t="s">
        <v>25</v>
      </c>
      <c r="I324" s="3" t="s">
        <v>25</v>
      </c>
      <c r="J324" t="s">
        <v>21</v>
      </c>
      <c r="K324" t="s">
        <v>26</v>
      </c>
      <c r="L324" s="1">
        <v>45962</v>
      </c>
      <c r="M324" s="1">
        <v>45991</v>
      </c>
      <c r="N324" t="s">
        <v>27</v>
      </c>
      <c r="O324" t="s">
        <v>28</v>
      </c>
      <c r="Q324" t="s">
        <v>29</v>
      </c>
      <c r="R324" s="4" t="s">
        <v>36</v>
      </c>
      <c r="S324" s="4" t="s">
        <v>36</v>
      </c>
      <c r="T324" s="5">
        <v>58.5</v>
      </c>
    </row>
    <row r="325" spans="1:20" x14ac:dyDescent="0.3">
      <c r="A325">
        <v>37395</v>
      </c>
      <c r="B325" t="s">
        <v>21</v>
      </c>
      <c r="C325" s="3" t="s">
        <v>37</v>
      </c>
      <c r="D325" t="s">
        <v>38</v>
      </c>
      <c r="E325">
        <v>7868</v>
      </c>
      <c r="F325" t="s">
        <v>24</v>
      </c>
      <c r="H325" s="3" t="s">
        <v>39</v>
      </c>
      <c r="I325" s="3" t="s">
        <v>39</v>
      </c>
      <c r="J325" t="s">
        <v>21</v>
      </c>
      <c r="K325" t="s">
        <v>26</v>
      </c>
      <c r="L325" s="1">
        <v>45962</v>
      </c>
      <c r="M325" s="1">
        <v>45991</v>
      </c>
      <c r="N325" t="s">
        <v>27</v>
      </c>
      <c r="O325" t="s">
        <v>28</v>
      </c>
      <c r="Q325" t="s">
        <v>29</v>
      </c>
      <c r="R325" s="4" t="s">
        <v>40</v>
      </c>
      <c r="S325" s="4" t="s">
        <v>40</v>
      </c>
      <c r="T325" s="6">
        <v>33.4</v>
      </c>
    </row>
    <row r="326" spans="1:20" x14ac:dyDescent="0.3">
      <c r="A326">
        <v>37395</v>
      </c>
      <c r="B326" t="s">
        <v>21</v>
      </c>
      <c r="C326" s="3" t="s">
        <v>37</v>
      </c>
      <c r="D326" t="s">
        <v>38</v>
      </c>
      <c r="E326">
        <v>7868</v>
      </c>
      <c r="F326" t="s">
        <v>24</v>
      </c>
      <c r="H326" s="3" t="s">
        <v>39</v>
      </c>
      <c r="I326" s="3" t="s">
        <v>39</v>
      </c>
      <c r="J326" t="s">
        <v>21</v>
      </c>
      <c r="K326" t="s">
        <v>26</v>
      </c>
      <c r="L326" s="1">
        <v>45962</v>
      </c>
      <c r="M326" s="1">
        <v>45991</v>
      </c>
      <c r="N326" t="s">
        <v>27</v>
      </c>
      <c r="O326" t="s">
        <v>28</v>
      </c>
      <c r="Q326" t="s">
        <v>29</v>
      </c>
      <c r="R326" s="4" t="s">
        <v>41</v>
      </c>
      <c r="S326" s="4" t="s">
        <v>41</v>
      </c>
      <c r="T326" s="5">
        <v>6.3</v>
      </c>
    </row>
    <row r="327" spans="1:20" x14ac:dyDescent="0.3">
      <c r="A327">
        <v>37395</v>
      </c>
      <c r="B327" t="s">
        <v>21</v>
      </c>
      <c r="C327" s="3" t="s">
        <v>37</v>
      </c>
      <c r="D327" t="s">
        <v>38</v>
      </c>
      <c r="E327">
        <v>7868</v>
      </c>
      <c r="F327" t="s">
        <v>24</v>
      </c>
      <c r="H327" s="3" t="s">
        <v>39</v>
      </c>
      <c r="I327" s="3" t="s">
        <v>39</v>
      </c>
      <c r="J327" t="s">
        <v>21</v>
      </c>
      <c r="K327" t="s">
        <v>26</v>
      </c>
      <c r="L327" s="1">
        <v>45962</v>
      </c>
      <c r="M327" s="1">
        <v>45991</v>
      </c>
      <c r="N327" t="s">
        <v>27</v>
      </c>
      <c r="O327" t="s">
        <v>28</v>
      </c>
      <c r="Q327" t="s">
        <v>29</v>
      </c>
      <c r="R327" s="4" t="s">
        <v>42</v>
      </c>
      <c r="S327" s="4" t="s">
        <v>42</v>
      </c>
      <c r="T327" s="6">
        <v>5.0999999999999996</v>
      </c>
    </row>
    <row r="328" spans="1:20" x14ac:dyDescent="0.3">
      <c r="A328">
        <v>37395</v>
      </c>
      <c r="B328" t="s">
        <v>21</v>
      </c>
      <c r="C328" s="3" t="s">
        <v>37</v>
      </c>
      <c r="D328" t="s">
        <v>38</v>
      </c>
      <c r="E328">
        <v>7868</v>
      </c>
      <c r="F328" t="s">
        <v>24</v>
      </c>
      <c r="H328" s="3" t="s">
        <v>39</v>
      </c>
      <c r="I328" s="3" t="s">
        <v>39</v>
      </c>
      <c r="J328" t="s">
        <v>21</v>
      </c>
      <c r="K328" t="s">
        <v>26</v>
      </c>
      <c r="L328" s="1">
        <v>45962</v>
      </c>
      <c r="M328" s="1">
        <v>45991</v>
      </c>
      <c r="N328" t="s">
        <v>27</v>
      </c>
      <c r="O328" t="s">
        <v>28</v>
      </c>
      <c r="Q328" t="s">
        <v>29</v>
      </c>
      <c r="R328" s="4" t="s">
        <v>43</v>
      </c>
      <c r="S328" s="4" t="s">
        <v>43</v>
      </c>
      <c r="T328" s="5">
        <v>36</v>
      </c>
    </row>
    <row r="329" spans="1:20" x14ac:dyDescent="0.3">
      <c r="A329">
        <v>37395</v>
      </c>
      <c r="B329" t="s">
        <v>21</v>
      </c>
      <c r="C329" s="3" t="s">
        <v>37</v>
      </c>
      <c r="D329" t="s">
        <v>38</v>
      </c>
      <c r="E329">
        <v>7868</v>
      </c>
      <c r="F329" t="s">
        <v>24</v>
      </c>
      <c r="H329" s="3" t="s">
        <v>39</v>
      </c>
      <c r="I329" s="3" t="s">
        <v>39</v>
      </c>
      <c r="J329" t="s">
        <v>21</v>
      </c>
      <c r="K329" t="s">
        <v>26</v>
      </c>
      <c r="L329" s="1">
        <v>45962</v>
      </c>
      <c r="M329" s="1">
        <v>45991</v>
      </c>
      <c r="N329" t="s">
        <v>27</v>
      </c>
      <c r="O329" t="s">
        <v>28</v>
      </c>
      <c r="Q329" t="s">
        <v>29</v>
      </c>
      <c r="R329" s="4" t="s">
        <v>44</v>
      </c>
      <c r="S329" s="4" t="s">
        <v>44</v>
      </c>
      <c r="T329" s="6">
        <v>5.8</v>
      </c>
    </row>
    <row r="330" spans="1:20" x14ac:dyDescent="0.3">
      <c r="A330">
        <v>37395</v>
      </c>
      <c r="B330" t="s">
        <v>21</v>
      </c>
      <c r="C330" s="3" t="s">
        <v>37</v>
      </c>
      <c r="D330" t="s">
        <v>38</v>
      </c>
      <c r="E330">
        <v>7868</v>
      </c>
      <c r="F330" t="s">
        <v>24</v>
      </c>
      <c r="H330" s="3" t="s">
        <v>39</v>
      </c>
      <c r="I330" s="3" t="s">
        <v>39</v>
      </c>
      <c r="J330" t="s">
        <v>21</v>
      </c>
      <c r="K330" t="s">
        <v>26</v>
      </c>
      <c r="L330" s="1">
        <v>45962</v>
      </c>
      <c r="M330" s="1">
        <v>45991</v>
      </c>
      <c r="N330" t="s">
        <v>27</v>
      </c>
      <c r="O330" t="s">
        <v>28</v>
      </c>
      <c r="Q330" t="s">
        <v>29</v>
      </c>
      <c r="R330" s="4" t="s">
        <v>45</v>
      </c>
      <c r="S330" s="4" t="s">
        <v>45</v>
      </c>
      <c r="T330" s="5">
        <v>-0.1</v>
      </c>
    </row>
    <row r="331" spans="1:20" x14ac:dyDescent="0.3">
      <c r="A331">
        <v>37395</v>
      </c>
      <c r="B331" t="s">
        <v>21</v>
      </c>
      <c r="C331" s="3" t="s">
        <v>37</v>
      </c>
      <c r="D331" t="s">
        <v>38</v>
      </c>
      <c r="E331">
        <v>7868</v>
      </c>
      <c r="F331" t="s">
        <v>24</v>
      </c>
      <c r="H331" s="3" t="s">
        <v>39</v>
      </c>
      <c r="I331" s="3" t="s">
        <v>39</v>
      </c>
      <c r="J331" t="s">
        <v>21</v>
      </c>
      <c r="K331" t="s">
        <v>26</v>
      </c>
      <c r="L331" s="1">
        <v>45962</v>
      </c>
      <c r="M331" s="1">
        <v>45991</v>
      </c>
      <c r="N331" t="s">
        <v>27</v>
      </c>
      <c r="O331" t="s">
        <v>28</v>
      </c>
      <c r="Q331" t="s">
        <v>29</v>
      </c>
      <c r="R331" s="4" t="s">
        <v>46</v>
      </c>
      <c r="S331" s="4" t="s">
        <v>46</v>
      </c>
      <c r="T331" s="6">
        <v>0</v>
      </c>
    </row>
    <row r="332" spans="1:20" x14ac:dyDescent="0.3">
      <c r="A332">
        <v>37395</v>
      </c>
      <c r="B332" t="s">
        <v>21</v>
      </c>
      <c r="C332" s="3" t="s">
        <v>37</v>
      </c>
      <c r="D332" t="s">
        <v>38</v>
      </c>
      <c r="E332">
        <v>7868</v>
      </c>
      <c r="F332" t="s">
        <v>24</v>
      </c>
      <c r="H332" s="3" t="s">
        <v>39</v>
      </c>
      <c r="I332" s="3" t="s">
        <v>39</v>
      </c>
      <c r="J332" t="s">
        <v>21</v>
      </c>
      <c r="K332" t="s">
        <v>26</v>
      </c>
      <c r="L332" s="1">
        <v>45962</v>
      </c>
      <c r="M332" s="1">
        <v>45991</v>
      </c>
      <c r="N332" t="s">
        <v>27</v>
      </c>
      <c r="O332" t="s">
        <v>28</v>
      </c>
      <c r="Q332" t="s">
        <v>29</v>
      </c>
      <c r="R332" s="4" t="s">
        <v>47</v>
      </c>
      <c r="S332" s="4" t="s">
        <v>47</v>
      </c>
      <c r="T332" s="5">
        <v>0.1</v>
      </c>
    </row>
    <row r="333" spans="1:20" x14ac:dyDescent="0.3">
      <c r="A333">
        <v>37395</v>
      </c>
      <c r="B333" t="s">
        <v>21</v>
      </c>
      <c r="C333" s="3" t="s">
        <v>48</v>
      </c>
      <c r="D333" t="s">
        <v>49</v>
      </c>
      <c r="E333">
        <v>7868</v>
      </c>
      <c r="F333" t="s">
        <v>24</v>
      </c>
      <c r="H333" s="3" t="s">
        <v>50</v>
      </c>
      <c r="I333" s="3" t="s">
        <v>50</v>
      </c>
      <c r="J333" t="s">
        <v>21</v>
      </c>
      <c r="K333" t="s">
        <v>26</v>
      </c>
      <c r="L333" s="1">
        <v>45962</v>
      </c>
      <c r="M333" s="1">
        <v>45991</v>
      </c>
      <c r="N333" t="s">
        <v>27</v>
      </c>
      <c r="O333" t="s">
        <v>28</v>
      </c>
      <c r="Q333" t="s">
        <v>29</v>
      </c>
      <c r="R333" s="4" t="s">
        <v>51</v>
      </c>
      <c r="S333" s="4" t="s">
        <v>51</v>
      </c>
      <c r="T333" s="6">
        <v>0</v>
      </c>
    </row>
    <row r="334" spans="1:20" x14ac:dyDescent="0.3">
      <c r="A334">
        <v>37395</v>
      </c>
      <c r="B334" t="s">
        <v>21</v>
      </c>
      <c r="C334" s="3" t="s">
        <v>48</v>
      </c>
      <c r="D334" t="s">
        <v>49</v>
      </c>
      <c r="E334">
        <v>7868</v>
      </c>
      <c r="F334" t="s">
        <v>24</v>
      </c>
      <c r="H334" s="3" t="s">
        <v>50</v>
      </c>
      <c r="I334" s="3" t="s">
        <v>50</v>
      </c>
      <c r="J334" t="s">
        <v>21</v>
      </c>
      <c r="K334" t="s">
        <v>26</v>
      </c>
      <c r="L334" s="1">
        <v>45962</v>
      </c>
      <c r="M334" s="1">
        <v>45991</v>
      </c>
      <c r="N334" t="s">
        <v>27</v>
      </c>
      <c r="O334" t="s">
        <v>28</v>
      </c>
      <c r="Q334" t="s">
        <v>29</v>
      </c>
      <c r="R334" s="4" t="s">
        <v>52</v>
      </c>
      <c r="S334" s="4" t="s">
        <v>52</v>
      </c>
      <c r="T334" s="5">
        <v>0</v>
      </c>
    </row>
    <row r="335" spans="1:20" x14ac:dyDescent="0.3">
      <c r="A335">
        <v>37395</v>
      </c>
      <c r="B335" t="s">
        <v>21</v>
      </c>
      <c r="C335" s="3" t="s">
        <v>48</v>
      </c>
      <c r="D335" t="s">
        <v>49</v>
      </c>
      <c r="E335">
        <v>7868</v>
      </c>
      <c r="F335" t="s">
        <v>24</v>
      </c>
      <c r="H335" s="3" t="s">
        <v>50</v>
      </c>
      <c r="I335" s="3" t="s">
        <v>50</v>
      </c>
      <c r="J335" t="s">
        <v>21</v>
      </c>
      <c r="K335" t="s">
        <v>26</v>
      </c>
      <c r="L335" s="1">
        <v>45962</v>
      </c>
      <c r="M335" s="1">
        <v>45991</v>
      </c>
      <c r="N335" t="s">
        <v>27</v>
      </c>
      <c r="O335" t="s">
        <v>28</v>
      </c>
      <c r="Q335" t="s">
        <v>29</v>
      </c>
      <c r="R335" s="4" t="s">
        <v>53</v>
      </c>
      <c r="S335" s="4" t="s">
        <v>53</v>
      </c>
      <c r="T335" s="6">
        <v>27.4</v>
      </c>
    </row>
    <row r="336" spans="1:20" x14ac:dyDescent="0.3">
      <c r="A336">
        <v>37395</v>
      </c>
      <c r="B336" t="s">
        <v>21</v>
      </c>
      <c r="C336" s="3" t="s">
        <v>48</v>
      </c>
      <c r="D336" t="s">
        <v>49</v>
      </c>
      <c r="E336">
        <v>7868</v>
      </c>
      <c r="F336" t="s">
        <v>24</v>
      </c>
      <c r="H336" s="3" t="s">
        <v>50</v>
      </c>
      <c r="I336" s="3" t="s">
        <v>50</v>
      </c>
      <c r="J336" t="s">
        <v>21</v>
      </c>
      <c r="K336" t="s">
        <v>26</v>
      </c>
      <c r="L336" s="1">
        <v>45962</v>
      </c>
      <c r="M336" s="1">
        <v>45991</v>
      </c>
      <c r="N336" t="s">
        <v>27</v>
      </c>
      <c r="O336" t="s">
        <v>28</v>
      </c>
      <c r="Q336" t="s">
        <v>29</v>
      </c>
      <c r="R336" s="4" t="s">
        <v>54</v>
      </c>
      <c r="S336" s="4" t="s">
        <v>54</v>
      </c>
      <c r="T336" s="5">
        <v>12</v>
      </c>
    </row>
    <row r="337" spans="1:20" x14ac:dyDescent="0.3">
      <c r="A337">
        <v>37395</v>
      </c>
      <c r="B337" t="s">
        <v>21</v>
      </c>
      <c r="C337" s="3" t="s">
        <v>55</v>
      </c>
      <c r="D337" t="s">
        <v>56</v>
      </c>
      <c r="E337">
        <v>7868</v>
      </c>
      <c r="F337" t="s">
        <v>24</v>
      </c>
      <c r="H337" s="3" t="s">
        <v>57</v>
      </c>
      <c r="I337" s="3" t="s">
        <v>57</v>
      </c>
      <c r="J337" t="s">
        <v>21</v>
      </c>
      <c r="K337" t="s">
        <v>26</v>
      </c>
      <c r="L337" s="1">
        <v>45962</v>
      </c>
      <c r="M337" s="1">
        <v>45991</v>
      </c>
      <c r="N337" t="s">
        <v>27</v>
      </c>
      <c r="O337" t="s">
        <v>28</v>
      </c>
      <c r="Q337" t="s">
        <v>29</v>
      </c>
      <c r="R337" s="4" t="s">
        <v>58</v>
      </c>
      <c r="S337" s="4" t="s">
        <v>58</v>
      </c>
      <c r="T337" s="6">
        <v>14.6</v>
      </c>
    </row>
    <row r="338" spans="1:20" x14ac:dyDescent="0.3">
      <c r="A338">
        <v>37395</v>
      </c>
      <c r="B338" t="s">
        <v>21</v>
      </c>
      <c r="C338" s="3" t="s">
        <v>55</v>
      </c>
      <c r="D338" t="s">
        <v>56</v>
      </c>
      <c r="E338">
        <v>7868</v>
      </c>
      <c r="F338" t="s">
        <v>24</v>
      </c>
      <c r="H338" s="3" t="s">
        <v>57</v>
      </c>
      <c r="I338" s="3" t="s">
        <v>57</v>
      </c>
      <c r="J338" t="s">
        <v>21</v>
      </c>
      <c r="K338" t="s">
        <v>26</v>
      </c>
      <c r="L338" s="1">
        <v>45962</v>
      </c>
      <c r="M338" s="1">
        <v>45991</v>
      </c>
      <c r="N338" t="s">
        <v>27</v>
      </c>
      <c r="O338" t="s">
        <v>28</v>
      </c>
      <c r="Q338" t="s">
        <v>29</v>
      </c>
      <c r="R338" s="4" t="s">
        <v>59</v>
      </c>
      <c r="S338" s="4" t="s">
        <v>59</v>
      </c>
      <c r="T338" s="5">
        <v>0.4</v>
      </c>
    </row>
    <row r="339" spans="1:20" x14ac:dyDescent="0.3">
      <c r="A339">
        <v>37395</v>
      </c>
      <c r="B339" t="s">
        <v>21</v>
      </c>
      <c r="C339" s="3" t="s">
        <v>60</v>
      </c>
      <c r="D339" t="s">
        <v>61</v>
      </c>
      <c r="E339">
        <v>7868</v>
      </c>
      <c r="F339" t="s">
        <v>24</v>
      </c>
      <c r="H339" s="3" t="s">
        <v>62</v>
      </c>
      <c r="I339" s="3" t="s">
        <v>62</v>
      </c>
      <c r="J339" t="s">
        <v>21</v>
      </c>
      <c r="K339" t="s">
        <v>26</v>
      </c>
      <c r="L339" s="1">
        <v>45962</v>
      </c>
      <c r="M339" s="1">
        <v>45991</v>
      </c>
      <c r="N339" t="s">
        <v>27</v>
      </c>
      <c r="O339" t="s">
        <v>28</v>
      </c>
      <c r="Q339" t="s">
        <v>29</v>
      </c>
      <c r="R339" s="4" t="s">
        <v>63</v>
      </c>
      <c r="S339" s="4" t="s">
        <v>63</v>
      </c>
      <c r="T339" s="6">
        <v>0</v>
      </c>
    </row>
    <row r="340" spans="1:20" x14ac:dyDescent="0.3">
      <c r="A340">
        <v>37395</v>
      </c>
      <c r="B340" t="s">
        <v>21</v>
      </c>
      <c r="C340" s="3" t="s">
        <v>60</v>
      </c>
      <c r="D340" t="s">
        <v>61</v>
      </c>
      <c r="E340">
        <v>7868</v>
      </c>
      <c r="F340" t="s">
        <v>24</v>
      </c>
      <c r="H340" s="3" t="s">
        <v>62</v>
      </c>
      <c r="I340" s="3" t="s">
        <v>62</v>
      </c>
      <c r="J340" t="s">
        <v>21</v>
      </c>
      <c r="K340" t="s">
        <v>26</v>
      </c>
      <c r="L340" s="1">
        <v>45962</v>
      </c>
      <c r="M340" s="1">
        <v>45991</v>
      </c>
      <c r="N340" t="s">
        <v>27</v>
      </c>
      <c r="O340" t="s">
        <v>28</v>
      </c>
      <c r="Q340" t="s">
        <v>29</v>
      </c>
      <c r="R340" s="4" t="s">
        <v>64</v>
      </c>
      <c r="S340" s="4" t="s">
        <v>64</v>
      </c>
      <c r="T340" s="5">
        <v>45</v>
      </c>
    </row>
    <row r="341" spans="1:20" x14ac:dyDescent="0.3">
      <c r="A341">
        <v>37395</v>
      </c>
      <c r="B341" t="s">
        <v>21</v>
      </c>
      <c r="C341" s="3" t="s">
        <v>60</v>
      </c>
      <c r="D341" t="s">
        <v>61</v>
      </c>
      <c r="E341">
        <v>7868</v>
      </c>
      <c r="F341" t="s">
        <v>24</v>
      </c>
      <c r="H341" s="3" t="s">
        <v>62</v>
      </c>
      <c r="I341" s="3" t="s">
        <v>62</v>
      </c>
      <c r="J341" t="s">
        <v>21</v>
      </c>
      <c r="K341" t="s">
        <v>26</v>
      </c>
      <c r="L341" s="1">
        <v>45962</v>
      </c>
      <c r="M341" s="1">
        <v>45991</v>
      </c>
      <c r="N341" t="s">
        <v>27</v>
      </c>
      <c r="O341" t="s">
        <v>28</v>
      </c>
      <c r="Q341" t="s">
        <v>29</v>
      </c>
      <c r="R341" s="4" t="s">
        <v>65</v>
      </c>
      <c r="S341" s="4" t="s">
        <v>65</v>
      </c>
      <c r="T341" s="6">
        <v>14.1</v>
      </c>
    </row>
    <row r="342" spans="1:20" x14ac:dyDescent="0.3">
      <c r="A342">
        <v>37395</v>
      </c>
      <c r="B342" t="s">
        <v>21</v>
      </c>
      <c r="C342" s="3" t="s">
        <v>66</v>
      </c>
      <c r="D342" t="s">
        <v>67</v>
      </c>
      <c r="E342">
        <v>7868</v>
      </c>
      <c r="F342" t="s">
        <v>24</v>
      </c>
      <c r="H342" s="3" t="s">
        <v>68</v>
      </c>
      <c r="I342" s="3" t="s">
        <v>68</v>
      </c>
      <c r="J342" t="s">
        <v>21</v>
      </c>
      <c r="K342" t="s">
        <v>26</v>
      </c>
      <c r="L342" s="1">
        <v>45962</v>
      </c>
      <c r="M342" s="1">
        <v>45991</v>
      </c>
      <c r="N342" t="s">
        <v>27</v>
      </c>
      <c r="O342" t="s">
        <v>28</v>
      </c>
      <c r="Q342" t="s">
        <v>29</v>
      </c>
      <c r="R342" s="4" t="s">
        <v>69</v>
      </c>
      <c r="S342" s="4" t="s">
        <v>69</v>
      </c>
      <c r="T342" s="5">
        <v>27.3</v>
      </c>
    </row>
    <row r="343" spans="1:20" x14ac:dyDescent="0.3">
      <c r="A343">
        <v>37395</v>
      </c>
      <c r="B343" t="s">
        <v>21</v>
      </c>
      <c r="C343" s="3" t="s">
        <v>66</v>
      </c>
      <c r="D343" t="s">
        <v>67</v>
      </c>
      <c r="E343">
        <v>7868</v>
      </c>
      <c r="F343" t="s">
        <v>24</v>
      </c>
      <c r="H343" s="3" t="s">
        <v>68</v>
      </c>
      <c r="I343" s="3" t="s">
        <v>68</v>
      </c>
      <c r="J343" t="s">
        <v>21</v>
      </c>
      <c r="K343" t="s">
        <v>26</v>
      </c>
      <c r="L343" s="1">
        <v>45962</v>
      </c>
      <c r="M343" s="1">
        <v>45991</v>
      </c>
      <c r="N343" t="s">
        <v>27</v>
      </c>
      <c r="O343" t="s">
        <v>28</v>
      </c>
      <c r="Q343" t="s">
        <v>29</v>
      </c>
      <c r="R343" s="4" t="s">
        <v>70</v>
      </c>
      <c r="S343" s="4" t="s">
        <v>70</v>
      </c>
      <c r="T343" s="6">
        <v>11.6</v>
      </c>
    </row>
    <row r="344" spans="1:20" x14ac:dyDescent="0.3">
      <c r="A344">
        <v>37395</v>
      </c>
      <c r="B344" t="s">
        <v>21</v>
      </c>
      <c r="C344" s="3" t="s">
        <v>71</v>
      </c>
      <c r="D344" t="s">
        <v>72</v>
      </c>
      <c r="E344">
        <v>7868</v>
      </c>
      <c r="F344" t="s">
        <v>24</v>
      </c>
      <c r="H344" s="3" t="s">
        <v>73</v>
      </c>
      <c r="I344" s="3" t="s">
        <v>73</v>
      </c>
      <c r="J344" t="s">
        <v>21</v>
      </c>
      <c r="K344" t="s">
        <v>26</v>
      </c>
      <c r="L344" s="1">
        <v>45962</v>
      </c>
      <c r="M344" s="1">
        <v>45991</v>
      </c>
      <c r="N344" t="s">
        <v>27</v>
      </c>
      <c r="O344" t="s">
        <v>28</v>
      </c>
      <c r="Q344" t="s">
        <v>29</v>
      </c>
      <c r="R344" s="4" t="s">
        <v>74</v>
      </c>
      <c r="S344" s="4" t="s">
        <v>74</v>
      </c>
      <c r="T344" s="5">
        <v>23.8</v>
      </c>
    </row>
    <row r="345" spans="1:20" x14ac:dyDescent="0.3">
      <c r="A345">
        <v>37395</v>
      </c>
      <c r="B345" t="s">
        <v>21</v>
      </c>
      <c r="C345" s="3" t="s">
        <v>71</v>
      </c>
      <c r="D345" t="s">
        <v>72</v>
      </c>
      <c r="E345">
        <v>7868</v>
      </c>
      <c r="F345" t="s">
        <v>24</v>
      </c>
      <c r="H345" s="3" t="s">
        <v>73</v>
      </c>
      <c r="I345" s="3" t="s">
        <v>73</v>
      </c>
      <c r="J345" t="s">
        <v>21</v>
      </c>
      <c r="K345" t="s">
        <v>26</v>
      </c>
      <c r="L345" s="1">
        <v>45962</v>
      </c>
      <c r="M345" s="1">
        <v>45991</v>
      </c>
      <c r="N345" t="s">
        <v>27</v>
      </c>
      <c r="O345" t="s">
        <v>28</v>
      </c>
      <c r="Q345" t="s">
        <v>29</v>
      </c>
      <c r="R345" s="4" t="s">
        <v>75</v>
      </c>
      <c r="S345" s="4" t="s">
        <v>75</v>
      </c>
      <c r="T345" s="6">
        <v>11.5</v>
      </c>
    </row>
    <row r="346" spans="1:20" x14ac:dyDescent="0.3">
      <c r="A346">
        <v>37395</v>
      </c>
      <c r="B346" t="s">
        <v>21</v>
      </c>
      <c r="C346" s="3" t="s">
        <v>76</v>
      </c>
      <c r="D346" t="s">
        <v>77</v>
      </c>
      <c r="E346">
        <v>7868</v>
      </c>
      <c r="F346" t="s">
        <v>24</v>
      </c>
      <c r="H346" s="3" t="s">
        <v>78</v>
      </c>
      <c r="I346" s="3" t="s">
        <v>78</v>
      </c>
      <c r="J346" t="s">
        <v>21</v>
      </c>
      <c r="K346" t="s">
        <v>26</v>
      </c>
      <c r="L346" s="1">
        <v>45962</v>
      </c>
      <c r="M346" s="1">
        <v>45991</v>
      </c>
      <c r="N346" t="s">
        <v>27</v>
      </c>
      <c r="O346" t="s">
        <v>28</v>
      </c>
      <c r="Q346" t="s">
        <v>29</v>
      </c>
      <c r="R346" s="4" t="s">
        <v>79</v>
      </c>
      <c r="S346" s="4" t="s">
        <v>79</v>
      </c>
      <c r="T346" s="5">
        <v>15</v>
      </c>
    </row>
    <row r="347" spans="1:20" x14ac:dyDescent="0.3">
      <c r="A347">
        <v>37395</v>
      </c>
      <c r="B347" t="s">
        <v>21</v>
      </c>
      <c r="C347" s="3" t="s">
        <v>80</v>
      </c>
      <c r="D347" t="s">
        <v>81</v>
      </c>
      <c r="E347">
        <v>7868</v>
      </c>
      <c r="F347" t="s">
        <v>24</v>
      </c>
      <c r="H347" s="3" t="s">
        <v>82</v>
      </c>
      <c r="I347" s="3" t="s">
        <v>82</v>
      </c>
      <c r="J347" t="s">
        <v>21</v>
      </c>
      <c r="K347" t="s">
        <v>26</v>
      </c>
      <c r="L347" s="1">
        <v>45962</v>
      </c>
      <c r="M347" s="1">
        <v>45991</v>
      </c>
      <c r="N347" t="s">
        <v>27</v>
      </c>
      <c r="O347" t="s">
        <v>28</v>
      </c>
      <c r="Q347" t="s">
        <v>29</v>
      </c>
      <c r="R347" s="4" t="s">
        <v>83</v>
      </c>
      <c r="S347" s="4" t="s">
        <v>83</v>
      </c>
      <c r="T347" s="6">
        <v>0.5</v>
      </c>
    </row>
    <row r="348" spans="1:20" x14ac:dyDescent="0.3">
      <c r="A348">
        <v>37395</v>
      </c>
      <c r="B348" t="s">
        <v>21</v>
      </c>
      <c r="C348" s="3" t="s">
        <v>80</v>
      </c>
      <c r="D348" t="s">
        <v>81</v>
      </c>
      <c r="E348">
        <v>7868</v>
      </c>
      <c r="F348" t="s">
        <v>24</v>
      </c>
      <c r="H348" s="3" t="s">
        <v>82</v>
      </c>
      <c r="I348" s="3" t="s">
        <v>82</v>
      </c>
      <c r="J348" t="s">
        <v>21</v>
      </c>
      <c r="K348" t="s">
        <v>26</v>
      </c>
      <c r="L348" s="1">
        <v>45962</v>
      </c>
      <c r="M348" s="1">
        <v>45991</v>
      </c>
      <c r="N348" t="s">
        <v>27</v>
      </c>
      <c r="O348" t="s">
        <v>28</v>
      </c>
      <c r="Q348" t="s">
        <v>29</v>
      </c>
      <c r="R348" s="4" t="s">
        <v>84</v>
      </c>
      <c r="S348" s="4" t="s">
        <v>84</v>
      </c>
      <c r="T348" s="5">
        <v>6.4</v>
      </c>
    </row>
    <row r="349" spans="1:20" x14ac:dyDescent="0.3">
      <c r="A349">
        <v>37395</v>
      </c>
      <c r="B349" t="s">
        <v>21</v>
      </c>
      <c r="C349" s="3" t="s">
        <v>80</v>
      </c>
      <c r="D349" t="s">
        <v>81</v>
      </c>
      <c r="E349">
        <v>7868</v>
      </c>
      <c r="F349" t="s">
        <v>24</v>
      </c>
      <c r="H349" s="3" t="s">
        <v>82</v>
      </c>
      <c r="I349" s="3" t="s">
        <v>82</v>
      </c>
      <c r="J349" t="s">
        <v>21</v>
      </c>
      <c r="K349" t="s">
        <v>26</v>
      </c>
      <c r="L349" s="1">
        <v>45962</v>
      </c>
      <c r="M349" s="1">
        <v>45991</v>
      </c>
      <c r="N349" t="s">
        <v>27</v>
      </c>
      <c r="O349" t="s">
        <v>28</v>
      </c>
      <c r="Q349" t="s">
        <v>29</v>
      </c>
      <c r="R349" s="4" t="s">
        <v>85</v>
      </c>
      <c r="S349" s="4" t="s">
        <v>85</v>
      </c>
      <c r="T349" s="6">
        <v>2.8</v>
      </c>
    </row>
    <row r="350" spans="1:20" x14ac:dyDescent="0.3">
      <c r="A350">
        <v>37395</v>
      </c>
      <c r="B350" t="s">
        <v>21</v>
      </c>
      <c r="C350" s="3" t="s">
        <v>80</v>
      </c>
      <c r="D350" t="s">
        <v>81</v>
      </c>
      <c r="E350">
        <v>7868</v>
      </c>
      <c r="F350" t="s">
        <v>24</v>
      </c>
      <c r="H350" s="3" t="s">
        <v>82</v>
      </c>
      <c r="I350" s="3" t="s">
        <v>82</v>
      </c>
      <c r="J350" t="s">
        <v>21</v>
      </c>
      <c r="K350" t="s">
        <v>26</v>
      </c>
      <c r="L350" s="1">
        <v>45962</v>
      </c>
      <c r="M350" s="1">
        <v>45991</v>
      </c>
      <c r="N350" t="s">
        <v>27</v>
      </c>
      <c r="O350" t="s">
        <v>28</v>
      </c>
      <c r="Q350" t="s">
        <v>29</v>
      </c>
      <c r="R350" s="4" t="s">
        <v>86</v>
      </c>
      <c r="S350" s="4" t="s">
        <v>86</v>
      </c>
      <c r="T350" s="5">
        <v>0.1</v>
      </c>
    </row>
    <row r="351" spans="1:20" x14ac:dyDescent="0.3">
      <c r="A351">
        <v>37395</v>
      </c>
      <c r="B351" t="s">
        <v>21</v>
      </c>
      <c r="C351" s="3" t="s">
        <v>87</v>
      </c>
      <c r="D351" t="s">
        <v>88</v>
      </c>
      <c r="E351">
        <v>7868</v>
      </c>
      <c r="F351" t="s">
        <v>24</v>
      </c>
      <c r="H351" s="3" t="s">
        <v>89</v>
      </c>
      <c r="I351" s="3" t="s">
        <v>89</v>
      </c>
      <c r="J351" t="s">
        <v>21</v>
      </c>
      <c r="K351" t="s">
        <v>26</v>
      </c>
      <c r="L351" s="1">
        <v>45962</v>
      </c>
      <c r="M351" s="1">
        <v>45991</v>
      </c>
      <c r="N351" t="s">
        <v>27</v>
      </c>
      <c r="O351" t="s">
        <v>28</v>
      </c>
      <c r="Q351" t="s">
        <v>29</v>
      </c>
      <c r="R351" s="4" t="s">
        <v>90</v>
      </c>
      <c r="S351" s="4" t="s">
        <v>90</v>
      </c>
      <c r="T351" s="6">
        <v>0</v>
      </c>
    </row>
    <row r="352" spans="1:20" x14ac:dyDescent="0.3">
      <c r="A352">
        <v>37395</v>
      </c>
      <c r="B352" t="s">
        <v>21</v>
      </c>
      <c r="C352" s="3" t="s">
        <v>87</v>
      </c>
      <c r="D352" t="s">
        <v>88</v>
      </c>
      <c r="E352">
        <v>7868</v>
      </c>
      <c r="F352" t="s">
        <v>24</v>
      </c>
      <c r="H352" s="3" t="s">
        <v>89</v>
      </c>
      <c r="I352" s="3" t="s">
        <v>89</v>
      </c>
      <c r="J352" t="s">
        <v>21</v>
      </c>
      <c r="K352" t="s">
        <v>26</v>
      </c>
      <c r="L352" s="1">
        <v>45962</v>
      </c>
      <c r="M352" s="1">
        <v>45991</v>
      </c>
      <c r="N352" t="s">
        <v>27</v>
      </c>
      <c r="O352" t="s">
        <v>28</v>
      </c>
      <c r="Q352" t="s">
        <v>29</v>
      </c>
      <c r="R352" s="4" t="s">
        <v>91</v>
      </c>
      <c r="S352" s="4" t="s">
        <v>91</v>
      </c>
      <c r="T352" s="5">
        <v>0.1</v>
      </c>
    </row>
    <row r="353" spans="1:20" x14ac:dyDescent="0.3">
      <c r="A353">
        <v>37395</v>
      </c>
      <c r="B353" t="s">
        <v>21</v>
      </c>
      <c r="C353" s="3" t="s">
        <v>87</v>
      </c>
      <c r="D353" t="s">
        <v>88</v>
      </c>
      <c r="E353">
        <v>7868</v>
      </c>
      <c r="F353" t="s">
        <v>24</v>
      </c>
      <c r="H353" s="3" t="s">
        <v>89</v>
      </c>
      <c r="I353" s="3" t="s">
        <v>89</v>
      </c>
      <c r="J353" t="s">
        <v>21</v>
      </c>
      <c r="K353" t="s">
        <v>26</v>
      </c>
      <c r="L353" s="1">
        <v>45962</v>
      </c>
      <c r="M353" s="1">
        <v>45991</v>
      </c>
      <c r="N353" t="s">
        <v>27</v>
      </c>
      <c r="O353" t="s">
        <v>28</v>
      </c>
      <c r="Q353" t="s">
        <v>29</v>
      </c>
      <c r="R353" s="4" t="s">
        <v>92</v>
      </c>
      <c r="S353" s="4" t="s">
        <v>92</v>
      </c>
      <c r="T353" s="6">
        <v>0.1</v>
      </c>
    </row>
    <row r="354" spans="1:20" x14ac:dyDescent="0.3">
      <c r="A354">
        <v>37395</v>
      </c>
      <c r="B354" t="s">
        <v>21</v>
      </c>
      <c r="C354" s="3" t="s">
        <v>93</v>
      </c>
      <c r="D354" t="s">
        <v>94</v>
      </c>
      <c r="E354">
        <v>7868</v>
      </c>
      <c r="F354" t="s">
        <v>24</v>
      </c>
      <c r="H354" s="3" t="s">
        <v>95</v>
      </c>
      <c r="I354" s="3" t="s">
        <v>95</v>
      </c>
      <c r="J354" t="s">
        <v>21</v>
      </c>
      <c r="K354" t="s">
        <v>26</v>
      </c>
      <c r="L354" s="1">
        <v>45962</v>
      </c>
      <c r="M354" s="1">
        <v>45991</v>
      </c>
      <c r="N354" t="s">
        <v>27</v>
      </c>
      <c r="O354" t="s">
        <v>28</v>
      </c>
      <c r="Q354" t="s">
        <v>29</v>
      </c>
      <c r="R354" s="4" t="s">
        <v>96</v>
      </c>
      <c r="S354" s="4" t="s">
        <v>96</v>
      </c>
      <c r="T354" s="5">
        <v>0.1</v>
      </c>
    </row>
    <row r="355" spans="1:20" x14ac:dyDescent="0.3">
      <c r="A355">
        <v>37395</v>
      </c>
      <c r="B355" t="s">
        <v>21</v>
      </c>
      <c r="C355" s="3" t="s">
        <v>97</v>
      </c>
      <c r="D355" t="s">
        <v>98</v>
      </c>
      <c r="E355">
        <v>7868</v>
      </c>
      <c r="F355" t="s">
        <v>24</v>
      </c>
      <c r="H355" s="3" t="s">
        <v>99</v>
      </c>
      <c r="I355" s="3" t="s">
        <v>99</v>
      </c>
      <c r="J355" t="s">
        <v>21</v>
      </c>
      <c r="K355" t="s">
        <v>26</v>
      </c>
      <c r="L355" s="1">
        <v>45962</v>
      </c>
      <c r="M355" s="1">
        <v>45991</v>
      </c>
      <c r="N355" t="s">
        <v>27</v>
      </c>
      <c r="O355" t="s">
        <v>28</v>
      </c>
      <c r="Q355" t="s">
        <v>29</v>
      </c>
      <c r="R355" s="4" t="s">
        <v>100</v>
      </c>
      <c r="S355" s="4" t="s">
        <v>100</v>
      </c>
      <c r="T355" s="6">
        <v>0</v>
      </c>
    </row>
    <row r="356" spans="1:20" x14ac:dyDescent="0.3">
      <c r="A356">
        <v>37395</v>
      </c>
      <c r="B356" t="s">
        <v>21</v>
      </c>
      <c r="C356" s="3" t="s">
        <v>97</v>
      </c>
      <c r="D356" t="s">
        <v>98</v>
      </c>
      <c r="E356">
        <v>7868</v>
      </c>
      <c r="F356" t="s">
        <v>24</v>
      </c>
      <c r="H356" s="3" t="s">
        <v>99</v>
      </c>
      <c r="I356" s="3" t="s">
        <v>99</v>
      </c>
      <c r="J356" t="s">
        <v>21</v>
      </c>
      <c r="K356" t="s">
        <v>26</v>
      </c>
      <c r="L356" s="1">
        <v>45962</v>
      </c>
      <c r="M356" s="1">
        <v>45991</v>
      </c>
      <c r="N356" t="s">
        <v>27</v>
      </c>
      <c r="O356" t="s">
        <v>28</v>
      </c>
      <c r="Q356" t="s">
        <v>29</v>
      </c>
      <c r="R356" s="4" t="s">
        <v>101</v>
      </c>
      <c r="S356" s="4" t="s">
        <v>101</v>
      </c>
      <c r="T356" s="5">
        <v>23.5</v>
      </c>
    </row>
    <row r="357" spans="1:20" x14ac:dyDescent="0.3">
      <c r="A357">
        <v>37395</v>
      </c>
      <c r="B357" t="s">
        <v>21</v>
      </c>
      <c r="C357" s="3" t="s">
        <v>102</v>
      </c>
      <c r="D357" t="s">
        <v>103</v>
      </c>
      <c r="E357">
        <v>7868</v>
      </c>
      <c r="F357" t="s">
        <v>24</v>
      </c>
      <c r="H357" s="3" t="s">
        <v>104</v>
      </c>
      <c r="I357" s="3" t="s">
        <v>104</v>
      </c>
      <c r="J357" t="s">
        <v>21</v>
      </c>
      <c r="K357" t="s">
        <v>26</v>
      </c>
      <c r="L357" s="1">
        <v>45962</v>
      </c>
      <c r="M357" s="1">
        <v>45991</v>
      </c>
      <c r="N357" t="s">
        <v>27</v>
      </c>
      <c r="O357" t="s">
        <v>28</v>
      </c>
      <c r="Q357" t="s">
        <v>29</v>
      </c>
      <c r="R357" s="4" t="s">
        <v>105</v>
      </c>
      <c r="S357" s="4" t="s">
        <v>105</v>
      </c>
      <c r="T357" s="6">
        <v>0</v>
      </c>
    </row>
    <row r="358" spans="1:20" x14ac:dyDescent="0.3">
      <c r="A358">
        <v>37395</v>
      </c>
      <c r="B358" t="s">
        <v>21</v>
      </c>
      <c r="C358" s="3" t="s">
        <v>106</v>
      </c>
      <c r="D358" t="s">
        <v>107</v>
      </c>
      <c r="E358">
        <v>7868</v>
      </c>
      <c r="F358" t="s">
        <v>24</v>
      </c>
      <c r="H358" s="3" t="s">
        <v>108</v>
      </c>
      <c r="I358" s="3" t="s">
        <v>108</v>
      </c>
      <c r="J358" t="s">
        <v>21</v>
      </c>
      <c r="K358" t="s">
        <v>26</v>
      </c>
      <c r="L358" s="1">
        <v>45962</v>
      </c>
      <c r="M358" s="1">
        <v>45991</v>
      </c>
      <c r="N358" t="s">
        <v>27</v>
      </c>
      <c r="O358" t="s">
        <v>28</v>
      </c>
      <c r="Q358" t="s">
        <v>29</v>
      </c>
      <c r="R358" s="4" t="s">
        <v>109</v>
      </c>
      <c r="S358" s="4" t="s">
        <v>109</v>
      </c>
      <c r="T358" s="5">
        <v>33.700000000000003</v>
      </c>
    </row>
    <row r="359" spans="1:20" x14ac:dyDescent="0.3">
      <c r="A359">
        <v>37395</v>
      </c>
      <c r="B359" t="s">
        <v>21</v>
      </c>
      <c r="C359" s="3" t="s">
        <v>106</v>
      </c>
      <c r="D359" t="s">
        <v>107</v>
      </c>
      <c r="E359">
        <v>7868</v>
      </c>
      <c r="F359" t="s">
        <v>24</v>
      </c>
      <c r="H359" s="3" t="s">
        <v>108</v>
      </c>
      <c r="I359" s="3" t="s">
        <v>108</v>
      </c>
      <c r="J359" t="s">
        <v>21</v>
      </c>
      <c r="K359" t="s">
        <v>26</v>
      </c>
      <c r="L359" s="1">
        <v>45962</v>
      </c>
      <c r="M359" s="1">
        <v>45991</v>
      </c>
      <c r="N359" t="s">
        <v>27</v>
      </c>
      <c r="O359" t="s">
        <v>28</v>
      </c>
      <c r="Q359" t="s">
        <v>29</v>
      </c>
      <c r="R359" s="4" t="s">
        <v>110</v>
      </c>
      <c r="S359" s="4" t="s">
        <v>110</v>
      </c>
      <c r="T359" s="6">
        <v>1.9</v>
      </c>
    </row>
    <row r="360" spans="1:20" x14ac:dyDescent="0.3">
      <c r="A360">
        <v>37395</v>
      </c>
      <c r="B360" t="s">
        <v>21</v>
      </c>
      <c r="C360" s="3" t="s">
        <v>106</v>
      </c>
      <c r="D360" t="s">
        <v>107</v>
      </c>
      <c r="E360">
        <v>7868</v>
      </c>
      <c r="F360" t="s">
        <v>24</v>
      </c>
      <c r="H360" s="3" t="s">
        <v>108</v>
      </c>
      <c r="I360" s="3" t="s">
        <v>108</v>
      </c>
      <c r="J360" t="s">
        <v>21</v>
      </c>
      <c r="K360" t="s">
        <v>26</v>
      </c>
      <c r="L360" s="1">
        <v>45962</v>
      </c>
      <c r="M360" s="1">
        <v>45991</v>
      </c>
      <c r="N360" t="s">
        <v>27</v>
      </c>
      <c r="O360" t="s">
        <v>28</v>
      </c>
      <c r="Q360" t="s">
        <v>29</v>
      </c>
      <c r="R360" s="4" t="s">
        <v>111</v>
      </c>
      <c r="S360" s="4" t="s">
        <v>111</v>
      </c>
      <c r="T360" s="5">
        <v>3.6</v>
      </c>
    </row>
    <row r="361" spans="1:20" x14ac:dyDescent="0.3">
      <c r="A361">
        <v>37395</v>
      </c>
      <c r="B361" t="s">
        <v>21</v>
      </c>
      <c r="C361" s="3" t="s">
        <v>106</v>
      </c>
      <c r="D361" t="s">
        <v>107</v>
      </c>
      <c r="E361">
        <v>7868</v>
      </c>
      <c r="F361" t="s">
        <v>24</v>
      </c>
      <c r="H361" s="3" t="s">
        <v>108</v>
      </c>
      <c r="I361" s="3" t="s">
        <v>108</v>
      </c>
      <c r="J361" t="s">
        <v>21</v>
      </c>
      <c r="K361" t="s">
        <v>26</v>
      </c>
      <c r="L361" s="1">
        <v>45962</v>
      </c>
      <c r="M361" s="1">
        <v>45991</v>
      </c>
      <c r="N361" t="s">
        <v>27</v>
      </c>
      <c r="O361" t="s">
        <v>28</v>
      </c>
      <c r="Q361" t="s">
        <v>29</v>
      </c>
      <c r="R361" s="4" t="s">
        <v>112</v>
      </c>
      <c r="S361" s="4" t="s">
        <v>112</v>
      </c>
      <c r="T361" s="6">
        <v>0.8</v>
      </c>
    </row>
    <row r="362" spans="1:20" x14ac:dyDescent="0.3">
      <c r="A362">
        <v>37395</v>
      </c>
      <c r="B362" t="s">
        <v>21</v>
      </c>
      <c r="C362" s="3" t="s">
        <v>106</v>
      </c>
      <c r="D362" t="s">
        <v>107</v>
      </c>
      <c r="E362">
        <v>7868</v>
      </c>
      <c r="F362" t="s">
        <v>24</v>
      </c>
      <c r="H362" s="3" t="s">
        <v>108</v>
      </c>
      <c r="I362" s="3" t="s">
        <v>108</v>
      </c>
      <c r="J362" t="s">
        <v>21</v>
      </c>
      <c r="K362" t="s">
        <v>26</v>
      </c>
      <c r="L362" s="1">
        <v>45962</v>
      </c>
      <c r="M362" s="1">
        <v>45991</v>
      </c>
      <c r="N362" t="s">
        <v>27</v>
      </c>
      <c r="O362" t="s">
        <v>28</v>
      </c>
      <c r="Q362" t="s">
        <v>29</v>
      </c>
      <c r="R362" s="4" t="s">
        <v>113</v>
      </c>
      <c r="S362" s="4" t="s">
        <v>113</v>
      </c>
      <c r="T362" s="5">
        <v>0.4</v>
      </c>
    </row>
    <row r="363" spans="1:20" x14ac:dyDescent="0.3">
      <c r="A363">
        <v>37395</v>
      </c>
      <c r="B363" t="s">
        <v>21</v>
      </c>
      <c r="C363" s="3" t="s">
        <v>106</v>
      </c>
      <c r="D363" t="s">
        <v>107</v>
      </c>
      <c r="E363">
        <v>7868</v>
      </c>
      <c r="F363" t="s">
        <v>24</v>
      </c>
      <c r="H363" s="3" t="s">
        <v>108</v>
      </c>
      <c r="I363" s="3" t="s">
        <v>108</v>
      </c>
      <c r="J363" t="s">
        <v>21</v>
      </c>
      <c r="K363" t="s">
        <v>26</v>
      </c>
      <c r="L363" s="1">
        <v>45962</v>
      </c>
      <c r="M363" s="1">
        <v>45991</v>
      </c>
      <c r="N363" t="s">
        <v>27</v>
      </c>
      <c r="O363" t="s">
        <v>28</v>
      </c>
      <c r="Q363" t="s">
        <v>29</v>
      </c>
      <c r="R363" s="4" t="s">
        <v>114</v>
      </c>
      <c r="S363" s="4" t="s">
        <v>114</v>
      </c>
      <c r="T363" s="6">
        <v>12.1</v>
      </c>
    </row>
    <row r="364" spans="1:20" x14ac:dyDescent="0.3">
      <c r="A364">
        <v>37395</v>
      </c>
      <c r="B364" t="s">
        <v>21</v>
      </c>
      <c r="C364" s="3" t="s">
        <v>106</v>
      </c>
      <c r="D364" t="s">
        <v>107</v>
      </c>
      <c r="E364">
        <v>7868</v>
      </c>
      <c r="F364" t="s">
        <v>24</v>
      </c>
      <c r="H364" s="3" t="s">
        <v>108</v>
      </c>
      <c r="I364" s="3" t="s">
        <v>108</v>
      </c>
      <c r="J364" t="s">
        <v>21</v>
      </c>
      <c r="K364" t="s">
        <v>26</v>
      </c>
      <c r="L364" s="1">
        <v>45962</v>
      </c>
      <c r="M364" s="1">
        <v>45991</v>
      </c>
      <c r="N364" t="s">
        <v>27</v>
      </c>
      <c r="O364" t="s">
        <v>28</v>
      </c>
      <c r="Q364" t="s">
        <v>29</v>
      </c>
      <c r="R364" s="4" t="s">
        <v>115</v>
      </c>
      <c r="S364" s="4" t="s">
        <v>115</v>
      </c>
      <c r="T364" s="5">
        <v>0</v>
      </c>
    </row>
    <row r="365" spans="1:20" x14ac:dyDescent="0.3">
      <c r="A365">
        <v>37395</v>
      </c>
      <c r="B365" t="s">
        <v>21</v>
      </c>
      <c r="C365" s="3" t="s">
        <v>116</v>
      </c>
      <c r="D365" t="s">
        <v>117</v>
      </c>
      <c r="E365">
        <v>7868</v>
      </c>
      <c r="F365" t="s">
        <v>24</v>
      </c>
      <c r="H365" s="3" t="s">
        <v>118</v>
      </c>
      <c r="I365" s="3" t="s">
        <v>118</v>
      </c>
      <c r="J365" t="s">
        <v>21</v>
      </c>
      <c r="K365" t="s">
        <v>26</v>
      </c>
      <c r="L365" s="1">
        <v>45962</v>
      </c>
      <c r="M365" s="1">
        <v>45991</v>
      </c>
      <c r="N365" t="s">
        <v>27</v>
      </c>
      <c r="O365" t="s">
        <v>28</v>
      </c>
      <c r="Q365" t="s">
        <v>29</v>
      </c>
      <c r="R365" s="4" t="s">
        <v>119</v>
      </c>
      <c r="S365" s="4" t="s">
        <v>119</v>
      </c>
      <c r="T365" s="6">
        <v>1.3</v>
      </c>
    </row>
    <row r="366" spans="1:20" x14ac:dyDescent="0.3">
      <c r="A366">
        <v>37395</v>
      </c>
      <c r="B366" t="s">
        <v>21</v>
      </c>
      <c r="C366" s="3" t="s">
        <v>116</v>
      </c>
      <c r="D366" t="s">
        <v>117</v>
      </c>
      <c r="E366">
        <v>7868</v>
      </c>
      <c r="F366" t="s">
        <v>24</v>
      </c>
      <c r="H366" s="3" t="s">
        <v>118</v>
      </c>
      <c r="I366" s="3" t="s">
        <v>118</v>
      </c>
      <c r="J366" t="s">
        <v>21</v>
      </c>
      <c r="K366" t="s">
        <v>26</v>
      </c>
      <c r="L366" s="1">
        <v>45962</v>
      </c>
      <c r="M366" s="1">
        <v>45991</v>
      </c>
      <c r="N366" t="s">
        <v>27</v>
      </c>
      <c r="O366" t="s">
        <v>28</v>
      </c>
      <c r="Q366" t="s">
        <v>29</v>
      </c>
      <c r="R366" s="4" t="s">
        <v>120</v>
      </c>
      <c r="S366" s="4" t="s">
        <v>120</v>
      </c>
      <c r="T366" s="5">
        <v>0.1</v>
      </c>
    </row>
    <row r="367" spans="1:20" x14ac:dyDescent="0.3">
      <c r="A367">
        <v>37395</v>
      </c>
      <c r="B367" t="s">
        <v>21</v>
      </c>
      <c r="C367" s="3" t="s">
        <v>116</v>
      </c>
      <c r="D367" t="s">
        <v>117</v>
      </c>
      <c r="E367">
        <v>7868</v>
      </c>
      <c r="F367" t="s">
        <v>24</v>
      </c>
      <c r="H367" s="3" t="s">
        <v>118</v>
      </c>
      <c r="I367" s="3" t="s">
        <v>118</v>
      </c>
      <c r="J367" t="s">
        <v>21</v>
      </c>
      <c r="K367" t="s">
        <v>26</v>
      </c>
      <c r="L367" s="1">
        <v>45962</v>
      </c>
      <c r="M367" s="1">
        <v>45991</v>
      </c>
      <c r="N367" t="s">
        <v>27</v>
      </c>
      <c r="O367" t="s">
        <v>28</v>
      </c>
      <c r="Q367" t="s">
        <v>29</v>
      </c>
      <c r="R367" s="4" t="s">
        <v>121</v>
      </c>
      <c r="S367" s="4" t="s">
        <v>121</v>
      </c>
      <c r="T367" s="6">
        <v>8.1</v>
      </c>
    </row>
    <row r="368" spans="1:20" x14ac:dyDescent="0.3">
      <c r="A368">
        <v>37395</v>
      </c>
      <c r="B368" t="s">
        <v>21</v>
      </c>
      <c r="C368" s="3" t="s">
        <v>122</v>
      </c>
      <c r="D368" t="s">
        <v>123</v>
      </c>
      <c r="E368">
        <v>7868</v>
      </c>
      <c r="F368" t="s">
        <v>24</v>
      </c>
      <c r="H368" s="3" t="s">
        <v>124</v>
      </c>
      <c r="I368" s="3" t="s">
        <v>124</v>
      </c>
      <c r="J368" t="s">
        <v>21</v>
      </c>
      <c r="K368" t="s">
        <v>26</v>
      </c>
      <c r="L368" s="1">
        <v>45962</v>
      </c>
      <c r="M368" s="1">
        <v>45991</v>
      </c>
      <c r="N368" t="s">
        <v>27</v>
      </c>
      <c r="O368" t="s">
        <v>28</v>
      </c>
      <c r="Q368" t="s">
        <v>29</v>
      </c>
      <c r="R368" s="4" t="s">
        <v>125</v>
      </c>
      <c r="S368" s="4" t="s">
        <v>125</v>
      </c>
      <c r="T368" s="5">
        <v>21.2</v>
      </c>
    </row>
    <row r="369" spans="1:20" x14ac:dyDescent="0.3">
      <c r="A369">
        <v>37395</v>
      </c>
      <c r="B369" t="s">
        <v>21</v>
      </c>
      <c r="C369" s="3" t="s">
        <v>122</v>
      </c>
      <c r="D369" t="s">
        <v>123</v>
      </c>
      <c r="E369">
        <v>7868</v>
      </c>
      <c r="F369" t="s">
        <v>24</v>
      </c>
      <c r="H369" s="3" t="s">
        <v>124</v>
      </c>
      <c r="I369" s="3" t="s">
        <v>124</v>
      </c>
      <c r="J369" t="s">
        <v>21</v>
      </c>
      <c r="K369" t="s">
        <v>26</v>
      </c>
      <c r="L369" s="1">
        <v>45962</v>
      </c>
      <c r="M369" s="1">
        <v>45991</v>
      </c>
      <c r="N369" t="s">
        <v>27</v>
      </c>
      <c r="O369" t="s">
        <v>28</v>
      </c>
      <c r="Q369" t="s">
        <v>29</v>
      </c>
      <c r="R369" s="4" t="s">
        <v>126</v>
      </c>
      <c r="S369" s="4" t="s">
        <v>126</v>
      </c>
      <c r="T369" s="6">
        <v>0</v>
      </c>
    </row>
    <row r="370" spans="1:20" x14ac:dyDescent="0.3">
      <c r="A370">
        <v>37395</v>
      </c>
      <c r="B370" t="s">
        <v>21</v>
      </c>
      <c r="C370" s="3" t="s">
        <v>122</v>
      </c>
      <c r="D370" t="s">
        <v>123</v>
      </c>
      <c r="E370">
        <v>7868</v>
      </c>
      <c r="F370" t="s">
        <v>24</v>
      </c>
      <c r="H370" s="3" t="s">
        <v>124</v>
      </c>
      <c r="I370" s="3" t="s">
        <v>124</v>
      </c>
      <c r="J370" t="s">
        <v>21</v>
      </c>
      <c r="K370" t="s">
        <v>26</v>
      </c>
      <c r="L370" s="1">
        <v>45962</v>
      </c>
      <c r="M370" s="1">
        <v>45991</v>
      </c>
      <c r="N370" t="s">
        <v>27</v>
      </c>
      <c r="O370" t="s">
        <v>28</v>
      </c>
      <c r="Q370" t="s">
        <v>29</v>
      </c>
      <c r="R370" s="4" t="s">
        <v>127</v>
      </c>
      <c r="S370" s="4" t="s">
        <v>127</v>
      </c>
      <c r="T370" s="5">
        <v>0.2</v>
      </c>
    </row>
    <row r="371" spans="1:20" x14ac:dyDescent="0.3">
      <c r="A371">
        <v>37395</v>
      </c>
      <c r="B371" t="s">
        <v>21</v>
      </c>
      <c r="C371" s="3" t="s">
        <v>122</v>
      </c>
      <c r="D371" t="s">
        <v>123</v>
      </c>
      <c r="E371">
        <v>7868</v>
      </c>
      <c r="F371" t="s">
        <v>24</v>
      </c>
      <c r="H371" s="3" t="s">
        <v>124</v>
      </c>
      <c r="I371" s="3" t="s">
        <v>124</v>
      </c>
      <c r="J371" t="s">
        <v>21</v>
      </c>
      <c r="K371" t="s">
        <v>26</v>
      </c>
      <c r="L371" s="1">
        <v>45962</v>
      </c>
      <c r="M371" s="1">
        <v>45991</v>
      </c>
      <c r="N371" t="s">
        <v>27</v>
      </c>
      <c r="O371" t="s">
        <v>28</v>
      </c>
      <c r="Q371" t="s">
        <v>29</v>
      </c>
      <c r="R371" s="4" t="s">
        <v>128</v>
      </c>
      <c r="S371" s="4" t="s">
        <v>128</v>
      </c>
      <c r="T371" s="6">
        <v>27.8</v>
      </c>
    </row>
    <row r="372" spans="1:20" x14ac:dyDescent="0.3">
      <c r="A372">
        <v>37395</v>
      </c>
      <c r="B372" t="s">
        <v>21</v>
      </c>
      <c r="C372" s="3" t="s">
        <v>122</v>
      </c>
      <c r="D372" t="s">
        <v>123</v>
      </c>
      <c r="E372">
        <v>7868</v>
      </c>
      <c r="F372" t="s">
        <v>24</v>
      </c>
      <c r="H372" s="3" t="s">
        <v>124</v>
      </c>
      <c r="I372" s="3" t="s">
        <v>124</v>
      </c>
      <c r="J372" t="s">
        <v>21</v>
      </c>
      <c r="K372" t="s">
        <v>26</v>
      </c>
      <c r="L372" s="1">
        <v>45962</v>
      </c>
      <c r="M372" s="1">
        <v>45991</v>
      </c>
      <c r="N372" t="s">
        <v>27</v>
      </c>
      <c r="O372" t="s">
        <v>28</v>
      </c>
      <c r="Q372" t="s">
        <v>29</v>
      </c>
      <c r="R372" s="4" t="s">
        <v>129</v>
      </c>
      <c r="S372" s="4" t="s">
        <v>129</v>
      </c>
      <c r="T372" s="5">
        <v>11.4</v>
      </c>
    </row>
    <row r="373" spans="1:20" x14ac:dyDescent="0.3">
      <c r="A373">
        <v>37395</v>
      </c>
      <c r="B373" t="s">
        <v>21</v>
      </c>
      <c r="C373" s="3" t="s">
        <v>122</v>
      </c>
      <c r="D373" t="s">
        <v>123</v>
      </c>
      <c r="E373">
        <v>7868</v>
      </c>
      <c r="F373" t="s">
        <v>24</v>
      </c>
      <c r="H373" s="3" t="s">
        <v>124</v>
      </c>
      <c r="I373" s="3" t="s">
        <v>124</v>
      </c>
      <c r="J373" t="s">
        <v>21</v>
      </c>
      <c r="K373" t="s">
        <v>26</v>
      </c>
      <c r="L373" s="1">
        <v>45962</v>
      </c>
      <c r="M373" s="1">
        <v>45991</v>
      </c>
      <c r="N373" t="s">
        <v>27</v>
      </c>
      <c r="O373" t="s">
        <v>28</v>
      </c>
      <c r="Q373" t="s">
        <v>29</v>
      </c>
      <c r="R373" s="4" t="s">
        <v>130</v>
      </c>
      <c r="S373" s="4" t="s">
        <v>130</v>
      </c>
      <c r="T373" s="6">
        <v>0</v>
      </c>
    </row>
    <row r="374" spans="1:20" x14ac:dyDescent="0.3">
      <c r="A374">
        <v>37395</v>
      </c>
      <c r="B374" t="s">
        <v>21</v>
      </c>
      <c r="C374" s="3" t="s">
        <v>122</v>
      </c>
      <c r="D374" t="s">
        <v>123</v>
      </c>
      <c r="E374">
        <v>7868</v>
      </c>
      <c r="F374" t="s">
        <v>24</v>
      </c>
      <c r="H374" s="3" t="s">
        <v>124</v>
      </c>
      <c r="I374" s="3" t="s">
        <v>124</v>
      </c>
      <c r="J374" t="s">
        <v>21</v>
      </c>
      <c r="K374" t="s">
        <v>26</v>
      </c>
      <c r="L374" s="1">
        <v>45962</v>
      </c>
      <c r="M374" s="1">
        <v>45991</v>
      </c>
      <c r="N374" t="s">
        <v>27</v>
      </c>
      <c r="O374" t="s">
        <v>28</v>
      </c>
      <c r="Q374" t="s">
        <v>29</v>
      </c>
      <c r="R374" s="4" t="s">
        <v>131</v>
      </c>
      <c r="S374" s="4" t="s">
        <v>131</v>
      </c>
      <c r="T374" s="5">
        <v>10.6</v>
      </c>
    </row>
    <row r="375" spans="1:20" x14ac:dyDescent="0.3">
      <c r="A375">
        <v>37395</v>
      </c>
      <c r="B375" t="s">
        <v>21</v>
      </c>
      <c r="C375" s="3" t="s">
        <v>132</v>
      </c>
      <c r="D375" t="s">
        <v>133</v>
      </c>
      <c r="E375">
        <v>7868</v>
      </c>
      <c r="F375" t="s">
        <v>24</v>
      </c>
      <c r="H375" s="3" t="s">
        <v>134</v>
      </c>
      <c r="I375" s="3" t="s">
        <v>134</v>
      </c>
      <c r="J375" t="s">
        <v>21</v>
      </c>
      <c r="K375" t="s">
        <v>26</v>
      </c>
      <c r="L375" s="1">
        <v>45962</v>
      </c>
      <c r="M375" s="1">
        <v>45991</v>
      </c>
      <c r="N375" t="s">
        <v>27</v>
      </c>
      <c r="O375" t="s">
        <v>28</v>
      </c>
      <c r="Q375" t="s">
        <v>29</v>
      </c>
      <c r="R375" s="4" t="s">
        <v>135</v>
      </c>
      <c r="S375" s="4" t="s">
        <v>135</v>
      </c>
      <c r="T375" s="6">
        <v>3.6</v>
      </c>
    </row>
    <row r="376" spans="1:20" x14ac:dyDescent="0.3">
      <c r="A376">
        <v>37395</v>
      </c>
      <c r="B376" t="s">
        <v>21</v>
      </c>
      <c r="C376" s="3" t="s">
        <v>132</v>
      </c>
      <c r="D376" t="s">
        <v>133</v>
      </c>
      <c r="E376">
        <v>7868</v>
      </c>
      <c r="F376" t="s">
        <v>24</v>
      </c>
      <c r="H376" s="3" t="s">
        <v>134</v>
      </c>
      <c r="I376" s="3" t="s">
        <v>134</v>
      </c>
      <c r="J376" t="s">
        <v>21</v>
      </c>
      <c r="K376" t="s">
        <v>26</v>
      </c>
      <c r="L376" s="1">
        <v>45962</v>
      </c>
      <c r="M376" s="1">
        <v>45991</v>
      </c>
      <c r="N376" t="s">
        <v>27</v>
      </c>
      <c r="O376" t="s">
        <v>28</v>
      </c>
      <c r="Q376" t="s">
        <v>29</v>
      </c>
      <c r="R376" s="4" t="s">
        <v>136</v>
      </c>
      <c r="S376" s="4" t="s">
        <v>136</v>
      </c>
      <c r="T376" s="5">
        <v>28.9</v>
      </c>
    </row>
    <row r="377" spans="1:20" x14ac:dyDescent="0.3">
      <c r="A377">
        <v>37395</v>
      </c>
      <c r="B377" t="s">
        <v>21</v>
      </c>
      <c r="C377" s="3" t="s">
        <v>132</v>
      </c>
      <c r="D377" t="s">
        <v>133</v>
      </c>
      <c r="E377">
        <v>7868</v>
      </c>
      <c r="F377" t="s">
        <v>24</v>
      </c>
      <c r="H377" s="3" t="s">
        <v>134</v>
      </c>
      <c r="I377" s="3" t="s">
        <v>134</v>
      </c>
      <c r="J377" t="s">
        <v>21</v>
      </c>
      <c r="K377" t="s">
        <v>26</v>
      </c>
      <c r="L377" s="1">
        <v>45962</v>
      </c>
      <c r="M377" s="1">
        <v>45991</v>
      </c>
      <c r="N377" t="s">
        <v>27</v>
      </c>
      <c r="O377" t="s">
        <v>28</v>
      </c>
      <c r="Q377" t="s">
        <v>29</v>
      </c>
      <c r="R377" s="4" t="s">
        <v>137</v>
      </c>
      <c r="S377" s="4" t="s">
        <v>137</v>
      </c>
      <c r="T377" s="6">
        <v>0</v>
      </c>
    </row>
    <row r="378" spans="1:20" x14ac:dyDescent="0.3">
      <c r="A378">
        <v>37395</v>
      </c>
      <c r="B378" t="s">
        <v>21</v>
      </c>
      <c r="C378" s="3" t="s">
        <v>132</v>
      </c>
      <c r="D378" t="s">
        <v>133</v>
      </c>
      <c r="E378">
        <v>7868</v>
      </c>
      <c r="F378" t="s">
        <v>24</v>
      </c>
      <c r="H378" s="3" t="s">
        <v>134</v>
      </c>
      <c r="I378" s="3" t="s">
        <v>134</v>
      </c>
      <c r="J378" t="s">
        <v>21</v>
      </c>
      <c r="K378" t="s">
        <v>26</v>
      </c>
      <c r="L378" s="1">
        <v>45962</v>
      </c>
      <c r="M378" s="1">
        <v>45991</v>
      </c>
      <c r="N378" t="s">
        <v>27</v>
      </c>
      <c r="O378" t="s">
        <v>28</v>
      </c>
      <c r="Q378" t="s">
        <v>29</v>
      </c>
      <c r="R378" s="4" t="s">
        <v>138</v>
      </c>
      <c r="S378" s="4" t="s">
        <v>138</v>
      </c>
      <c r="T378" s="5">
        <v>0</v>
      </c>
    </row>
    <row r="379" spans="1:20" x14ac:dyDescent="0.3">
      <c r="A379">
        <v>37395</v>
      </c>
      <c r="B379" t="s">
        <v>21</v>
      </c>
      <c r="C379" s="3" t="s">
        <v>139</v>
      </c>
      <c r="D379" t="s">
        <v>140</v>
      </c>
      <c r="E379">
        <v>7868</v>
      </c>
      <c r="F379" t="s">
        <v>24</v>
      </c>
      <c r="H379" s="3" t="s">
        <v>141</v>
      </c>
      <c r="I379" s="3" t="s">
        <v>141</v>
      </c>
      <c r="J379" t="s">
        <v>21</v>
      </c>
      <c r="K379" t="s">
        <v>26</v>
      </c>
      <c r="L379" s="1">
        <v>45962</v>
      </c>
      <c r="M379" s="1">
        <v>45991</v>
      </c>
      <c r="N379" t="s">
        <v>27</v>
      </c>
      <c r="O379" t="s">
        <v>28</v>
      </c>
      <c r="Q379" t="s">
        <v>29</v>
      </c>
      <c r="R379" s="4" t="s">
        <v>142</v>
      </c>
      <c r="S379" s="4" t="s">
        <v>142</v>
      </c>
      <c r="T379" s="6">
        <v>-0.6</v>
      </c>
    </row>
    <row r="380" spans="1:20" x14ac:dyDescent="0.3">
      <c r="A380">
        <v>37395</v>
      </c>
      <c r="B380" t="s">
        <v>21</v>
      </c>
      <c r="C380" s="3" t="s">
        <v>143</v>
      </c>
      <c r="D380" t="s">
        <v>144</v>
      </c>
      <c r="E380">
        <v>7868</v>
      </c>
      <c r="F380" t="s">
        <v>24</v>
      </c>
      <c r="H380" s="3" t="s">
        <v>145</v>
      </c>
      <c r="I380" s="3" t="s">
        <v>145</v>
      </c>
      <c r="J380" t="s">
        <v>21</v>
      </c>
      <c r="K380" t="s">
        <v>26</v>
      </c>
      <c r="L380" s="1">
        <v>45962</v>
      </c>
      <c r="M380" s="1">
        <v>45991</v>
      </c>
      <c r="N380" t="s">
        <v>27</v>
      </c>
      <c r="O380" t="s">
        <v>28</v>
      </c>
      <c r="Q380" t="s">
        <v>29</v>
      </c>
      <c r="R380" s="4" t="s">
        <v>146</v>
      </c>
      <c r="S380" s="4" t="s">
        <v>146</v>
      </c>
      <c r="T380" s="5">
        <v>79.900000000000006</v>
      </c>
    </row>
    <row r="381" spans="1:20" x14ac:dyDescent="0.3">
      <c r="A381">
        <v>37395</v>
      </c>
      <c r="B381" t="s">
        <v>21</v>
      </c>
      <c r="C381" s="3" t="s">
        <v>143</v>
      </c>
      <c r="D381" t="s">
        <v>144</v>
      </c>
      <c r="E381">
        <v>7868</v>
      </c>
      <c r="F381" t="s">
        <v>24</v>
      </c>
      <c r="H381" s="3" t="s">
        <v>145</v>
      </c>
      <c r="I381" s="3" t="s">
        <v>145</v>
      </c>
      <c r="J381" t="s">
        <v>21</v>
      </c>
      <c r="K381" t="s">
        <v>26</v>
      </c>
      <c r="L381" s="1">
        <v>45962</v>
      </c>
      <c r="M381" s="1">
        <v>45991</v>
      </c>
      <c r="N381" t="s">
        <v>27</v>
      </c>
      <c r="O381" t="s">
        <v>28</v>
      </c>
      <c r="Q381" t="s">
        <v>29</v>
      </c>
      <c r="R381" s="4" t="s">
        <v>147</v>
      </c>
      <c r="S381" s="4" t="s">
        <v>147</v>
      </c>
      <c r="T381" s="6">
        <v>19.399999999999999</v>
      </c>
    </row>
    <row r="382" spans="1:20" x14ac:dyDescent="0.3">
      <c r="A382">
        <v>37395</v>
      </c>
      <c r="B382" t="s">
        <v>21</v>
      </c>
      <c r="C382" s="3" t="s">
        <v>148</v>
      </c>
      <c r="D382" t="s">
        <v>149</v>
      </c>
      <c r="E382">
        <v>7868</v>
      </c>
      <c r="F382" t="s">
        <v>24</v>
      </c>
      <c r="H382" s="3" t="s">
        <v>150</v>
      </c>
      <c r="I382" s="3" t="s">
        <v>150</v>
      </c>
      <c r="J382" t="s">
        <v>21</v>
      </c>
      <c r="K382" t="s">
        <v>26</v>
      </c>
      <c r="L382" s="1">
        <v>45962</v>
      </c>
      <c r="M382" s="1">
        <v>45991</v>
      </c>
      <c r="N382" t="s">
        <v>27</v>
      </c>
      <c r="O382" t="s">
        <v>28</v>
      </c>
      <c r="Q382" t="s">
        <v>29</v>
      </c>
      <c r="R382" s="4" t="s">
        <v>151</v>
      </c>
      <c r="S382" s="4" t="s">
        <v>151</v>
      </c>
      <c r="T382" s="5">
        <v>7.1</v>
      </c>
    </row>
    <row r="383" spans="1:20" x14ac:dyDescent="0.3">
      <c r="A383">
        <v>37395</v>
      </c>
      <c r="B383" t="s">
        <v>21</v>
      </c>
      <c r="C383" s="3" t="s">
        <v>148</v>
      </c>
      <c r="D383" t="s">
        <v>149</v>
      </c>
      <c r="E383">
        <v>7868</v>
      </c>
      <c r="F383" t="s">
        <v>24</v>
      </c>
      <c r="H383" s="3" t="s">
        <v>150</v>
      </c>
      <c r="I383" s="3" t="s">
        <v>150</v>
      </c>
      <c r="J383" t="s">
        <v>21</v>
      </c>
      <c r="K383" t="s">
        <v>26</v>
      </c>
      <c r="L383" s="1">
        <v>45962</v>
      </c>
      <c r="M383" s="1">
        <v>45991</v>
      </c>
      <c r="N383" t="s">
        <v>27</v>
      </c>
      <c r="O383" t="s">
        <v>28</v>
      </c>
      <c r="Q383" t="s">
        <v>29</v>
      </c>
      <c r="R383" s="4" t="s">
        <v>152</v>
      </c>
      <c r="S383" s="4" t="s">
        <v>152</v>
      </c>
      <c r="T383" s="6">
        <v>2.6</v>
      </c>
    </row>
    <row r="384" spans="1:20" x14ac:dyDescent="0.3">
      <c r="A384">
        <v>37395</v>
      </c>
      <c r="B384" t="s">
        <v>21</v>
      </c>
      <c r="C384" s="3" t="s">
        <v>148</v>
      </c>
      <c r="D384" t="s">
        <v>149</v>
      </c>
      <c r="E384">
        <v>7868</v>
      </c>
      <c r="F384" t="s">
        <v>24</v>
      </c>
      <c r="H384" s="3" t="s">
        <v>150</v>
      </c>
      <c r="I384" s="3" t="s">
        <v>150</v>
      </c>
      <c r="J384" t="s">
        <v>21</v>
      </c>
      <c r="K384" t="s">
        <v>26</v>
      </c>
      <c r="L384" s="1">
        <v>45962</v>
      </c>
      <c r="M384" s="1">
        <v>45991</v>
      </c>
      <c r="N384" t="s">
        <v>27</v>
      </c>
      <c r="O384" t="s">
        <v>28</v>
      </c>
      <c r="Q384" t="s">
        <v>29</v>
      </c>
      <c r="R384" s="4" t="s">
        <v>153</v>
      </c>
      <c r="S384" s="4" t="s">
        <v>153</v>
      </c>
      <c r="T384" s="5">
        <v>27.3</v>
      </c>
    </row>
    <row r="385" spans="1:20" x14ac:dyDescent="0.3">
      <c r="A385">
        <v>37395</v>
      </c>
      <c r="B385" t="s">
        <v>21</v>
      </c>
      <c r="C385" s="3" t="s">
        <v>154</v>
      </c>
      <c r="D385" t="s">
        <v>155</v>
      </c>
      <c r="E385">
        <v>7868</v>
      </c>
      <c r="F385" t="s">
        <v>24</v>
      </c>
      <c r="H385" s="3" t="s">
        <v>156</v>
      </c>
      <c r="I385" s="3" t="s">
        <v>156</v>
      </c>
      <c r="J385" t="s">
        <v>21</v>
      </c>
      <c r="K385" t="s">
        <v>26</v>
      </c>
      <c r="L385" s="1">
        <v>45962</v>
      </c>
      <c r="M385" s="1">
        <v>45991</v>
      </c>
      <c r="N385" t="s">
        <v>27</v>
      </c>
      <c r="O385" t="s">
        <v>28</v>
      </c>
      <c r="Q385" t="s">
        <v>29</v>
      </c>
      <c r="R385" s="4" t="s">
        <v>157</v>
      </c>
      <c r="S385" s="4" t="s">
        <v>157</v>
      </c>
      <c r="T385" s="6">
        <v>1.1000000000000001</v>
      </c>
    </row>
    <row r="386" spans="1:20" x14ac:dyDescent="0.3">
      <c r="A386">
        <v>37395</v>
      </c>
      <c r="B386" t="s">
        <v>21</v>
      </c>
      <c r="C386" s="3" t="s">
        <v>158</v>
      </c>
      <c r="D386" t="s">
        <v>159</v>
      </c>
      <c r="E386">
        <v>7868</v>
      </c>
      <c r="F386" t="s">
        <v>24</v>
      </c>
      <c r="H386" s="3" t="s">
        <v>160</v>
      </c>
      <c r="I386" s="3" t="s">
        <v>160</v>
      </c>
      <c r="J386" t="s">
        <v>21</v>
      </c>
      <c r="K386" t="s">
        <v>26</v>
      </c>
      <c r="L386" s="1">
        <v>45962</v>
      </c>
      <c r="M386" s="1">
        <v>45991</v>
      </c>
      <c r="N386" t="s">
        <v>27</v>
      </c>
      <c r="O386" t="s">
        <v>28</v>
      </c>
      <c r="Q386" t="s">
        <v>29</v>
      </c>
      <c r="R386" s="4" t="s">
        <v>161</v>
      </c>
      <c r="S386" s="4" t="s">
        <v>161</v>
      </c>
      <c r="T386" s="5">
        <v>0</v>
      </c>
    </row>
    <row r="387" spans="1:20" x14ac:dyDescent="0.3">
      <c r="A387">
        <v>37395</v>
      </c>
      <c r="B387" t="s">
        <v>21</v>
      </c>
      <c r="C387" s="3" t="s">
        <v>162</v>
      </c>
      <c r="D387" t="s">
        <v>163</v>
      </c>
      <c r="E387">
        <v>7868</v>
      </c>
      <c r="F387" t="s">
        <v>24</v>
      </c>
      <c r="H387" s="3" t="s">
        <v>164</v>
      </c>
      <c r="I387" s="3" t="s">
        <v>164</v>
      </c>
      <c r="J387" t="s">
        <v>21</v>
      </c>
      <c r="K387" t="s">
        <v>26</v>
      </c>
      <c r="L387" s="1">
        <v>45962</v>
      </c>
      <c r="M387" s="1">
        <v>45991</v>
      </c>
      <c r="N387" t="s">
        <v>27</v>
      </c>
      <c r="O387" t="s">
        <v>28</v>
      </c>
      <c r="Q387" t="s">
        <v>29</v>
      </c>
      <c r="R387" s="4" t="s">
        <v>165</v>
      </c>
      <c r="S387" s="4" t="s">
        <v>165</v>
      </c>
      <c r="T387" s="6">
        <v>0</v>
      </c>
    </row>
    <row r="388" spans="1:20" x14ac:dyDescent="0.3">
      <c r="A388">
        <v>37395</v>
      </c>
      <c r="B388" t="s">
        <v>21</v>
      </c>
      <c r="C388" s="3" t="s">
        <v>166</v>
      </c>
      <c r="D388" t="s">
        <v>167</v>
      </c>
      <c r="E388">
        <v>7868</v>
      </c>
      <c r="F388" t="s">
        <v>24</v>
      </c>
      <c r="H388" s="3" t="s">
        <v>168</v>
      </c>
      <c r="I388" s="3" t="s">
        <v>168</v>
      </c>
      <c r="J388" t="s">
        <v>21</v>
      </c>
      <c r="K388" t="s">
        <v>26</v>
      </c>
      <c r="L388" s="1">
        <v>45962</v>
      </c>
      <c r="M388" s="1">
        <v>45991</v>
      </c>
      <c r="N388" t="s">
        <v>27</v>
      </c>
      <c r="O388" t="s">
        <v>28</v>
      </c>
      <c r="Q388" t="s">
        <v>29</v>
      </c>
      <c r="R388" s="4" t="s">
        <v>169</v>
      </c>
      <c r="S388" s="4" t="s">
        <v>169</v>
      </c>
      <c r="T388" s="5">
        <v>0</v>
      </c>
    </row>
    <row r="389" spans="1:20" x14ac:dyDescent="0.3">
      <c r="A389">
        <v>37395</v>
      </c>
      <c r="B389" t="s">
        <v>21</v>
      </c>
      <c r="C389" s="3" t="s">
        <v>166</v>
      </c>
      <c r="D389" t="s">
        <v>167</v>
      </c>
      <c r="E389">
        <v>7868</v>
      </c>
      <c r="F389" t="s">
        <v>24</v>
      </c>
      <c r="H389" s="3" t="s">
        <v>168</v>
      </c>
      <c r="I389" s="3" t="s">
        <v>168</v>
      </c>
      <c r="J389" t="s">
        <v>21</v>
      </c>
      <c r="K389" t="s">
        <v>26</v>
      </c>
      <c r="L389" s="1">
        <v>45962</v>
      </c>
      <c r="M389" s="1">
        <v>45991</v>
      </c>
      <c r="N389" t="s">
        <v>27</v>
      </c>
      <c r="O389" t="s">
        <v>28</v>
      </c>
      <c r="Q389" t="s">
        <v>29</v>
      </c>
      <c r="R389" s="4" t="s">
        <v>170</v>
      </c>
      <c r="S389" s="4" t="s">
        <v>170</v>
      </c>
      <c r="T389" s="6">
        <v>-0.5</v>
      </c>
    </row>
    <row r="390" spans="1:20" x14ac:dyDescent="0.3">
      <c r="A390">
        <v>37395</v>
      </c>
      <c r="B390" t="s">
        <v>21</v>
      </c>
      <c r="C390" s="3" t="s">
        <v>166</v>
      </c>
      <c r="D390" t="s">
        <v>167</v>
      </c>
      <c r="E390">
        <v>7868</v>
      </c>
      <c r="F390" t="s">
        <v>24</v>
      </c>
      <c r="H390" s="3" t="s">
        <v>168</v>
      </c>
      <c r="I390" s="3" t="s">
        <v>168</v>
      </c>
      <c r="J390" t="s">
        <v>21</v>
      </c>
      <c r="K390" t="s">
        <v>26</v>
      </c>
      <c r="L390" s="1">
        <v>45962</v>
      </c>
      <c r="M390" s="1">
        <v>45991</v>
      </c>
      <c r="N390" t="s">
        <v>27</v>
      </c>
      <c r="O390" t="s">
        <v>28</v>
      </c>
      <c r="Q390" t="s">
        <v>29</v>
      </c>
      <c r="R390" s="4" t="s">
        <v>171</v>
      </c>
      <c r="S390" s="4" t="s">
        <v>171</v>
      </c>
      <c r="T390" s="5">
        <v>1.4</v>
      </c>
    </row>
    <row r="391" spans="1:20" x14ac:dyDescent="0.3">
      <c r="A391">
        <v>37395</v>
      </c>
      <c r="B391" t="s">
        <v>21</v>
      </c>
      <c r="C391" s="3" t="s">
        <v>166</v>
      </c>
      <c r="D391" t="s">
        <v>167</v>
      </c>
      <c r="E391">
        <v>7868</v>
      </c>
      <c r="F391" t="s">
        <v>24</v>
      </c>
      <c r="H391" s="3" t="s">
        <v>168</v>
      </c>
      <c r="I391" s="3" t="s">
        <v>168</v>
      </c>
      <c r="J391" t="s">
        <v>21</v>
      </c>
      <c r="K391" t="s">
        <v>26</v>
      </c>
      <c r="L391" s="1">
        <v>45962</v>
      </c>
      <c r="M391" s="1">
        <v>45991</v>
      </c>
      <c r="N391" t="s">
        <v>27</v>
      </c>
      <c r="O391" t="s">
        <v>28</v>
      </c>
      <c r="Q391" t="s">
        <v>29</v>
      </c>
      <c r="R391" s="4" t="s">
        <v>172</v>
      </c>
      <c r="S391" s="4" t="s">
        <v>172</v>
      </c>
      <c r="T391" s="6">
        <v>0</v>
      </c>
    </row>
    <row r="392" spans="1:20" x14ac:dyDescent="0.3">
      <c r="A392">
        <v>37395</v>
      </c>
      <c r="B392" t="s">
        <v>21</v>
      </c>
      <c r="C392" s="3" t="s">
        <v>166</v>
      </c>
      <c r="D392" t="s">
        <v>167</v>
      </c>
      <c r="E392">
        <v>7868</v>
      </c>
      <c r="F392" t="s">
        <v>24</v>
      </c>
      <c r="H392" s="3" t="s">
        <v>168</v>
      </c>
      <c r="I392" s="3" t="s">
        <v>168</v>
      </c>
      <c r="J392" t="s">
        <v>21</v>
      </c>
      <c r="K392" t="s">
        <v>26</v>
      </c>
      <c r="L392" s="1">
        <v>45962</v>
      </c>
      <c r="M392" s="1">
        <v>45991</v>
      </c>
      <c r="N392" t="s">
        <v>27</v>
      </c>
      <c r="O392" t="s">
        <v>28</v>
      </c>
      <c r="Q392" t="s">
        <v>29</v>
      </c>
      <c r="R392" s="4" t="s">
        <v>173</v>
      </c>
      <c r="S392" s="4" t="s">
        <v>173</v>
      </c>
      <c r="T392" s="5">
        <v>0</v>
      </c>
    </row>
    <row r="393" spans="1:20" x14ac:dyDescent="0.3">
      <c r="A393">
        <v>37395</v>
      </c>
      <c r="B393" t="s">
        <v>21</v>
      </c>
      <c r="C393" s="3" t="s">
        <v>174</v>
      </c>
      <c r="D393" t="s">
        <v>175</v>
      </c>
      <c r="E393">
        <v>7868</v>
      </c>
      <c r="F393" t="s">
        <v>24</v>
      </c>
      <c r="H393" s="3" t="s">
        <v>176</v>
      </c>
      <c r="I393" s="3" t="s">
        <v>176</v>
      </c>
      <c r="J393" t="s">
        <v>21</v>
      </c>
      <c r="K393" t="s">
        <v>26</v>
      </c>
      <c r="L393" s="1">
        <v>45962</v>
      </c>
      <c r="M393" s="1">
        <v>45991</v>
      </c>
      <c r="N393" t="s">
        <v>27</v>
      </c>
      <c r="O393" t="s">
        <v>28</v>
      </c>
      <c r="Q393" t="s">
        <v>29</v>
      </c>
      <c r="R393" s="7" t="s">
        <v>177</v>
      </c>
      <c r="S393" s="7" t="s">
        <v>177</v>
      </c>
      <c r="T393" s="6">
        <v>0.8</v>
      </c>
    </row>
    <row r="394" spans="1:20" x14ac:dyDescent="0.3">
      <c r="A394">
        <v>37395</v>
      </c>
      <c r="B394" t="s">
        <v>21</v>
      </c>
      <c r="C394" s="3" t="s">
        <v>174</v>
      </c>
      <c r="D394" t="s">
        <v>175</v>
      </c>
      <c r="E394">
        <v>7868</v>
      </c>
      <c r="F394" t="s">
        <v>24</v>
      </c>
      <c r="H394" s="3" t="s">
        <v>176</v>
      </c>
      <c r="I394" s="3" t="s">
        <v>176</v>
      </c>
      <c r="J394" t="s">
        <v>21</v>
      </c>
      <c r="K394" t="s">
        <v>26</v>
      </c>
      <c r="L394" s="1">
        <v>45962</v>
      </c>
      <c r="M394" s="1">
        <v>45991</v>
      </c>
      <c r="N394" t="s">
        <v>27</v>
      </c>
      <c r="O394" t="s">
        <v>28</v>
      </c>
      <c r="Q394" t="s">
        <v>29</v>
      </c>
      <c r="R394" s="4" t="s">
        <v>178</v>
      </c>
      <c r="S394" s="4" t="s">
        <v>178</v>
      </c>
      <c r="T394" s="5">
        <v>0</v>
      </c>
    </row>
    <row r="395" spans="1:20" x14ac:dyDescent="0.3">
      <c r="A395">
        <v>37395</v>
      </c>
      <c r="B395" t="s">
        <v>21</v>
      </c>
      <c r="C395" s="3" t="s">
        <v>179</v>
      </c>
      <c r="D395" t="s">
        <v>180</v>
      </c>
      <c r="E395">
        <v>7868</v>
      </c>
      <c r="F395" t="s">
        <v>24</v>
      </c>
      <c r="H395" s="3" t="s">
        <v>181</v>
      </c>
      <c r="I395" s="3" t="s">
        <v>181</v>
      </c>
      <c r="J395" t="s">
        <v>21</v>
      </c>
      <c r="K395" t="s">
        <v>26</v>
      </c>
      <c r="L395" s="1">
        <v>45962</v>
      </c>
      <c r="M395" s="1">
        <v>45991</v>
      </c>
      <c r="N395" t="s">
        <v>27</v>
      </c>
      <c r="O395" t="s">
        <v>28</v>
      </c>
      <c r="Q395" t="s">
        <v>29</v>
      </c>
      <c r="R395" s="7" t="s">
        <v>182</v>
      </c>
      <c r="S395" s="7" t="s">
        <v>182</v>
      </c>
      <c r="T395" s="6">
        <v>0.1</v>
      </c>
    </row>
    <row r="396" spans="1:20" x14ac:dyDescent="0.3">
      <c r="A396">
        <v>37395</v>
      </c>
      <c r="B396" t="s">
        <v>21</v>
      </c>
      <c r="C396" s="3" t="s">
        <v>183</v>
      </c>
      <c r="D396" t="s">
        <v>184</v>
      </c>
      <c r="E396">
        <v>7868</v>
      </c>
      <c r="F396" t="s">
        <v>24</v>
      </c>
      <c r="H396" s="3" t="s">
        <v>185</v>
      </c>
      <c r="I396" s="3" t="s">
        <v>185</v>
      </c>
      <c r="J396" t="s">
        <v>21</v>
      </c>
      <c r="K396" t="s">
        <v>26</v>
      </c>
      <c r="L396" s="1">
        <v>45962</v>
      </c>
      <c r="M396" s="1">
        <v>45991</v>
      </c>
      <c r="N396" t="s">
        <v>27</v>
      </c>
      <c r="O396" t="s">
        <v>28</v>
      </c>
      <c r="Q396" t="s">
        <v>29</v>
      </c>
      <c r="R396" s="4" t="s">
        <v>186</v>
      </c>
      <c r="S396" s="4" t="s">
        <v>186</v>
      </c>
      <c r="T396" s="5">
        <v>-0.1</v>
      </c>
    </row>
    <row r="397" spans="1:20" x14ac:dyDescent="0.3">
      <c r="A397">
        <v>37395</v>
      </c>
      <c r="B397" t="s">
        <v>21</v>
      </c>
      <c r="C397" s="3" t="s">
        <v>22</v>
      </c>
      <c r="D397" t="s">
        <v>23</v>
      </c>
      <c r="E397">
        <v>7868</v>
      </c>
      <c r="F397" t="s">
        <v>24</v>
      </c>
      <c r="H397" s="3" t="s">
        <v>25</v>
      </c>
      <c r="I397" s="3" t="s">
        <v>25</v>
      </c>
      <c r="J397" t="s">
        <v>21</v>
      </c>
      <c r="K397" t="s">
        <v>26</v>
      </c>
      <c r="L397" s="1">
        <v>45992</v>
      </c>
      <c r="M397" s="1">
        <v>46022</v>
      </c>
      <c r="N397" t="s">
        <v>27</v>
      </c>
      <c r="O397" t="s">
        <v>28</v>
      </c>
      <c r="Q397" t="s">
        <v>29</v>
      </c>
      <c r="R397" s="4" t="s">
        <v>30</v>
      </c>
      <c r="S397" s="4" t="s">
        <v>30</v>
      </c>
      <c r="T397" s="5">
        <v>39.200000000000003</v>
      </c>
    </row>
    <row r="398" spans="1:20" x14ac:dyDescent="0.3">
      <c r="A398">
        <v>37395</v>
      </c>
      <c r="B398" t="s">
        <v>21</v>
      </c>
      <c r="C398" s="3" t="s">
        <v>22</v>
      </c>
      <c r="D398" t="s">
        <v>23</v>
      </c>
      <c r="E398">
        <v>7868</v>
      </c>
      <c r="F398" t="s">
        <v>24</v>
      </c>
      <c r="H398" s="3" t="s">
        <v>25</v>
      </c>
      <c r="I398" s="3" t="s">
        <v>25</v>
      </c>
      <c r="J398" t="s">
        <v>21</v>
      </c>
      <c r="K398" t="s">
        <v>26</v>
      </c>
      <c r="L398" s="1">
        <v>45992</v>
      </c>
      <c r="M398" s="1">
        <v>46022</v>
      </c>
      <c r="N398" t="s">
        <v>27</v>
      </c>
      <c r="O398" t="s">
        <v>28</v>
      </c>
      <c r="Q398" t="s">
        <v>29</v>
      </c>
      <c r="R398" s="4" t="s">
        <v>31</v>
      </c>
      <c r="S398" s="4" t="s">
        <v>31</v>
      </c>
      <c r="T398" s="6">
        <v>37.299999999999997</v>
      </c>
    </row>
    <row r="399" spans="1:20" x14ac:dyDescent="0.3">
      <c r="A399">
        <v>37395</v>
      </c>
      <c r="B399" t="s">
        <v>21</v>
      </c>
      <c r="C399" s="3" t="s">
        <v>22</v>
      </c>
      <c r="D399" t="s">
        <v>23</v>
      </c>
      <c r="E399">
        <v>7868</v>
      </c>
      <c r="F399" t="s">
        <v>24</v>
      </c>
      <c r="H399" s="3" t="s">
        <v>25</v>
      </c>
      <c r="I399" s="3" t="s">
        <v>25</v>
      </c>
      <c r="J399" t="s">
        <v>21</v>
      </c>
      <c r="K399" t="s">
        <v>26</v>
      </c>
      <c r="L399" s="1">
        <v>45992</v>
      </c>
      <c r="M399" s="1">
        <v>46022</v>
      </c>
      <c r="N399" t="s">
        <v>27</v>
      </c>
      <c r="O399" t="s">
        <v>28</v>
      </c>
      <c r="Q399" t="s">
        <v>29</v>
      </c>
      <c r="R399" s="4" t="s">
        <v>32</v>
      </c>
      <c r="S399" s="4" t="s">
        <v>32</v>
      </c>
      <c r="T399" s="5">
        <v>39.200000000000003</v>
      </c>
    </row>
    <row r="400" spans="1:20" x14ac:dyDescent="0.3">
      <c r="A400">
        <v>37395</v>
      </c>
      <c r="B400" t="s">
        <v>21</v>
      </c>
      <c r="C400" s="3" t="s">
        <v>22</v>
      </c>
      <c r="D400" t="s">
        <v>23</v>
      </c>
      <c r="E400">
        <v>7868</v>
      </c>
      <c r="F400" t="s">
        <v>24</v>
      </c>
      <c r="H400" s="3" t="s">
        <v>25</v>
      </c>
      <c r="I400" s="3" t="s">
        <v>25</v>
      </c>
      <c r="J400" t="s">
        <v>21</v>
      </c>
      <c r="K400" t="s">
        <v>26</v>
      </c>
      <c r="L400" s="1">
        <v>45992</v>
      </c>
      <c r="M400" s="1">
        <v>46022</v>
      </c>
      <c r="N400" t="s">
        <v>27</v>
      </c>
      <c r="O400" t="s">
        <v>28</v>
      </c>
      <c r="Q400" t="s">
        <v>29</v>
      </c>
      <c r="R400" s="4" t="s">
        <v>33</v>
      </c>
      <c r="S400" s="4" t="s">
        <v>33</v>
      </c>
      <c r="T400" s="6">
        <v>44.7</v>
      </c>
    </row>
    <row r="401" spans="1:20" x14ac:dyDescent="0.3">
      <c r="A401">
        <v>37395</v>
      </c>
      <c r="B401" t="s">
        <v>21</v>
      </c>
      <c r="C401" s="3" t="s">
        <v>22</v>
      </c>
      <c r="D401" t="s">
        <v>23</v>
      </c>
      <c r="E401">
        <v>7868</v>
      </c>
      <c r="F401" t="s">
        <v>24</v>
      </c>
      <c r="H401" s="3" t="s">
        <v>25</v>
      </c>
      <c r="I401" s="3" t="s">
        <v>25</v>
      </c>
      <c r="J401" t="s">
        <v>21</v>
      </c>
      <c r="K401" t="s">
        <v>26</v>
      </c>
      <c r="L401" s="1">
        <v>45992</v>
      </c>
      <c r="M401" s="1">
        <v>46022</v>
      </c>
      <c r="N401" t="s">
        <v>27</v>
      </c>
      <c r="O401" t="s">
        <v>28</v>
      </c>
      <c r="Q401" t="s">
        <v>29</v>
      </c>
      <c r="R401" s="4" t="s">
        <v>34</v>
      </c>
      <c r="S401" s="4" t="s">
        <v>34</v>
      </c>
      <c r="T401" s="5">
        <v>12.7</v>
      </c>
    </row>
    <row r="402" spans="1:20" x14ac:dyDescent="0.3">
      <c r="A402">
        <v>37395</v>
      </c>
      <c r="B402" t="s">
        <v>21</v>
      </c>
      <c r="C402" s="3" t="s">
        <v>22</v>
      </c>
      <c r="D402" t="s">
        <v>23</v>
      </c>
      <c r="E402">
        <v>7868</v>
      </c>
      <c r="F402" t="s">
        <v>24</v>
      </c>
      <c r="H402" s="3" t="s">
        <v>25</v>
      </c>
      <c r="I402" s="3" t="s">
        <v>25</v>
      </c>
      <c r="J402" t="s">
        <v>21</v>
      </c>
      <c r="K402" t="s">
        <v>26</v>
      </c>
      <c r="L402" s="1">
        <v>45992</v>
      </c>
      <c r="M402" s="1">
        <v>46022</v>
      </c>
      <c r="N402" t="s">
        <v>27</v>
      </c>
      <c r="O402" t="s">
        <v>28</v>
      </c>
      <c r="Q402" t="s">
        <v>29</v>
      </c>
      <c r="R402" s="4" t="s">
        <v>35</v>
      </c>
      <c r="S402" s="4" t="s">
        <v>35</v>
      </c>
      <c r="T402" s="6">
        <v>-0.8</v>
      </c>
    </row>
    <row r="403" spans="1:20" x14ac:dyDescent="0.3">
      <c r="A403">
        <v>37395</v>
      </c>
      <c r="B403" t="s">
        <v>21</v>
      </c>
      <c r="C403" s="3" t="s">
        <v>22</v>
      </c>
      <c r="D403" t="s">
        <v>23</v>
      </c>
      <c r="E403">
        <v>7868</v>
      </c>
      <c r="F403" t="s">
        <v>24</v>
      </c>
      <c r="H403" s="3" t="s">
        <v>25</v>
      </c>
      <c r="I403" s="3" t="s">
        <v>25</v>
      </c>
      <c r="J403" t="s">
        <v>21</v>
      </c>
      <c r="K403" t="s">
        <v>26</v>
      </c>
      <c r="L403" s="1">
        <v>45992</v>
      </c>
      <c r="M403" s="1">
        <v>46022</v>
      </c>
      <c r="N403" t="s">
        <v>27</v>
      </c>
      <c r="O403" t="s">
        <v>28</v>
      </c>
      <c r="Q403" t="s">
        <v>29</v>
      </c>
      <c r="R403" s="4" t="s">
        <v>36</v>
      </c>
      <c r="S403" s="4" t="s">
        <v>36</v>
      </c>
      <c r="T403" s="5">
        <v>48.6</v>
      </c>
    </row>
    <row r="404" spans="1:20" x14ac:dyDescent="0.3">
      <c r="A404">
        <v>37395</v>
      </c>
      <c r="B404" t="s">
        <v>21</v>
      </c>
      <c r="C404" s="3" t="s">
        <v>37</v>
      </c>
      <c r="D404" t="s">
        <v>38</v>
      </c>
      <c r="E404">
        <v>7868</v>
      </c>
      <c r="F404" t="s">
        <v>24</v>
      </c>
      <c r="H404" s="3" t="s">
        <v>39</v>
      </c>
      <c r="I404" s="3" t="s">
        <v>39</v>
      </c>
      <c r="J404" t="s">
        <v>21</v>
      </c>
      <c r="K404" t="s">
        <v>26</v>
      </c>
      <c r="L404" s="1">
        <v>45992</v>
      </c>
      <c r="M404" s="1">
        <v>46022</v>
      </c>
      <c r="N404" t="s">
        <v>27</v>
      </c>
      <c r="O404" t="s">
        <v>28</v>
      </c>
      <c r="Q404" t="s">
        <v>29</v>
      </c>
      <c r="R404" s="4" t="s">
        <v>40</v>
      </c>
      <c r="S404" s="4" t="s">
        <v>40</v>
      </c>
      <c r="T404" s="6">
        <v>30.2</v>
      </c>
    </row>
    <row r="405" spans="1:20" x14ac:dyDescent="0.3">
      <c r="A405">
        <v>37395</v>
      </c>
      <c r="B405" t="s">
        <v>21</v>
      </c>
      <c r="C405" s="3" t="s">
        <v>37</v>
      </c>
      <c r="D405" t="s">
        <v>38</v>
      </c>
      <c r="E405">
        <v>7868</v>
      </c>
      <c r="F405" t="s">
        <v>24</v>
      </c>
      <c r="H405" s="3" t="s">
        <v>39</v>
      </c>
      <c r="I405" s="3" t="s">
        <v>39</v>
      </c>
      <c r="J405" t="s">
        <v>21</v>
      </c>
      <c r="K405" t="s">
        <v>26</v>
      </c>
      <c r="L405" s="1">
        <v>45992</v>
      </c>
      <c r="M405" s="1">
        <v>46022</v>
      </c>
      <c r="N405" t="s">
        <v>27</v>
      </c>
      <c r="O405" t="s">
        <v>28</v>
      </c>
      <c r="Q405" t="s">
        <v>29</v>
      </c>
      <c r="R405" s="4" t="s">
        <v>41</v>
      </c>
      <c r="S405" s="4" t="s">
        <v>41</v>
      </c>
      <c r="T405" s="5">
        <v>5.4</v>
      </c>
    </row>
    <row r="406" spans="1:20" x14ac:dyDescent="0.3">
      <c r="A406">
        <v>37395</v>
      </c>
      <c r="B406" t="s">
        <v>21</v>
      </c>
      <c r="C406" s="3" t="s">
        <v>37</v>
      </c>
      <c r="D406" t="s">
        <v>38</v>
      </c>
      <c r="E406">
        <v>7868</v>
      </c>
      <c r="F406" t="s">
        <v>24</v>
      </c>
      <c r="H406" s="3" t="s">
        <v>39</v>
      </c>
      <c r="I406" s="3" t="s">
        <v>39</v>
      </c>
      <c r="J406" t="s">
        <v>21</v>
      </c>
      <c r="K406" t="s">
        <v>26</v>
      </c>
      <c r="L406" s="1">
        <v>45992</v>
      </c>
      <c r="M406" s="1">
        <v>46022</v>
      </c>
      <c r="N406" t="s">
        <v>27</v>
      </c>
      <c r="O406" t="s">
        <v>28</v>
      </c>
      <c r="Q406" t="s">
        <v>29</v>
      </c>
      <c r="R406" s="4" t="s">
        <v>42</v>
      </c>
      <c r="S406" s="4" t="s">
        <v>42</v>
      </c>
      <c r="T406" s="6">
        <v>3.2</v>
      </c>
    </row>
    <row r="407" spans="1:20" x14ac:dyDescent="0.3">
      <c r="A407">
        <v>37395</v>
      </c>
      <c r="B407" t="s">
        <v>21</v>
      </c>
      <c r="C407" s="3" t="s">
        <v>37</v>
      </c>
      <c r="D407" t="s">
        <v>38</v>
      </c>
      <c r="E407">
        <v>7868</v>
      </c>
      <c r="F407" t="s">
        <v>24</v>
      </c>
      <c r="H407" s="3" t="s">
        <v>39</v>
      </c>
      <c r="I407" s="3" t="s">
        <v>39</v>
      </c>
      <c r="J407" t="s">
        <v>21</v>
      </c>
      <c r="K407" t="s">
        <v>26</v>
      </c>
      <c r="L407" s="1">
        <v>45992</v>
      </c>
      <c r="M407" s="1">
        <v>46022</v>
      </c>
      <c r="N407" t="s">
        <v>27</v>
      </c>
      <c r="O407" t="s">
        <v>28</v>
      </c>
      <c r="Q407" t="s">
        <v>29</v>
      </c>
      <c r="R407" s="4" t="s">
        <v>43</v>
      </c>
      <c r="S407" s="4" t="s">
        <v>43</v>
      </c>
      <c r="T407" s="5">
        <v>30.2</v>
      </c>
    </row>
    <row r="408" spans="1:20" x14ac:dyDescent="0.3">
      <c r="A408">
        <v>37395</v>
      </c>
      <c r="B408" t="s">
        <v>21</v>
      </c>
      <c r="C408" s="3" t="s">
        <v>37</v>
      </c>
      <c r="D408" t="s">
        <v>38</v>
      </c>
      <c r="E408">
        <v>7868</v>
      </c>
      <c r="F408" t="s">
        <v>24</v>
      </c>
      <c r="H408" s="3" t="s">
        <v>39</v>
      </c>
      <c r="I408" s="3" t="s">
        <v>39</v>
      </c>
      <c r="J408" t="s">
        <v>21</v>
      </c>
      <c r="K408" t="s">
        <v>26</v>
      </c>
      <c r="L408" s="1">
        <v>45992</v>
      </c>
      <c r="M408" s="1">
        <v>46022</v>
      </c>
      <c r="N408" t="s">
        <v>27</v>
      </c>
      <c r="O408" t="s">
        <v>28</v>
      </c>
      <c r="Q408" t="s">
        <v>29</v>
      </c>
      <c r="R408" s="4" t="s">
        <v>44</v>
      </c>
      <c r="S408" s="4" t="s">
        <v>44</v>
      </c>
      <c r="T408" s="6">
        <v>4.8</v>
      </c>
    </row>
    <row r="409" spans="1:20" x14ac:dyDescent="0.3">
      <c r="A409">
        <v>37395</v>
      </c>
      <c r="B409" t="s">
        <v>21</v>
      </c>
      <c r="C409" s="3" t="s">
        <v>37</v>
      </c>
      <c r="D409" t="s">
        <v>38</v>
      </c>
      <c r="E409">
        <v>7868</v>
      </c>
      <c r="F409" t="s">
        <v>24</v>
      </c>
      <c r="H409" s="3" t="s">
        <v>39</v>
      </c>
      <c r="I409" s="3" t="s">
        <v>39</v>
      </c>
      <c r="J409" t="s">
        <v>21</v>
      </c>
      <c r="K409" t="s">
        <v>26</v>
      </c>
      <c r="L409" s="1">
        <v>45992</v>
      </c>
      <c r="M409" s="1">
        <v>46022</v>
      </c>
      <c r="N409" t="s">
        <v>27</v>
      </c>
      <c r="O409" t="s">
        <v>28</v>
      </c>
      <c r="Q409" t="s">
        <v>29</v>
      </c>
      <c r="R409" s="4" t="s">
        <v>45</v>
      </c>
      <c r="S409" s="4" t="s">
        <v>45</v>
      </c>
      <c r="T409" s="5">
        <v>0</v>
      </c>
    </row>
    <row r="410" spans="1:20" x14ac:dyDescent="0.3">
      <c r="A410">
        <v>37395</v>
      </c>
      <c r="B410" t="s">
        <v>21</v>
      </c>
      <c r="C410" s="3" t="s">
        <v>37</v>
      </c>
      <c r="D410" t="s">
        <v>38</v>
      </c>
      <c r="E410">
        <v>7868</v>
      </c>
      <c r="F410" t="s">
        <v>24</v>
      </c>
      <c r="H410" s="3" t="s">
        <v>39</v>
      </c>
      <c r="I410" s="3" t="s">
        <v>39</v>
      </c>
      <c r="J410" t="s">
        <v>21</v>
      </c>
      <c r="K410" t="s">
        <v>26</v>
      </c>
      <c r="L410" s="1">
        <v>45992</v>
      </c>
      <c r="M410" s="1">
        <v>46022</v>
      </c>
      <c r="N410" t="s">
        <v>27</v>
      </c>
      <c r="O410" t="s">
        <v>28</v>
      </c>
      <c r="Q410" t="s">
        <v>29</v>
      </c>
      <c r="R410" s="4" t="s">
        <v>46</v>
      </c>
      <c r="S410" s="4" t="s">
        <v>46</v>
      </c>
      <c r="T410" s="6">
        <v>0</v>
      </c>
    </row>
    <row r="411" spans="1:20" x14ac:dyDescent="0.3">
      <c r="A411">
        <v>37395</v>
      </c>
      <c r="B411" t="s">
        <v>21</v>
      </c>
      <c r="C411" s="3" t="s">
        <v>37</v>
      </c>
      <c r="D411" t="s">
        <v>38</v>
      </c>
      <c r="E411">
        <v>7868</v>
      </c>
      <c r="F411" t="s">
        <v>24</v>
      </c>
      <c r="H411" s="3" t="s">
        <v>39</v>
      </c>
      <c r="I411" s="3" t="s">
        <v>39</v>
      </c>
      <c r="J411" t="s">
        <v>21</v>
      </c>
      <c r="K411" t="s">
        <v>26</v>
      </c>
      <c r="L411" s="1">
        <v>45992</v>
      </c>
      <c r="M411" s="1">
        <v>46022</v>
      </c>
      <c r="N411" t="s">
        <v>27</v>
      </c>
      <c r="O411" t="s">
        <v>28</v>
      </c>
      <c r="Q411" t="s">
        <v>29</v>
      </c>
      <c r="R411" s="4" t="s">
        <v>47</v>
      </c>
      <c r="S411" s="4" t="s">
        <v>47</v>
      </c>
      <c r="T411" s="5">
        <v>0</v>
      </c>
    </row>
    <row r="412" spans="1:20" x14ac:dyDescent="0.3">
      <c r="A412">
        <v>37395</v>
      </c>
      <c r="B412" t="s">
        <v>21</v>
      </c>
      <c r="C412" s="3" t="s">
        <v>48</v>
      </c>
      <c r="D412" t="s">
        <v>49</v>
      </c>
      <c r="E412">
        <v>7868</v>
      </c>
      <c r="F412" t="s">
        <v>24</v>
      </c>
      <c r="H412" s="3" t="s">
        <v>50</v>
      </c>
      <c r="I412" s="3" t="s">
        <v>50</v>
      </c>
      <c r="J412" t="s">
        <v>21</v>
      </c>
      <c r="K412" t="s">
        <v>26</v>
      </c>
      <c r="L412" s="1">
        <v>45992</v>
      </c>
      <c r="M412" s="1">
        <v>46022</v>
      </c>
      <c r="N412" t="s">
        <v>27</v>
      </c>
      <c r="O412" t="s">
        <v>28</v>
      </c>
      <c r="Q412" t="s">
        <v>29</v>
      </c>
      <c r="R412" s="4" t="s">
        <v>51</v>
      </c>
      <c r="S412" s="4" t="s">
        <v>51</v>
      </c>
      <c r="T412" s="6">
        <v>0</v>
      </c>
    </row>
    <row r="413" spans="1:20" x14ac:dyDescent="0.3">
      <c r="A413">
        <v>37395</v>
      </c>
      <c r="B413" t="s">
        <v>21</v>
      </c>
      <c r="C413" s="3" t="s">
        <v>48</v>
      </c>
      <c r="D413" t="s">
        <v>49</v>
      </c>
      <c r="E413">
        <v>7868</v>
      </c>
      <c r="F413" t="s">
        <v>24</v>
      </c>
      <c r="H413" s="3" t="s">
        <v>50</v>
      </c>
      <c r="I413" s="3" t="s">
        <v>50</v>
      </c>
      <c r="J413" t="s">
        <v>21</v>
      </c>
      <c r="K413" t="s">
        <v>26</v>
      </c>
      <c r="L413" s="1">
        <v>45992</v>
      </c>
      <c r="M413" s="1">
        <v>46022</v>
      </c>
      <c r="N413" t="s">
        <v>27</v>
      </c>
      <c r="O413" t="s">
        <v>28</v>
      </c>
      <c r="Q413" t="s">
        <v>29</v>
      </c>
      <c r="R413" s="4" t="s">
        <v>52</v>
      </c>
      <c r="S413" s="4" t="s">
        <v>52</v>
      </c>
      <c r="T413" s="5">
        <v>0</v>
      </c>
    </row>
    <row r="414" spans="1:20" x14ac:dyDescent="0.3">
      <c r="A414">
        <v>37395</v>
      </c>
      <c r="B414" t="s">
        <v>21</v>
      </c>
      <c r="C414" s="3" t="s">
        <v>48</v>
      </c>
      <c r="D414" t="s">
        <v>49</v>
      </c>
      <c r="E414">
        <v>7868</v>
      </c>
      <c r="F414" t="s">
        <v>24</v>
      </c>
      <c r="H414" s="3" t="s">
        <v>50</v>
      </c>
      <c r="I414" s="3" t="s">
        <v>50</v>
      </c>
      <c r="J414" t="s">
        <v>21</v>
      </c>
      <c r="K414" t="s">
        <v>26</v>
      </c>
      <c r="L414" s="1">
        <v>45992</v>
      </c>
      <c r="M414" s="1">
        <v>46022</v>
      </c>
      <c r="N414" t="s">
        <v>27</v>
      </c>
      <c r="O414" t="s">
        <v>28</v>
      </c>
      <c r="Q414" t="s">
        <v>29</v>
      </c>
      <c r="R414" s="4" t="s">
        <v>53</v>
      </c>
      <c r="S414" s="4" t="s">
        <v>53</v>
      </c>
      <c r="T414" s="6">
        <v>26.7</v>
      </c>
    </row>
    <row r="415" spans="1:20" x14ac:dyDescent="0.3">
      <c r="A415">
        <v>37395</v>
      </c>
      <c r="B415" t="s">
        <v>21</v>
      </c>
      <c r="C415" s="3" t="s">
        <v>48</v>
      </c>
      <c r="D415" t="s">
        <v>49</v>
      </c>
      <c r="E415">
        <v>7868</v>
      </c>
      <c r="F415" t="s">
        <v>24</v>
      </c>
      <c r="H415" s="3" t="s">
        <v>50</v>
      </c>
      <c r="I415" s="3" t="s">
        <v>50</v>
      </c>
      <c r="J415" t="s">
        <v>21</v>
      </c>
      <c r="K415" t="s">
        <v>26</v>
      </c>
      <c r="L415" s="1">
        <v>45992</v>
      </c>
      <c r="M415" s="1">
        <v>46022</v>
      </c>
      <c r="N415" t="s">
        <v>27</v>
      </c>
      <c r="O415" t="s">
        <v>28</v>
      </c>
      <c r="Q415" t="s">
        <v>29</v>
      </c>
      <c r="R415" s="4" t="s">
        <v>54</v>
      </c>
      <c r="S415" s="4" t="s">
        <v>54</v>
      </c>
      <c r="T415" s="5">
        <v>9.8000000000000007</v>
      </c>
    </row>
    <row r="416" spans="1:20" x14ac:dyDescent="0.3">
      <c r="A416">
        <v>37395</v>
      </c>
      <c r="B416" t="s">
        <v>21</v>
      </c>
      <c r="C416" s="3" t="s">
        <v>55</v>
      </c>
      <c r="D416" t="s">
        <v>56</v>
      </c>
      <c r="E416">
        <v>7868</v>
      </c>
      <c r="F416" t="s">
        <v>24</v>
      </c>
      <c r="H416" s="3" t="s">
        <v>57</v>
      </c>
      <c r="I416" s="3" t="s">
        <v>57</v>
      </c>
      <c r="J416" t="s">
        <v>21</v>
      </c>
      <c r="K416" t="s">
        <v>26</v>
      </c>
      <c r="L416" s="1">
        <v>45992</v>
      </c>
      <c r="M416" s="1">
        <v>46022</v>
      </c>
      <c r="N416" t="s">
        <v>27</v>
      </c>
      <c r="O416" t="s">
        <v>28</v>
      </c>
      <c r="Q416" t="s">
        <v>29</v>
      </c>
      <c r="R416" s="4" t="s">
        <v>58</v>
      </c>
      <c r="S416" s="4" t="s">
        <v>58</v>
      </c>
      <c r="T416" s="6">
        <v>9.8000000000000007</v>
      </c>
    </row>
    <row r="417" spans="1:20" x14ac:dyDescent="0.3">
      <c r="A417">
        <v>37395</v>
      </c>
      <c r="B417" t="s">
        <v>21</v>
      </c>
      <c r="C417" s="3" t="s">
        <v>55</v>
      </c>
      <c r="D417" t="s">
        <v>56</v>
      </c>
      <c r="E417">
        <v>7868</v>
      </c>
      <c r="F417" t="s">
        <v>24</v>
      </c>
      <c r="H417" s="3" t="s">
        <v>57</v>
      </c>
      <c r="I417" s="3" t="s">
        <v>57</v>
      </c>
      <c r="J417" t="s">
        <v>21</v>
      </c>
      <c r="K417" t="s">
        <v>26</v>
      </c>
      <c r="L417" s="1">
        <v>45992</v>
      </c>
      <c r="M417" s="1">
        <v>46022</v>
      </c>
      <c r="N417" t="s">
        <v>27</v>
      </c>
      <c r="O417" t="s">
        <v>28</v>
      </c>
      <c r="Q417" t="s">
        <v>29</v>
      </c>
      <c r="R417" s="4" t="s">
        <v>59</v>
      </c>
      <c r="S417" s="4" t="s">
        <v>59</v>
      </c>
      <c r="T417" s="5">
        <v>3.3</v>
      </c>
    </row>
    <row r="418" spans="1:20" x14ac:dyDescent="0.3">
      <c r="A418">
        <v>37395</v>
      </c>
      <c r="B418" t="s">
        <v>21</v>
      </c>
      <c r="C418" s="3" t="s">
        <v>60</v>
      </c>
      <c r="D418" t="s">
        <v>61</v>
      </c>
      <c r="E418">
        <v>7868</v>
      </c>
      <c r="F418" t="s">
        <v>24</v>
      </c>
      <c r="H418" s="3" t="s">
        <v>62</v>
      </c>
      <c r="I418" s="3" t="s">
        <v>62</v>
      </c>
      <c r="J418" t="s">
        <v>21</v>
      </c>
      <c r="K418" t="s">
        <v>26</v>
      </c>
      <c r="L418" s="1">
        <v>45992</v>
      </c>
      <c r="M418" s="1">
        <v>46022</v>
      </c>
      <c r="N418" t="s">
        <v>27</v>
      </c>
      <c r="O418" t="s">
        <v>28</v>
      </c>
      <c r="Q418" t="s">
        <v>29</v>
      </c>
      <c r="R418" s="4" t="s">
        <v>63</v>
      </c>
      <c r="S418" s="4" t="s">
        <v>63</v>
      </c>
      <c r="T418" s="6">
        <v>0</v>
      </c>
    </row>
    <row r="419" spans="1:20" x14ac:dyDescent="0.3">
      <c r="A419">
        <v>37395</v>
      </c>
      <c r="B419" t="s">
        <v>21</v>
      </c>
      <c r="C419" s="3" t="s">
        <v>60</v>
      </c>
      <c r="D419" t="s">
        <v>61</v>
      </c>
      <c r="E419">
        <v>7868</v>
      </c>
      <c r="F419" t="s">
        <v>24</v>
      </c>
      <c r="H419" s="3" t="s">
        <v>62</v>
      </c>
      <c r="I419" s="3" t="s">
        <v>62</v>
      </c>
      <c r="J419" t="s">
        <v>21</v>
      </c>
      <c r="K419" t="s">
        <v>26</v>
      </c>
      <c r="L419" s="1">
        <v>45992</v>
      </c>
      <c r="M419" s="1">
        <v>46022</v>
      </c>
      <c r="N419" t="s">
        <v>27</v>
      </c>
      <c r="O419" t="s">
        <v>28</v>
      </c>
      <c r="Q419" t="s">
        <v>29</v>
      </c>
      <c r="R419" s="4" t="s">
        <v>64</v>
      </c>
      <c r="S419" s="4" t="s">
        <v>64</v>
      </c>
      <c r="T419" s="5">
        <v>41.5</v>
      </c>
    </row>
    <row r="420" spans="1:20" x14ac:dyDescent="0.3">
      <c r="A420">
        <v>37395</v>
      </c>
      <c r="B420" t="s">
        <v>21</v>
      </c>
      <c r="C420" s="3" t="s">
        <v>60</v>
      </c>
      <c r="D420" t="s">
        <v>61</v>
      </c>
      <c r="E420">
        <v>7868</v>
      </c>
      <c r="F420" t="s">
        <v>24</v>
      </c>
      <c r="H420" s="3" t="s">
        <v>62</v>
      </c>
      <c r="I420" s="3" t="s">
        <v>62</v>
      </c>
      <c r="J420" t="s">
        <v>21</v>
      </c>
      <c r="K420" t="s">
        <v>26</v>
      </c>
      <c r="L420" s="1">
        <v>45992</v>
      </c>
      <c r="M420" s="1">
        <v>46022</v>
      </c>
      <c r="N420" t="s">
        <v>27</v>
      </c>
      <c r="O420" t="s">
        <v>28</v>
      </c>
      <c r="Q420" t="s">
        <v>29</v>
      </c>
      <c r="R420" s="4" t="s">
        <v>65</v>
      </c>
      <c r="S420" s="4" t="s">
        <v>65</v>
      </c>
      <c r="T420" s="6">
        <v>10.6</v>
      </c>
    </row>
    <row r="421" spans="1:20" x14ac:dyDescent="0.3">
      <c r="A421">
        <v>37395</v>
      </c>
      <c r="B421" t="s">
        <v>21</v>
      </c>
      <c r="C421" s="3" t="s">
        <v>66</v>
      </c>
      <c r="D421" t="s">
        <v>67</v>
      </c>
      <c r="E421">
        <v>7868</v>
      </c>
      <c r="F421" t="s">
        <v>24</v>
      </c>
      <c r="H421" s="3" t="s">
        <v>68</v>
      </c>
      <c r="I421" s="3" t="s">
        <v>68</v>
      </c>
      <c r="J421" t="s">
        <v>21</v>
      </c>
      <c r="K421" t="s">
        <v>26</v>
      </c>
      <c r="L421" s="1">
        <v>45992</v>
      </c>
      <c r="M421" s="1">
        <v>46022</v>
      </c>
      <c r="N421" t="s">
        <v>27</v>
      </c>
      <c r="O421" t="s">
        <v>28</v>
      </c>
      <c r="Q421" t="s">
        <v>29</v>
      </c>
      <c r="R421" s="4" t="s">
        <v>69</v>
      </c>
      <c r="S421" s="4" t="s">
        <v>69</v>
      </c>
      <c r="T421" s="5">
        <v>22.2</v>
      </c>
    </row>
    <row r="422" spans="1:20" x14ac:dyDescent="0.3">
      <c r="A422">
        <v>37395</v>
      </c>
      <c r="B422" t="s">
        <v>21</v>
      </c>
      <c r="C422" s="3" t="s">
        <v>66</v>
      </c>
      <c r="D422" t="s">
        <v>67</v>
      </c>
      <c r="E422">
        <v>7868</v>
      </c>
      <c r="F422" t="s">
        <v>24</v>
      </c>
      <c r="H422" s="3" t="s">
        <v>68</v>
      </c>
      <c r="I422" s="3" t="s">
        <v>68</v>
      </c>
      <c r="J422" t="s">
        <v>21</v>
      </c>
      <c r="K422" t="s">
        <v>26</v>
      </c>
      <c r="L422" s="1">
        <v>45992</v>
      </c>
      <c r="M422" s="1">
        <v>46022</v>
      </c>
      <c r="N422" t="s">
        <v>27</v>
      </c>
      <c r="O422" t="s">
        <v>28</v>
      </c>
      <c r="Q422" t="s">
        <v>29</v>
      </c>
      <c r="R422" s="4" t="s">
        <v>70</v>
      </c>
      <c r="S422" s="4" t="s">
        <v>70</v>
      </c>
      <c r="T422" s="6">
        <v>12.4</v>
      </c>
    </row>
    <row r="423" spans="1:20" x14ac:dyDescent="0.3">
      <c r="A423">
        <v>37395</v>
      </c>
      <c r="B423" t="s">
        <v>21</v>
      </c>
      <c r="C423" s="3" t="s">
        <v>71</v>
      </c>
      <c r="D423" t="s">
        <v>72</v>
      </c>
      <c r="E423">
        <v>7868</v>
      </c>
      <c r="F423" t="s">
        <v>24</v>
      </c>
      <c r="H423" s="3" t="s">
        <v>73</v>
      </c>
      <c r="I423" s="3" t="s">
        <v>73</v>
      </c>
      <c r="J423" t="s">
        <v>21</v>
      </c>
      <c r="K423" t="s">
        <v>26</v>
      </c>
      <c r="L423" s="1">
        <v>45992</v>
      </c>
      <c r="M423" s="1">
        <v>46022</v>
      </c>
      <c r="N423" t="s">
        <v>27</v>
      </c>
      <c r="O423" t="s">
        <v>28</v>
      </c>
      <c r="Q423" t="s">
        <v>29</v>
      </c>
      <c r="R423" s="4" t="s">
        <v>74</v>
      </c>
      <c r="S423" s="4" t="s">
        <v>74</v>
      </c>
      <c r="T423" s="5">
        <v>15.7</v>
      </c>
    </row>
    <row r="424" spans="1:20" x14ac:dyDescent="0.3">
      <c r="A424">
        <v>37395</v>
      </c>
      <c r="B424" t="s">
        <v>21</v>
      </c>
      <c r="C424" s="3" t="s">
        <v>71</v>
      </c>
      <c r="D424" t="s">
        <v>72</v>
      </c>
      <c r="E424">
        <v>7868</v>
      </c>
      <c r="F424" t="s">
        <v>24</v>
      </c>
      <c r="H424" s="3" t="s">
        <v>73</v>
      </c>
      <c r="I424" s="3" t="s">
        <v>73</v>
      </c>
      <c r="J424" t="s">
        <v>21</v>
      </c>
      <c r="K424" t="s">
        <v>26</v>
      </c>
      <c r="L424" s="1">
        <v>45992</v>
      </c>
      <c r="M424" s="1">
        <v>46022</v>
      </c>
      <c r="N424" t="s">
        <v>27</v>
      </c>
      <c r="O424" t="s">
        <v>28</v>
      </c>
      <c r="Q424" t="s">
        <v>29</v>
      </c>
      <c r="R424" s="4" t="s">
        <v>75</v>
      </c>
      <c r="S424" s="4" t="s">
        <v>75</v>
      </c>
      <c r="T424" s="6">
        <v>15.3</v>
      </c>
    </row>
    <row r="425" spans="1:20" x14ac:dyDescent="0.3">
      <c r="A425">
        <v>37395</v>
      </c>
      <c r="B425" t="s">
        <v>21</v>
      </c>
      <c r="C425" s="3" t="s">
        <v>76</v>
      </c>
      <c r="D425" t="s">
        <v>77</v>
      </c>
      <c r="E425">
        <v>7868</v>
      </c>
      <c r="F425" t="s">
        <v>24</v>
      </c>
      <c r="H425" s="3" t="s">
        <v>78</v>
      </c>
      <c r="I425" s="3" t="s">
        <v>78</v>
      </c>
      <c r="J425" t="s">
        <v>21</v>
      </c>
      <c r="K425" t="s">
        <v>26</v>
      </c>
      <c r="L425" s="1">
        <v>45992</v>
      </c>
      <c r="M425" s="1">
        <v>46022</v>
      </c>
      <c r="N425" t="s">
        <v>27</v>
      </c>
      <c r="O425" t="s">
        <v>28</v>
      </c>
      <c r="Q425" t="s">
        <v>29</v>
      </c>
      <c r="R425" s="4" t="s">
        <v>79</v>
      </c>
      <c r="S425" s="4" t="s">
        <v>79</v>
      </c>
      <c r="T425" s="5">
        <v>12.6</v>
      </c>
    </row>
    <row r="426" spans="1:20" x14ac:dyDescent="0.3">
      <c r="A426">
        <v>37395</v>
      </c>
      <c r="B426" t="s">
        <v>21</v>
      </c>
      <c r="C426" s="3" t="s">
        <v>80</v>
      </c>
      <c r="D426" t="s">
        <v>81</v>
      </c>
      <c r="E426">
        <v>7868</v>
      </c>
      <c r="F426" t="s">
        <v>24</v>
      </c>
      <c r="H426" s="3" t="s">
        <v>82</v>
      </c>
      <c r="I426" s="3" t="s">
        <v>82</v>
      </c>
      <c r="J426" t="s">
        <v>21</v>
      </c>
      <c r="K426" t="s">
        <v>26</v>
      </c>
      <c r="L426" s="1">
        <v>45992</v>
      </c>
      <c r="M426" s="1">
        <v>46022</v>
      </c>
      <c r="N426" t="s">
        <v>27</v>
      </c>
      <c r="O426" t="s">
        <v>28</v>
      </c>
      <c r="Q426" t="s">
        <v>29</v>
      </c>
      <c r="R426" s="4" t="s">
        <v>83</v>
      </c>
      <c r="S426" s="4" t="s">
        <v>83</v>
      </c>
      <c r="T426" s="6">
        <v>0.1</v>
      </c>
    </row>
    <row r="427" spans="1:20" x14ac:dyDescent="0.3">
      <c r="A427">
        <v>37395</v>
      </c>
      <c r="B427" t="s">
        <v>21</v>
      </c>
      <c r="C427" s="3" t="s">
        <v>80</v>
      </c>
      <c r="D427" t="s">
        <v>81</v>
      </c>
      <c r="E427">
        <v>7868</v>
      </c>
      <c r="F427" t="s">
        <v>24</v>
      </c>
      <c r="H427" s="3" t="s">
        <v>82</v>
      </c>
      <c r="I427" s="3" t="s">
        <v>82</v>
      </c>
      <c r="J427" t="s">
        <v>21</v>
      </c>
      <c r="K427" t="s">
        <v>26</v>
      </c>
      <c r="L427" s="1">
        <v>45992</v>
      </c>
      <c r="M427" s="1">
        <v>46022</v>
      </c>
      <c r="N427" t="s">
        <v>27</v>
      </c>
      <c r="O427" t="s">
        <v>28</v>
      </c>
      <c r="Q427" t="s">
        <v>29</v>
      </c>
      <c r="R427" s="4" t="s">
        <v>84</v>
      </c>
      <c r="S427" s="4" t="s">
        <v>84</v>
      </c>
      <c r="T427" s="5">
        <v>13.4</v>
      </c>
    </row>
    <row r="428" spans="1:20" x14ac:dyDescent="0.3">
      <c r="A428">
        <v>37395</v>
      </c>
      <c r="B428" t="s">
        <v>21</v>
      </c>
      <c r="C428" s="3" t="s">
        <v>80</v>
      </c>
      <c r="D428" t="s">
        <v>81</v>
      </c>
      <c r="E428">
        <v>7868</v>
      </c>
      <c r="F428" t="s">
        <v>24</v>
      </c>
      <c r="H428" s="3" t="s">
        <v>82</v>
      </c>
      <c r="I428" s="3" t="s">
        <v>82</v>
      </c>
      <c r="J428" t="s">
        <v>21</v>
      </c>
      <c r="K428" t="s">
        <v>26</v>
      </c>
      <c r="L428" s="1">
        <v>45992</v>
      </c>
      <c r="M428" s="1">
        <v>46022</v>
      </c>
      <c r="N428" t="s">
        <v>27</v>
      </c>
      <c r="O428" t="s">
        <v>28</v>
      </c>
      <c r="Q428" t="s">
        <v>29</v>
      </c>
      <c r="R428" s="4" t="s">
        <v>85</v>
      </c>
      <c r="S428" s="4" t="s">
        <v>85</v>
      </c>
      <c r="T428" s="6">
        <v>-1.8</v>
      </c>
    </row>
    <row r="429" spans="1:20" x14ac:dyDescent="0.3">
      <c r="A429">
        <v>37395</v>
      </c>
      <c r="B429" t="s">
        <v>21</v>
      </c>
      <c r="C429" s="3" t="s">
        <v>80</v>
      </c>
      <c r="D429" t="s">
        <v>81</v>
      </c>
      <c r="E429">
        <v>7868</v>
      </c>
      <c r="F429" t="s">
        <v>24</v>
      </c>
      <c r="H429" s="3" t="s">
        <v>82</v>
      </c>
      <c r="I429" s="3" t="s">
        <v>82</v>
      </c>
      <c r="J429" t="s">
        <v>21</v>
      </c>
      <c r="K429" t="s">
        <v>26</v>
      </c>
      <c r="L429" s="1">
        <v>45992</v>
      </c>
      <c r="M429" s="1">
        <v>46022</v>
      </c>
      <c r="N429" t="s">
        <v>27</v>
      </c>
      <c r="O429" t="s">
        <v>28</v>
      </c>
      <c r="Q429" t="s">
        <v>29</v>
      </c>
      <c r="R429" s="4" t="s">
        <v>86</v>
      </c>
      <c r="S429" s="4" t="s">
        <v>86</v>
      </c>
      <c r="T429" s="5">
        <v>0</v>
      </c>
    </row>
    <row r="430" spans="1:20" x14ac:dyDescent="0.3">
      <c r="A430">
        <v>37395</v>
      </c>
      <c r="B430" t="s">
        <v>21</v>
      </c>
      <c r="C430" s="3" t="s">
        <v>87</v>
      </c>
      <c r="D430" t="s">
        <v>88</v>
      </c>
      <c r="E430">
        <v>7868</v>
      </c>
      <c r="F430" t="s">
        <v>24</v>
      </c>
      <c r="H430" s="3" t="s">
        <v>89</v>
      </c>
      <c r="I430" s="3" t="s">
        <v>89</v>
      </c>
      <c r="J430" t="s">
        <v>21</v>
      </c>
      <c r="K430" t="s">
        <v>26</v>
      </c>
      <c r="L430" s="1">
        <v>45992</v>
      </c>
      <c r="M430" s="1">
        <v>46022</v>
      </c>
      <c r="N430" t="s">
        <v>27</v>
      </c>
      <c r="O430" t="s">
        <v>28</v>
      </c>
      <c r="Q430" t="s">
        <v>29</v>
      </c>
      <c r="R430" s="4" t="s">
        <v>90</v>
      </c>
      <c r="S430" s="4" t="s">
        <v>90</v>
      </c>
      <c r="T430" s="6">
        <v>0</v>
      </c>
    </row>
    <row r="431" spans="1:20" x14ac:dyDescent="0.3">
      <c r="A431">
        <v>37395</v>
      </c>
      <c r="B431" t="s">
        <v>21</v>
      </c>
      <c r="C431" s="3" t="s">
        <v>87</v>
      </c>
      <c r="D431" t="s">
        <v>88</v>
      </c>
      <c r="E431">
        <v>7868</v>
      </c>
      <c r="F431" t="s">
        <v>24</v>
      </c>
      <c r="H431" s="3" t="s">
        <v>89</v>
      </c>
      <c r="I431" s="3" t="s">
        <v>89</v>
      </c>
      <c r="J431" t="s">
        <v>21</v>
      </c>
      <c r="K431" t="s">
        <v>26</v>
      </c>
      <c r="L431" s="1">
        <v>45992</v>
      </c>
      <c r="M431" s="1">
        <v>46022</v>
      </c>
      <c r="N431" t="s">
        <v>27</v>
      </c>
      <c r="O431" t="s">
        <v>28</v>
      </c>
      <c r="Q431" t="s">
        <v>29</v>
      </c>
      <c r="R431" s="4" t="s">
        <v>91</v>
      </c>
      <c r="S431" s="4" t="s">
        <v>91</v>
      </c>
      <c r="T431" s="5">
        <v>0</v>
      </c>
    </row>
    <row r="432" spans="1:20" x14ac:dyDescent="0.3">
      <c r="A432">
        <v>37395</v>
      </c>
      <c r="B432" t="s">
        <v>21</v>
      </c>
      <c r="C432" s="3" t="s">
        <v>87</v>
      </c>
      <c r="D432" t="s">
        <v>88</v>
      </c>
      <c r="E432">
        <v>7868</v>
      </c>
      <c r="F432" t="s">
        <v>24</v>
      </c>
      <c r="H432" s="3" t="s">
        <v>89</v>
      </c>
      <c r="I432" s="3" t="s">
        <v>89</v>
      </c>
      <c r="J432" t="s">
        <v>21</v>
      </c>
      <c r="K432" t="s">
        <v>26</v>
      </c>
      <c r="L432" s="1">
        <v>45992</v>
      </c>
      <c r="M432" s="1">
        <v>46022</v>
      </c>
      <c r="N432" t="s">
        <v>27</v>
      </c>
      <c r="O432" t="s">
        <v>28</v>
      </c>
      <c r="Q432" t="s">
        <v>29</v>
      </c>
      <c r="R432" s="4" t="s">
        <v>92</v>
      </c>
      <c r="S432" s="4" t="s">
        <v>92</v>
      </c>
      <c r="T432" s="6">
        <v>0</v>
      </c>
    </row>
    <row r="433" spans="1:20" x14ac:dyDescent="0.3">
      <c r="A433">
        <v>37395</v>
      </c>
      <c r="B433" t="s">
        <v>21</v>
      </c>
      <c r="C433" s="3" t="s">
        <v>93</v>
      </c>
      <c r="D433" t="s">
        <v>94</v>
      </c>
      <c r="E433">
        <v>7868</v>
      </c>
      <c r="F433" t="s">
        <v>24</v>
      </c>
      <c r="H433" s="3" t="s">
        <v>95</v>
      </c>
      <c r="I433" s="3" t="s">
        <v>95</v>
      </c>
      <c r="J433" t="s">
        <v>21</v>
      </c>
      <c r="K433" t="s">
        <v>26</v>
      </c>
      <c r="L433" s="1">
        <v>45992</v>
      </c>
      <c r="M433" s="1">
        <v>46022</v>
      </c>
      <c r="N433" t="s">
        <v>27</v>
      </c>
      <c r="O433" t="s">
        <v>28</v>
      </c>
      <c r="Q433" t="s">
        <v>29</v>
      </c>
      <c r="R433" s="4" t="s">
        <v>96</v>
      </c>
      <c r="S433" s="4" t="s">
        <v>96</v>
      </c>
      <c r="T433" s="5">
        <v>0.4</v>
      </c>
    </row>
    <row r="434" spans="1:20" x14ac:dyDescent="0.3">
      <c r="A434">
        <v>37395</v>
      </c>
      <c r="B434" t="s">
        <v>21</v>
      </c>
      <c r="C434" s="3" t="s">
        <v>97</v>
      </c>
      <c r="D434" t="s">
        <v>98</v>
      </c>
      <c r="E434">
        <v>7868</v>
      </c>
      <c r="F434" t="s">
        <v>24</v>
      </c>
      <c r="H434" s="3" t="s">
        <v>99</v>
      </c>
      <c r="I434" s="3" t="s">
        <v>99</v>
      </c>
      <c r="J434" t="s">
        <v>21</v>
      </c>
      <c r="K434" t="s">
        <v>26</v>
      </c>
      <c r="L434" s="1">
        <v>45992</v>
      </c>
      <c r="M434" s="1">
        <v>46022</v>
      </c>
      <c r="N434" t="s">
        <v>27</v>
      </c>
      <c r="O434" t="s">
        <v>28</v>
      </c>
      <c r="Q434" t="s">
        <v>29</v>
      </c>
      <c r="R434" s="4" t="s">
        <v>100</v>
      </c>
      <c r="S434" s="4" t="s">
        <v>100</v>
      </c>
      <c r="T434" s="6">
        <v>0</v>
      </c>
    </row>
    <row r="435" spans="1:20" x14ac:dyDescent="0.3">
      <c r="A435">
        <v>37395</v>
      </c>
      <c r="B435" t="s">
        <v>21</v>
      </c>
      <c r="C435" s="3" t="s">
        <v>97</v>
      </c>
      <c r="D435" t="s">
        <v>98</v>
      </c>
      <c r="E435">
        <v>7868</v>
      </c>
      <c r="F435" t="s">
        <v>24</v>
      </c>
      <c r="H435" s="3" t="s">
        <v>99</v>
      </c>
      <c r="I435" s="3" t="s">
        <v>99</v>
      </c>
      <c r="J435" t="s">
        <v>21</v>
      </c>
      <c r="K435" t="s">
        <v>26</v>
      </c>
      <c r="L435" s="1">
        <v>45992</v>
      </c>
      <c r="M435" s="1">
        <v>46022</v>
      </c>
      <c r="N435" t="s">
        <v>27</v>
      </c>
      <c r="O435" t="s">
        <v>28</v>
      </c>
      <c r="Q435" t="s">
        <v>29</v>
      </c>
      <c r="R435" s="4" t="s">
        <v>101</v>
      </c>
      <c r="S435" s="4" t="s">
        <v>101</v>
      </c>
      <c r="T435" s="5">
        <v>16.3</v>
      </c>
    </row>
    <row r="436" spans="1:20" x14ac:dyDescent="0.3">
      <c r="A436">
        <v>37395</v>
      </c>
      <c r="B436" t="s">
        <v>21</v>
      </c>
      <c r="C436" s="3" t="s">
        <v>102</v>
      </c>
      <c r="D436" t="s">
        <v>103</v>
      </c>
      <c r="E436">
        <v>7868</v>
      </c>
      <c r="F436" t="s">
        <v>24</v>
      </c>
      <c r="H436" s="3" t="s">
        <v>104</v>
      </c>
      <c r="I436" s="3" t="s">
        <v>104</v>
      </c>
      <c r="J436" t="s">
        <v>21</v>
      </c>
      <c r="K436" t="s">
        <v>26</v>
      </c>
      <c r="L436" s="1">
        <v>45992</v>
      </c>
      <c r="M436" s="1">
        <v>46022</v>
      </c>
      <c r="N436" t="s">
        <v>27</v>
      </c>
      <c r="O436" t="s">
        <v>28</v>
      </c>
      <c r="Q436" t="s">
        <v>29</v>
      </c>
      <c r="R436" s="4" t="s">
        <v>105</v>
      </c>
      <c r="S436" s="4" t="s">
        <v>105</v>
      </c>
      <c r="T436" s="6">
        <v>0</v>
      </c>
    </row>
    <row r="437" spans="1:20" x14ac:dyDescent="0.3">
      <c r="A437">
        <v>37395</v>
      </c>
      <c r="B437" t="s">
        <v>21</v>
      </c>
      <c r="C437" s="3" t="s">
        <v>106</v>
      </c>
      <c r="D437" t="s">
        <v>107</v>
      </c>
      <c r="E437">
        <v>7868</v>
      </c>
      <c r="F437" t="s">
        <v>24</v>
      </c>
      <c r="H437" s="3" t="s">
        <v>108</v>
      </c>
      <c r="I437" s="3" t="s">
        <v>108</v>
      </c>
      <c r="J437" t="s">
        <v>21</v>
      </c>
      <c r="K437" t="s">
        <v>26</v>
      </c>
      <c r="L437" s="1">
        <v>45992</v>
      </c>
      <c r="M437" s="1">
        <v>46022</v>
      </c>
      <c r="N437" t="s">
        <v>27</v>
      </c>
      <c r="O437" t="s">
        <v>28</v>
      </c>
      <c r="Q437" t="s">
        <v>29</v>
      </c>
      <c r="R437" s="4" t="s">
        <v>109</v>
      </c>
      <c r="S437" s="4" t="s">
        <v>109</v>
      </c>
      <c r="T437" s="5">
        <v>38.1</v>
      </c>
    </row>
    <row r="438" spans="1:20" x14ac:dyDescent="0.3">
      <c r="A438">
        <v>37395</v>
      </c>
      <c r="B438" t="s">
        <v>21</v>
      </c>
      <c r="C438" s="3" t="s">
        <v>106</v>
      </c>
      <c r="D438" t="s">
        <v>107</v>
      </c>
      <c r="E438">
        <v>7868</v>
      </c>
      <c r="F438" t="s">
        <v>24</v>
      </c>
      <c r="H438" s="3" t="s">
        <v>108</v>
      </c>
      <c r="I438" s="3" t="s">
        <v>108</v>
      </c>
      <c r="J438" t="s">
        <v>21</v>
      </c>
      <c r="K438" t="s">
        <v>26</v>
      </c>
      <c r="L438" s="1">
        <v>45992</v>
      </c>
      <c r="M438" s="1">
        <v>46022</v>
      </c>
      <c r="N438" t="s">
        <v>27</v>
      </c>
      <c r="O438" t="s">
        <v>28</v>
      </c>
      <c r="Q438" t="s">
        <v>29</v>
      </c>
      <c r="R438" s="4" t="s">
        <v>110</v>
      </c>
      <c r="S438" s="4" t="s">
        <v>110</v>
      </c>
      <c r="T438" s="6">
        <v>2</v>
      </c>
    </row>
    <row r="439" spans="1:20" x14ac:dyDescent="0.3">
      <c r="A439">
        <v>37395</v>
      </c>
      <c r="B439" t="s">
        <v>21</v>
      </c>
      <c r="C439" s="3" t="s">
        <v>106</v>
      </c>
      <c r="D439" t="s">
        <v>107</v>
      </c>
      <c r="E439">
        <v>7868</v>
      </c>
      <c r="F439" t="s">
        <v>24</v>
      </c>
      <c r="H439" s="3" t="s">
        <v>108</v>
      </c>
      <c r="I439" s="3" t="s">
        <v>108</v>
      </c>
      <c r="J439" t="s">
        <v>21</v>
      </c>
      <c r="K439" t="s">
        <v>26</v>
      </c>
      <c r="L439" s="1">
        <v>45992</v>
      </c>
      <c r="M439" s="1">
        <v>46022</v>
      </c>
      <c r="N439" t="s">
        <v>27</v>
      </c>
      <c r="O439" t="s">
        <v>28</v>
      </c>
      <c r="Q439" t="s">
        <v>29</v>
      </c>
      <c r="R439" s="4" t="s">
        <v>111</v>
      </c>
      <c r="S439" s="4" t="s">
        <v>111</v>
      </c>
      <c r="T439" s="5">
        <v>4.0999999999999996</v>
      </c>
    </row>
    <row r="440" spans="1:20" x14ac:dyDescent="0.3">
      <c r="A440">
        <v>37395</v>
      </c>
      <c r="B440" t="s">
        <v>21</v>
      </c>
      <c r="C440" s="3" t="s">
        <v>106</v>
      </c>
      <c r="D440" t="s">
        <v>107</v>
      </c>
      <c r="E440">
        <v>7868</v>
      </c>
      <c r="F440" t="s">
        <v>24</v>
      </c>
      <c r="H440" s="3" t="s">
        <v>108</v>
      </c>
      <c r="I440" s="3" t="s">
        <v>108</v>
      </c>
      <c r="J440" t="s">
        <v>21</v>
      </c>
      <c r="K440" t="s">
        <v>26</v>
      </c>
      <c r="L440" s="1">
        <v>45992</v>
      </c>
      <c r="M440" s="1">
        <v>46022</v>
      </c>
      <c r="N440" t="s">
        <v>27</v>
      </c>
      <c r="O440" t="s">
        <v>28</v>
      </c>
      <c r="Q440" t="s">
        <v>29</v>
      </c>
      <c r="R440" s="4" t="s">
        <v>112</v>
      </c>
      <c r="S440" s="4" t="s">
        <v>112</v>
      </c>
      <c r="T440" s="6">
        <v>0.8</v>
      </c>
    </row>
    <row r="441" spans="1:20" x14ac:dyDescent="0.3">
      <c r="A441">
        <v>37395</v>
      </c>
      <c r="B441" t="s">
        <v>21</v>
      </c>
      <c r="C441" s="3" t="s">
        <v>106</v>
      </c>
      <c r="D441" t="s">
        <v>107</v>
      </c>
      <c r="E441">
        <v>7868</v>
      </c>
      <c r="F441" t="s">
        <v>24</v>
      </c>
      <c r="H441" s="3" t="s">
        <v>108</v>
      </c>
      <c r="I441" s="3" t="s">
        <v>108</v>
      </c>
      <c r="J441" t="s">
        <v>21</v>
      </c>
      <c r="K441" t="s">
        <v>26</v>
      </c>
      <c r="L441" s="1">
        <v>45992</v>
      </c>
      <c r="M441" s="1">
        <v>46022</v>
      </c>
      <c r="N441" t="s">
        <v>27</v>
      </c>
      <c r="O441" t="s">
        <v>28</v>
      </c>
      <c r="Q441" t="s">
        <v>29</v>
      </c>
      <c r="R441" s="4" t="s">
        <v>113</v>
      </c>
      <c r="S441" s="4" t="s">
        <v>113</v>
      </c>
      <c r="T441" s="5">
        <v>0.1</v>
      </c>
    </row>
    <row r="442" spans="1:20" x14ac:dyDescent="0.3">
      <c r="A442">
        <v>37395</v>
      </c>
      <c r="B442" t="s">
        <v>21</v>
      </c>
      <c r="C442" s="3" t="s">
        <v>106</v>
      </c>
      <c r="D442" t="s">
        <v>107</v>
      </c>
      <c r="E442">
        <v>7868</v>
      </c>
      <c r="F442" t="s">
        <v>24</v>
      </c>
      <c r="H442" s="3" t="s">
        <v>108</v>
      </c>
      <c r="I442" s="3" t="s">
        <v>108</v>
      </c>
      <c r="J442" t="s">
        <v>21</v>
      </c>
      <c r="K442" t="s">
        <v>26</v>
      </c>
      <c r="L442" s="1">
        <v>45992</v>
      </c>
      <c r="M442" s="1">
        <v>46022</v>
      </c>
      <c r="N442" t="s">
        <v>27</v>
      </c>
      <c r="O442" t="s">
        <v>28</v>
      </c>
      <c r="Q442" t="s">
        <v>29</v>
      </c>
      <c r="R442" s="4" t="s">
        <v>114</v>
      </c>
      <c r="S442" s="4" t="s">
        <v>114</v>
      </c>
      <c r="T442" s="6">
        <v>3.5</v>
      </c>
    </row>
    <row r="443" spans="1:20" x14ac:dyDescent="0.3">
      <c r="A443">
        <v>37395</v>
      </c>
      <c r="B443" t="s">
        <v>21</v>
      </c>
      <c r="C443" s="3" t="s">
        <v>106</v>
      </c>
      <c r="D443" t="s">
        <v>107</v>
      </c>
      <c r="E443">
        <v>7868</v>
      </c>
      <c r="F443" t="s">
        <v>24</v>
      </c>
      <c r="H443" s="3" t="s">
        <v>108</v>
      </c>
      <c r="I443" s="3" t="s">
        <v>108</v>
      </c>
      <c r="J443" t="s">
        <v>21</v>
      </c>
      <c r="K443" t="s">
        <v>26</v>
      </c>
      <c r="L443" s="1">
        <v>45992</v>
      </c>
      <c r="M443" s="1">
        <v>46022</v>
      </c>
      <c r="N443" t="s">
        <v>27</v>
      </c>
      <c r="O443" t="s">
        <v>28</v>
      </c>
      <c r="Q443" t="s">
        <v>29</v>
      </c>
      <c r="R443" s="4" t="s">
        <v>115</v>
      </c>
      <c r="S443" s="4" t="s">
        <v>115</v>
      </c>
      <c r="T443" s="5">
        <v>0</v>
      </c>
    </row>
    <row r="444" spans="1:20" x14ac:dyDescent="0.3">
      <c r="A444">
        <v>37395</v>
      </c>
      <c r="B444" t="s">
        <v>21</v>
      </c>
      <c r="C444" s="3" t="s">
        <v>116</v>
      </c>
      <c r="D444" t="s">
        <v>117</v>
      </c>
      <c r="E444">
        <v>7868</v>
      </c>
      <c r="F444" t="s">
        <v>24</v>
      </c>
      <c r="H444" s="3" t="s">
        <v>118</v>
      </c>
      <c r="I444" s="3" t="s">
        <v>118</v>
      </c>
      <c r="J444" t="s">
        <v>21</v>
      </c>
      <c r="K444" t="s">
        <v>26</v>
      </c>
      <c r="L444" s="1">
        <v>45992</v>
      </c>
      <c r="M444" s="1">
        <v>46022</v>
      </c>
      <c r="N444" t="s">
        <v>27</v>
      </c>
      <c r="O444" t="s">
        <v>28</v>
      </c>
      <c r="Q444" t="s">
        <v>29</v>
      </c>
      <c r="R444" s="4" t="s">
        <v>119</v>
      </c>
      <c r="S444" s="4" t="s">
        <v>119</v>
      </c>
      <c r="T444" s="6">
        <v>1.1000000000000001</v>
      </c>
    </row>
    <row r="445" spans="1:20" x14ac:dyDescent="0.3">
      <c r="A445">
        <v>37395</v>
      </c>
      <c r="B445" t="s">
        <v>21</v>
      </c>
      <c r="C445" s="3" t="s">
        <v>116</v>
      </c>
      <c r="D445" t="s">
        <v>117</v>
      </c>
      <c r="E445">
        <v>7868</v>
      </c>
      <c r="F445" t="s">
        <v>24</v>
      </c>
      <c r="H445" s="3" t="s">
        <v>118</v>
      </c>
      <c r="I445" s="3" t="s">
        <v>118</v>
      </c>
      <c r="J445" t="s">
        <v>21</v>
      </c>
      <c r="K445" t="s">
        <v>26</v>
      </c>
      <c r="L445" s="1">
        <v>45992</v>
      </c>
      <c r="M445" s="1">
        <v>46022</v>
      </c>
      <c r="N445" t="s">
        <v>27</v>
      </c>
      <c r="O445" t="s">
        <v>28</v>
      </c>
      <c r="Q445" t="s">
        <v>29</v>
      </c>
      <c r="R445" s="4" t="s">
        <v>120</v>
      </c>
      <c r="S445" s="4" t="s">
        <v>120</v>
      </c>
      <c r="T445" s="5">
        <v>0.1</v>
      </c>
    </row>
    <row r="446" spans="1:20" x14ac:dyDescent="0.3">
      <c r="A446">
        <v>37395</v>
      </c>
      <c r="B446" t="s">
        <v>21</v>
      </c>
      <c r="C446" s="3" t="s">
        <v>116</v>
      </c>
      <c r="D446" t="s">
        <v>117</v>
      </c>
      <c r="E446">
        <v>7868</v>
      </c>
      <c r="F446" t="s">
        <v>24</v>
      </c>
      <c r="H446" s="3" t="s">
        <v>118</v>
      </c>
      <c r="I446" s="3" t="s">
        <v>118</v>
      </c>
      <c r="J446" t="s">
        <v>21</v>
      </c>
      <c r="K446" t="s">
        <v>26</v>
      </c>
      <c r="L446" s="1">
        <v>45992</v>
      </c>
      <c r="M446" s="1">
        <v>46022</v>
      </c>
      <c r="N446" t="s">
        <v>27</v>
      </c>
      <c r="O446" t="s">
        <v>28</v>
      </c>
      <c r="Q446" t="s">
        <v>29</v>
      </c>
      <c r="R446" s="4" t="s">
        <v>121</v>
      </c>
      <c r="S446" s="4" t="s">
        <v>121</v>
      </c>
      <c r="T446" s="6">
        <v>9.6</v>
      </c>
    </row>
    <row r="447" spans="1:20" x14ac:dyDescent="0.3">
      <c r="A447">
        <v>37395</v>
      </c>
      <c r="B447" t="s">
        <v>21</v>
      </c>
      <c r="C447" s="3" t="s">
        <v>122</v>
      </c>
      <c r="D447" t="s">
        <v>123</v>
      </c>
      <c r="E447">
        <v>7868</v>
      </c>
      <c r="F447" t="s">
        <v>24</v>
      </c>
      <c r="H447" s="3" t="s">
        <v>124</v>
      </c>
      <c r="I447" s="3" t="s">
        <v>124</v>
      </c>
      <c r="J447" t="s">
        <v>21</v>
      </c>
      <c r="K447" t="s">
        <v>26</v>
      </c>
      <c r="L447" s="1">
        <v>45992</v>
      </c>
      <c r="M447" s="1">
        <v>46022</v>
      </c>
      <c r="N447" t="s">
        <v>27</v>
      </c>
      <c r="O447" t="s">
        <v>28</v>
      </c>
      <c r="Q447" t="s">
        <v>29</v>
      </c>
      <c r="R447" s="4" t="s">
        <v>125</v>
      </c>
      <c r="S447" s="4" t="s">
        <v>125</v>
      </c>
      <c r="T447" s="5">
        <v>16.5</v>
      </c>
    </row>
    <row r="448" spans="1:20" x14ac:dyDescent="0.3">
      <c r="A448">
        <v>37395</v>
      </c>
      <c r="B448" t="s">
        <v>21</v>
      </c>
      <c r="C448" s="3" t="s">
        <v>122</v>
      </c>
      <c r="D448" t="s">
        <v>123</v>
      </c>
      <c r="E448">
        <v>7868</v>
      </c>
      <c r="F448" t="s">
        <v>24</v>
      </c>
      <c r="H448" s="3" t="s">
        <v>124</v>
      </c>
      <c r="I448" s="3" t="s">
        <v>124</v>
      </c>
      <c r="J448" t="s">
        <v>21</v>
      </c>
      <c r="K448" t="s">
        <v>26</v>
      </c>
      <c r="L448" s="1">
        <v>45992</v>
      </c>
      <c r="M448" s="1">
        <v>46022</v>
      </c>
      <c r="N448" t="s">
        <v>27</v>
      </c>
      <c r="O448" t="s">
        <v>28</v>
      </c>
      <c r="Q448" t="s">
        <v>29</v>
      </c>
      <c r="R448" s="4" t="s">
        <v>126</v>
      </c>
      <c r="S448" s="4" t="s">
        <v>126</v>
      </c>
      <c r="T448" s="6">
        <v>-0.7</v>
      </c>
    </row>
    <row r="449" spans="1:20" x14ac:dyDescent="0.3">
      <c r="A449">
        <v>37395</v>
      </c>
      <c r="B449" t="s">
        <v>21</v>
      </c>
      <c r="C449" s="3" t="s">
        <v>122</v>
      </c>
      <c r="D449" t="s">
        <v>123</v>
      </c>
      <c r="E449">
        <v>7868</v>
      </c>
      <c r="F449" t="s">
        <v>24</v>
      </c>
      <c r="H449" s="3" t="s">
        <v>124</v>
      </c>
      <c r="I449" s="3" t="s">
        <v>124</v>
      </c>
      <c r="J449" t="s">
        <v>21</v>
      </c>
      <c r="K449" t="s">
        <v>26</v>
      </c>
      <c r="L449" s="1">
        <v>45992</v>
      </c>
      <c r="M449" s="1">
        <v>46022</v>
      </c>
      <c r="N449" t="s">
        <v>27</v>
      </c>
      <c r="O449" t="s">
        <v>28</v>
      </c>
      <c r="Q449" t="s">
        <v>29</v>
      </c>
      <c r="R449" s="4" t="s">
        <v>127</v>
      </c>
      <c r="S449" s="4" t="s">
        <v>127</v>
      </c>
      <c r="T449" s="5">
        <v>-1.1000000000000001</v>
      </c>
    </row>
    <row r="450" spans="1:20" x14ac:dyDescent="0.3">
      <c r="A450">
        <v>37395</v>
      </c>
      <c r="B450" t="s">
        <v>21</v>
      </c>
      <c r="C450" s="3" t="s">
        <v>122</v>
      </c>
      <c r="D450" t="s">
        <v>123</v>
      </c>
      <c r="E450">
        <v>7868</v>
      </c>
      <c r="F450" t="s">
        <v>24</v>
      </c>
      <c r="H450" s="3" t="s">
        <v>124</v>
      </c>
      <c r="I450" s="3" t="s">
        <v>124</v>
      </c>
      <c r="J450" t="s">
        <v>21</v>
      </c>
      <c r="K450" t="s">
        <v>26</v>
      </c>
      <c r="L450" s="1">
        <v>45992</v>
      </c>
      <c r="M450" s="1">
        <v>46022</v>
      </c>
      <c r="N450" t="s">
        <v>27</v>
      </c>
      <c r="O450" t="s">
        <v>28</v>
      </c>
      <c r="Q450" t="s">
        <v>29</v>
      </c>
      <c r="R450" s="4" t="s">
        <v>128</v>
      </c>
      <c r="S450" s="4" t="s">
        <v>128</v>
      </c>
      <c r="T450" s="6">
        <v>27.4</v>
      </c>
    </row>
    <row r="451" spans="1:20" x14ac:dyDescent="0.3">
      <c r="A451">
        <v>37395</v>
      </c>
      <c r="B451" t="s">
        <v>21</v>
      </c>
      <c r="C451" s="3" t="s">
        <v>122</v>
      </c>
      <c r="D451" t="s">
        <v>123</v>
      </c>
      <c r="E451">
        <v>7868</v>
      </c>
      <c r="F451" t="s">
        <v>24</v>
      </c>
      <c r="H451" s="3" t="s">
        <v>124</v>
      </c>
      <c r="I451" s="3" t="s">
        <v>124</v>
      </c>
      <c r="J451" t="s">
        <v>21</v>
      </c>
      <c r="K451" t="s">
        <v>26</v>
      </c>
      <c r="L451" s="1">
        <v>45992</v>
      </c>
      <c r="M451" s="1">
        <v>46022</v>
      </c>
      <c r="N451" t="s">
        <v>27</v>
      </c>
      <c r="O451" t="s">
        <v>28</v>
      </c>
      <c r="Q451" t="s">
        <v>29</v>
      </c>
      <c r="R451" s="4" t="s">
        <v>129</v>
      </c>
      <c r="S451" s="4" t="s">
        <v>129</v>
      </c>
      <c r="T451" s="5">
        <v>11.2</v>
      </c>
    </row>
    <row r="452" spans="1:20" x14ac:dyDescent="0.3">
      <c r="A452">
        <v>37395</v>
      </c>
      <c r="B452" t="s">
        <v>21</v>
      </c>
      <c r="C452" s="3" t="s">
        <v>122</v>
      </c>
      <c r="D452" t="s">
        <v>123</v>
      </c>
      <c r="E452">
        <v>7868</v>
      </c>
      <c r="F452" t="s">
        <v>24</v>
      </c>
      <c r="H452" s="3" t="s">
        <v>124</v>
      </c>
      <c r="I452" s="3" t="s">
        <v>124</v>
      </c>
      <c r="J452" t="s">
        <v>21</v>
      </c>
      <c r="K452" t="s">
        <v>26</v>
      </c>
      <c r="L452" s="1">
        <v>45992</v>
      </c>
      <c r="M452" s="1">
        <v>46022</v>
      </c>
      <c r="N452" t="s">
        <v>27</v>
      </c>
      <c r="O452" t="s">
        <v>28</v>
      </c>
      <c r="Q452" t="s">
        <v>29</v>
      </c>
      <c r="R452" s="4" t="s">
        <v>130</v>
      </c>
      <c r="S452" s="4" t="s">
        <v>130</v>
      </c>
      <c r="T452" s="6">
        <v>0</v>
      </c>
    </row>
    <row r="453" spans="1:20" x14ac:dyDescent="0.3">
      <c r="A453">
        <v>37395</v>
      </c>
      <c r="B453" t="s">
        <v>21</v>
      </c>
      <c r="C453" s="3" t="s">
        <v>122</v>
      </c>
      <c r="D453" t="s">
        <v>123</v>
      </c>
      <c r="E453">
        <v>7868</v>
      </c>
      <c r="F453" t="s">
        <v>24</v>
      </c>
      <c r="H453" s="3" t="s">
        <v>124</v>
      </c>
      <c r="I453" s="3" t="s">
        <v>124</v>
      </c>
      <c r="J453" t="s">
        <v>21</v>
      </c>
      <c r="K453" t="s">
        <v>26</v>
      </c>
      <c r="L453" s="1">
        <v>45992</v>
      </c>
      <c r="M453" s="1">
        <v>46022</v>
      </c>
      <c r="N453" t="s">
        <v>27</v>
      </c>
      <c r="O453" t="s">
        <v>28</v>
      </c>
      <c r="Q453" t="s">
        <v>29</v>
      </c>
      <c r="R453" s="4" t="s">
        <v>131</v>
      </c>
      <c r="S453" s="4" t="s">
        <v>131</v>
      </c>
      <c r="T453" s="5">
        <v>9.4</v>
      </c>
    </row>
    <row r="454" spans="1:20" x14ac:dyDescent="0.3">
      <c r="A454">
        <v>37395</v>
      </c>
      <c r="B454" t="s">
        <v>21</v>
      </c>
      <c r="C454" s="3" t="s">
        <v>132</v>
      </c>
      <c r="D454" t="s">
        <v>133</v>
      </c>
      <c r="E454">
        <v>7868</v>
      </c>
      <c r="F454" t="s">
        <v>24</v>
      </c>
      <c r="H454" s="3" t="s">
        <v>134</v>
      </c>
      <c r="I454" s="3" t="s">
        <v>134</v>
      </c>
      <c r="J454" t="s">
        <v>21</v>
      </c>
      <c r="K454" t="s">
        <v>26</v>
      </c>
      <c r="L454" s="1">
        <v>45992</v>
      </c>
      <c r="M454" s="1">
        <v>46022</v>
      </c>
      <c r="N454" t="s">
        <v>27</v>
      </c>
      <c r="O454" t="s">
        <v>28</v>
      </c>
      <c r="Q454" t="s">
        <v>29</v>
      </c>
      <c r="R454" s="4" t="s">
        <v>135</v>
      </c>
      <c r="S454" s="4" t="s">
        <v>135</v>
      </c>
      <c r="T454" s="6">
        <v>3.5</v>
      </c>
    </row>
    <row r="455" spans="1:20" x14ac:dyDescent="0.3">
      <c r="A455">
        <v>37395</v>
      </c>
      <c r="B455" t="s">
        <v>21</v>
      </c>
      <c r="C455" s="3" t="s">
        <v>132</v>
      </c>
      <c r="D455" t="s">
        <v>133</v>
      </c>
      <c r="E455">
        <v>7868</v>
      </c>
      <c r="F455" t="s">
        <v>24</v>
      </c>
      <c r="H455" s="3" t="s">
        <v>134</v>
      </c>
      <c r="I455" s="3" t="s">
        <v>134</v>
      </c>
      <c r="J455" t="s">
        <v>21</v>
      </c>
      <c r="K455" t="s">
        <v>26</v>
      </c>
      <c r="L455" s="1">
        <v>45992</v>
      </c>
      <c r="M455" s="1">
        <v>46022</v>
      </c>
      <c r="N455" t="s">
        <v>27</v>
      </c>
      <c r="O455" t="s">
        <v>28</v>
      </c>
      <c r="Q455" t="s">
        <v>29</v>
      </c>
      <c r="R455" s="4" t="s">
        <v>136</v>
      </c>
      <c r="S455" s="4" t="s">
        <v>136</v>
      </c>
      <c r="T455" s="5">
        <v>32</v>
      </c>
    </row>
    <row r="456" spans="1:20" x14ac:dyDescent="0.3">
      <c r="A456">
        <v>37395</v>
      </c>
      <c r="B456" t="s">
        <v>21</v>
      </c>
      <c r="C456" s="3" t="s">
        <v>132</v>
      </c>
      <c r="D456" t="s">
        <v>133</v>
      </c>
      <c r="E456">
        <v>7868</v>
      </c>
      <c r="F456" t="s">
        <v>24</v>
      </c>
      <c r="H456" s="3" t="s">
        <v>134</v>
      </c>
      <c r="I456" s="3" t="s">
        <v>134</v>
      </c>
      <c r="J456" t="s">
        <v>21</v>
      </c>
      <c r="K456" t="s">
        <v>26</v>
      </c>
      <c r="L456" s="1">
        <v>45992</v>
      </c>
      <c r="M456" s="1">
        <v>46022</v>
      </c>
      <c r="N456" t="s">
        <v>27</v>
      </c>
      <c r="O456" t="s">
        <v>28</v>
      </c>
      <c r="Q456" t="s">
        <v>29</v>
      </c>
      <c r="R456" s="4" t="s">
        <v>137</v>
      </c>
      <c r="S456" s="4" t="s">
        <v>137</v>
      </c>
      <c r="T456" s="6">
        <v>0</v>
      </c>
    </row>
    <row r="457" spans="1:20" x14ac:dyDescent="0.3">
      <c r="A457">
        <v>37395</v>
      </c>
      <c r="B457" t="s">
        <v>21</v>
      </c>
      <c r="C457" s="3" t="s">
        <v>132</v>
      </c>
      <c r="D457" t="s">
        <v>133</v>
      </c>
      <c r="E457">
        <v>7868</v>
      </c>
      <c r="F457" t="s">
        <v>24</v>
      </c>
      <c r="H457" s="3" t="s">
        <v>134</v>
      </c>
      <c r="I457" s="3" t="s">
        <v>134</v>
      </c>
      <c r="J457" t="s">
        <v>21</v>
      </c>
      <c r="K457" t="s">
        <v>26</v>
      </c>
      <c r="L457" s="1">
        <v>45992</v>
      </c>
      <c r="M457" s="1">
        <v>46022</v>
      </c>
      <c r="N457" t="s">
        <v>27</v>
      </c>
      <c r="O457" t="s">
        <v>28</v>
      </c>
      <c r="Q457" t="s">
        <v>29</v>
      </c>
      <c r="R457" s="4" t="s">
        <v>138</v>
      </c>
      <c r="S457" s="4" t="s">
        <v>138</v>
      </c>
      <c r="T457" s="5">
        <v>0</v>
      </c>
    </row>
    <row r="458" spans="1:20" x14ac:dyDescent="0.3">
      <c r="A458">
        <v>37395</v>
      </c>
      <c r="B458" t="s">
        <v>21</v>
      </c>
      <c r="C458" s="3" t="s">
        <v>139</v>
      </c>
      <c r="D458" t="s">
        <v>140</v>
      </c>
      <c r="E458">
        <v>7868</v>
      </c>
      <c r="F458" t="s">
        <v>24</v>
      </c>
      <c r="H458" s="3" t="s">
        <v>141</v>
      </c>
      <c r="I458" s="3" t="s">
        <v>141</v>
      </c>
      <c r="J458" t="s">
        <v>21</v>
      </c>
      <c r="K458" t="s">
        <v>26</v>
      </c>
      <c r="L458" s="1">
        <v>45992</v>
      </c>
      <c r="M458" s="1">
        <v>46022</v>
      </c>
      <c r="N458" t="s">
        <v>27</v>
      </c>
      <c r="O458" t="s">
        <v>28</v>
      </c>
      <c r="Q458" t="s">
        <v>29</v>
      </c>
      <c r="R458" s="4" t="s">
        <v>142</v>
      </c>
      <c r="S458" s="4" t="s">
        <v>142</v>
      </c>
      <c r="T458" s="6">
        <v>0</v>
      </c>
    </row>
    <row r="459" spans="1:20" x14ac:dyDescent="0.3">
      <c r="A459">
        <v>37395</v>
      </c>
      <c r="B459" t="s">
        <v>21</v>
      </c>
      <c r="C459" s="3" t="s">
        <v>143</v>
      </c>
      <c r="D459" t="s">
        <v>144</v>
      </c>
      <c r="E459">
        <v>7868</v>
      </c>
      <c r="F459" t="s">
        <v>24</v>
      </c>
      <c r="H459" s="3" t="s">
        <v>145</v>
      </c>
      <c r="I459" s="3" t="s">
        <v>145</v>
      </c>
      <c r="J459" t="s">
        <v>21</v>
      </c>
      <c r="K459" t="s">
        <v>26</v>
      </c>
      <c r="L459" s="1">
        <v>45992</v>
      </c>
      <c r="M459" s="1">
        <v>46022</v>
      </c>
      <c r="N459" t="s">
        <v>27</v>
      </c>
      <c r="O459" t="s">
        <v>28</v>
      </c>
      <c r="Q459" t="s">
        <v>29</v>
      </c>
      <c r="R459" s="4" t="s">
        <v>146</v>
      </c>
      <c r="S459" s="4" t="s">
        <v>146</v>
      </c>
      <c r="T459" s="5">
        <v>119.2</v>
      </c>
    </row>
    <row r="460" spans="1:20" x14ac:dyDescent="0.3">
      <c r="A460">
        <v>37395</v>
      </c>
      <c r="B460" t="s">
        <v>21</v>
      </c>
      <c r="C460" s="3" t="s">
        <v>143</v>
      </c>
      <c r="D460" t="s">
        <v>144</v>
      </c>
      <c r="E460">
        <v>7868</v>
      </c>
      <c r="F460" t="s">
        <v>24</v>
      </c>
      <c r="H460" s="3" t="s">
        <v>145</v>
      </c>
      <c r="I460" s="3" t="s">
        <v>145</v>
      </c>
      <c r="J460" t="s">
        <v>21</v>
      </c>
      <c r="K460" t="s">
        <v>26</v>
      </c>
      <c r="L460" s="1">
        <v>45992</v>
      </c>
      <c r="M460" s="1">
        <v>46022</v>
      </c>
      <c r="N460" t="s">
        <v>27</v>
      </c>
      <c r="O460" t="s">
        <v>28</v>
      </c>
      <c r="Q460" t="s">
        <v>29</v>
      </c>
      <c r="R460" s="4" t="s">
        <v>147</v>
      </c>
      <c r="S460" s="4" t="s">
        <v>147</v>
      </c>
      <c r="T460" s="6">
        <v>14.2</v>
      </c>
    </row>
    <row r="461" spans="1:20" x14ac:dyDescent="0.3">
      <c r="A461">
        <v>37395</v>
      </c>
      <c r="B461" t="s">
        <v>21</v>
      </c>
      <c r="C461" s="3" t="s">
        <v>148</v>
      </c>
      <c r="D461" t="s">
        <v>149</v>
      </c>
      <c r="E461">
        <v>7868</v>
      </c>
      <c r="F461" t="s">
        <v>24</v>
      </c>
      <c r="H461" s="3" t="s">
        <v>150</v>
      </c>
      <c r="I461" s="3" t="s">
        <v>150</v>
      </c>
      <c r="J461" t="s">
        <v>21</v>
      </c>
      <c r="K461" t="s">
        <v>26</v>
      </c>
      <c r="L461" s="1">
        <v>45992</v>
      </c>
      <c r="M461" s="1">
        <v>46022</v>
      </c>
      <c r="N461" t="s">
        <v>27</v>
      </c>
      <c r="O461" t="s">
        <v>28</v>
      </c>
      <c r="Q461" t="s">
        <v>29</v>
      </c>
      <c r="R461" s="4" t="s">
        <v>151</v>
      </c>
      <c r="S461" s="4" t="s">
        <v>151</v>
      </c>
      <c r="T461" s="5">
        <v>7.6</v>
      </c>
    </row>
    <row r="462" spans="1:20" x14ac:dyDescent="0.3">
      <c r="A462">
        <v>37395</v>
      </c>
      <c r="B462" t="s">
        <v>21</v>
      </c>
      <c r="C462" s="3" t="s">
        <v>148</v>
      </c>
      <c r="D462" t="s">
        <v>149</v>
      </c>
      <c r="E462">
        <v>7868</v>
      </c>
      <c r="F462" t="s">
        <v>24</v>
      </c>
      <c r="H462" s="3" t="s">
        <v>150</v>
      </c>
      <c r="I462" s="3" t="s">
        <v>150</v>
      </c>
      <c r="J462" t="s">
        <v>21</v>
      </c>
      <c r="K462" t="s">
        <v>26</v>
      </c>
      <c r="L462" s="1">
        <v>45992</v>
      </c>
      <c r="M462" s="1">
        <v>46022</v>
      </c>
      <c r="N462" t="s">
        <v>27</v>
      </c>
      <c r="O462" t="s">
        <v>28</v>
      </c>
      <c r="Q462" t="s">
        <v>29</v>
      </c>
      <c r="R462" s="4" t="s">
        <v>152</v>
      </c>
      <c r="S462" s="4" t="s">
        <v>152</v>
      </c>
      <c r="T462" s="6">
        <v>2.9</v>
      </c>
    </row>
    <row r="463" spans="1:20" x14ac:dyDescent="0.3">
      <c r="A463">
        <v>37395</v>
      </c>
      <c r="B463" t="s">
        <v>21</v>
      </c>
      <c r="C463" s="3" t="s">
        <v>148</v>
      </c>
      <c r="D463" t="s">
        <v>149</v>
      </c>
      <c r="E463">
        <v>7868</v>
      </c>
      <c r="F463" t="s">
        <v>24</v>
      </c>
      <c r="H463" s="3" t="s">
        <v>150</v>
      </c>
      <c r="I463" s="3" t="s">
        <v>150</v>
      </c>
      <c r="J463" t="s">
        <v>21</v>
      </c>
      <c r="K463" t="s">
        <v>26</v>
      </c>
      <c r="L463" s="1">
        <v>45992</v>
      </c>
      <c r="M463" s="1">
        <v>46022</v>
      </c>
      <c r="N463" t="s">
        <v>27</v>
      </c>
      <c r="O463" t="s">
        <v>28</v>
      </c>
      <c r="Q463" t="s">
        <v>29</v>
      </c>
      <c r="R463" s="4" t="s">
        <v>153</v>
      </c>
      <c r="S463" s="4" t="s">
        <v>153</v>
      </c>
      <c r="T463" s="5">
        <v>-22.6</v>
      </c>
    </row>
    <row r="464" spans="1:20" x14ac:dyDescent="0.3">
      <c r="A464">
        <v>37395</v>
      </c>
      <c r="B464" t="s">
        <v>21</v>
      </c>
      <c r="C464" s="3" t="s">
        <v>154</v>
      </c>
      <c r="D464" t="s">
        <v>155</v>
      </c>
      <c r="E464">
        <v>7868</v>
      </c>
      <c r="F464" t="s">
        <v>24</v>
      </c>
      <c r="H464" s="3" t="s">
        <v>156</v>
      </c>
      <c r="I464" s="3" t="s">
        <v>156</v>
      </c>
      <c r="J464" t="s">
        <v>21</v>
      </c>
      <c r="K464" t="s">
        <v>26</v>
      </c>
      <c r="L464" s="1">
        <v>45992</v>
      </c>
      <c r="M464" s="1">
        <v>46022</v>
      </c>
      <c r="N464" t="s">
        <v>27</v>
      </c>
      <c r="O464" t="s">
        <v>28</v>
      </c>
      <c r="Q464" t="s">
        <v>29</v>
      </c>
      <c r="R464" s="4" t="s">
        <v>157</v>
      </c>
      <c r="S464" s="4" t="s">
        <v>157</v>
      </c>
      <c r="T464" s="6">
        <v>1.4</v>
      </c>
    </row>
    <row r="465" spans="1:20" x14ac:dyDescent="0.3">
      <c r="A465">
        <v>37395</v>
      </c>
      <c r="B465" t="s">
        <v>21</v>
      </c>
      <c r="C465" s="3" t="s">
        <v>158</v>
      </c>
      <c r="D465" t="s">
        <v>159</v>
      </c>
      <c r="E465">
        <v>7868</v>
      </c>
      <c r="F465" t="s">
        <v>24</v>
      </c>
      <c r="H465" s="3" t="s">
        <v>160</v>
      </c>
      <c r="I465" s="3" t="s">
        <v>160</v>
      </c>
      <c r="J465" t="s">
        <v>21</v>
      </c>
      <c r="K465" t="s">
        <v>26</v>
      </c>
      <c r="L465" s="1">
        <v>45992</v>
      </c>
      <c r="M465" s="1">
        <v>46022</v>
      </c>
      <c r="N465" t="s">
        <v>27</v>
      </c>
      <c r="O465" t="s">
        <v>28</v>
      </c>
      <c r="Q465" t="s">
        <v>29</v>
      </c>
      <c r="R465" s="4" t="s">
        <v>161</v>
      </c>
      <c r="S465" s="4" t="s">
        <v>161</v>
      </c>
      <c r="T465" s="5">
        <v>1.2</v>
      </c>
    </row>
    <row r="466" spans="1:20" x14ac:dyDescent="0.3">
      <c r="A466">
        <v>37395</v>
      </c>
      <c r="B466" t="s">
        <v>21</v>
      </c>
      <c r="C466" s="3" t="s">
        <v>162</v>
      </c>
      <c r="D466" t="s">
        <v>163</v>
      </c>
      <c r="E466">
        <v>7868</v>
      </c>
      <c r="F466" t="s">
        <v>24</v>
      </c>
      <c r="H466" s="3" t="s">
        <v>164</v>
      </c>
      <c r="I466" s="3" t="s">
        <v>164</v>
      </c>
      <c r="J466" t="s">
        <v>21</v>
      </c>
      <c r="K466" t="s">
        <v>26</v>
      </c>
      <c r="L466" s="1">
        <v>45992</v>
      </c>
      <c r="M466" s="1">
        <v>46022</v>
      </c>
      <c r="N466" t="s">
        <v>27</v>
      </c>
      <c r="O466" t="s">
        <v>28</v>
      </c>
      <c r="Q466" t="s">
        <v>29</v>
      </c>
      <c r="R466" s="4" t="s">
        <v>165</v>
      </c>
      <c r="S466" s="4" t="s">
        <v>165</v>
      </c>
      <c r="T466" s="6">
        <v>0</v>
      </c>
    </row>
    <row r="467" spans="1:20" x14ac:dyDescent="0.3">
      <c r="A467">
        <v>37395</v>
      </c>
      <c r="B467" t="s">
        <v>21</v>
      </c>
      <c r="C467" s="3" t="s">
        <v>166</v>
      </c>
      <c r="D467" t="s">
        <v>167</v>
      </c>
      <c r="E467">
        <v>7868</v>
      </c>
      <c r="F467" t="s">
        <v>24</v>
      </c>
      <c r="H467" s="3" t="s">
        <v>168</v>
      </c>
      <c r="I467" s="3" t="s">
        <v>168</v>
      </c>
      <c r="J467" t="s">
        <v>21</v>
      </c>
      <c r="K467" t="s">
        <v>26</v>
      </c>
      <c r="L467" s="1">
        <v>45992</v>
      </c>
      <c r="M467" s="1">
        <v>46022</v>
      </c>
      <c r="N467" t="s">
        <v>27</v>
      </c>
      <c r="O467" t="s">
        <v>28</v>
      </c>
      <c r="Q467" t="s">
        <v>29</v>
      </c>
      <c r="R467" s="4" t="s">
        <v>169</v>
      </c>
      <c r="S467" s="4" t="s">
        <v>169</v>
      </c>
      <c r="T467" s="5">
        <v>0</v>
      </c>
    </row>
    <row r="468" spans="1:20" x14ac:dyDescent="0.3">
      <c r="A468">
        <v>37395</v>
      </c>
      <c r="B468" t="s">
        <v>21</v>
      </c>
      <c r="C468" s="3" t="s">
        <v>166</v>
      </c>
      <c r="D468" t="s">
        <v>167</v>
      </c>
      <c r="E468">
        <v>7868</v>
      </c>
      <c r="F468" t="s">
        <v>24</v>
      </c>
      <c r="H468" s="3" t="s">
        <v>168</v>
      </c>
      <c r="I468" s="3" t="s">
        <v>168</v>
      </c>
      <c r="J468" t="s">
        <v>21</v>
      </c>
      <c r="K468" t="s">
        <v>26</v>
      </c>
      <c r="L468" s="1">
        <v>45992</v>
      </c>
      <c r="M468" s="1">
        <v>46022</v>
      </c>
      <c r="N468" t="s">
        <v>27</v>
      </c>
      <c r="O468" t="s">
        <v>28</v>
      </c>
      <c r="Q468" t="s">
        <v>29</v>
      </c>
      <c r="R468" s="4" t="s">
        <v>170</v>
      </c>
      <c r="S468" s="4" t="s">
        <v>170</v>
      </c>
      <c r="T468" s="6">
        <v>-0.6</v>
      </c>
    </row>
    <row r="469" spans="1:20" x14ac:dyDescent="0.3">
      <c r="A469">
        <v>37395</v>
      </c>
      <c r="B469" t="s">
        <v>21</v>
      </c>
      <c r="C469" s="3" t="s">
        <v>166</v>
      </c>
      <c r="D469" t="s">
        <v>167</v>
      </c>
      <c r="E469">
        <v>7868</v>
      </c>
      <c r="F469" t="s">
        <v>24</v>
      </c>
      <c r="H469" s="3" t="s">
        <v>168</v>
      </c>
      <c r="I469" s="3" t="s">
        <v>168</v>
      </c>
      <c r="J469" t="s">
        <v>21</v>
      </c>
      <c r="K469" t="s">
        <v>26</v>
      </c>
      <c r="L469" s="1">
        <v>45992</v>
      </c>
      <c r="M469" s="1">
        <v>46022</v>
      </c>
      <c r="N469" t="s">
        <v>27</v>
      </c>
      <c r="O469" t="s">
        <v>28</v>
      </c>
      <c r="Q469" t="s">
        <v>29</v>
      </c>
      <c r="R469" s="4" t="s">
        <v>171</v>
      </c>
      <c r="S469" s="4" t="s">
        <v>171</v>
      </c>
      <c r="T469" s="5">
        <v>1.1000000000000001</v>
      </c>
    </row>
    <row r="470" spans="1:20" x14ac:dyDescent="0.3">
      <c r="A470">
        <v>37395</v>
      </c>
      <c r="B470" t="s">
        <v>21</v>
      </c>
      <c r="C470" s="3" t="s">
        <v>166</v>
      </c>
      <c r="D470" t="s">
        <v>167</v>
      </c>
      <c r="E470">
        <v>7868</v>
      </c>
      <c r="F470" t="s">
        <v>24</v>
      </c>
      <c r="H470" s="3" t="s">
        <v>168</v>
      </c>
      <c r="I470" s="3" t="s">
        <v>168</v>
      </c>
      <c r="J470" t="s">
        <v>21</v>
      </c>
      <c r="K470" t="s">
        <v>26</v>
      </c>
      <c r="L470" s="1">
        <v>45992</v>
      </c>
      <c r="M470" s="1">
        <v>46022</v>
      </c>
      <c r="N470" t="s">
        <v>27</v>
      </c>
      <c r="O470" t="s">
        <v>28</v>
      </c>
      <c r="Q470" t="s">
        <v>29</v>
      </c>
      <c r="R470" s="4" t="s">
        <v>172</v>
      </c>
      <c r="S470" s="4" t="s">
        <v>172</v>
      </c>
      <c r="T470" s="6">
        <v>0</v>
      </c>
    </row>
    <row r="471" spans="1:20" x14ac:dyDescent="0.3">
      <c r="A471">
        <v>37395</v>
      </c>
      <c r="B471" t="s">
        <v>21</v>
      </c>
      <c r="C471" s="3" t="s">
        <v>166</v>
      </c>
      <c r="D471" t="s">
        <v>167</v>
      </c>
      <c r="E471">
        <v>7868</v>
      </c>
      <c r="F471" t="s">
        <v>24</v>
      </c>
      <c r="H471" s="3" t="s">
        <v>168</v>
      </c>
      <c r="I471" s="3" t="s">
        <v>168</v>
      </c>
      <c r="J471" t="s">
        <v>21</v>
      </c>
      <c r="K471" t="s">
        <v>26</v>
      </c>
      <c r="L471" s="1">
        <v>45992</v>
      </c>
      <c r="M471" s="1">
        <v>46022</v>
      </c>
      <c r="N471" t="s">
        <v>27</v>
      </c>
      <c r="O471" t="s">
        <v>28</v>
      </c>
      <c r="Q471" t="s">
        <v>29</v>
      </c>
      <c r="R471" s="4" t="s">
        <v>173</v>
      </c>
      <c r="S471" s="4" t="s">
        <v>173</v>
      </c>
      <c r="T471" s="5">
        <v>0</v>
      </c>
    </row>
    <row r="472" spans="1:20" x14ac:dyDescent="0.3">
      <c r="A472">
        <v>37395</v>
      </c>
      <c r="B472" t="s">
        <v>21</v>
      </c>
      <c r="C472" s="3" t="s">
        <v>174</v>
      </c>
      <c r="D472" t="s">
        <v>175</v>
      </c>
      <c r="E472">
        <v>7868</v>
      </c>
      <c r="F472" t="s">
        <v>24</v>
      </c>
      <c r="H472" s="3" t="s">
        <v>176</v>
      </c>
      <c r="I472" s="3" t="s">
        <v>176</v>
      </c>
      <c r="J472" t="s">
        <v>21</v>
      </c>
      <c r="K472" t="s">
        <v>26</v>
      </c>
      <c r="L472" s="1">
        <v>45992</v>
      </c>
      <c r="M472" s="1">
        <v>46022</v>
      </c>
      <c r="N472" t="s">
        <v>27</v>
      </c>
      <c r="O472" t="s">
        <v>28</v>
      </c>
      <c r="Q472" t="s">
        <v>29</v>
      </c>
      <c r="R472" s="7" t="s">
        <v>177</v>
      </c>
      <c r="S472" s="7" t="s">
        <v>177</v>
      </c>
      <c r="T472" s="6">
        <v>8.1999999999999904</v>
      </c>
    </row>
    <row r="473" spans="1:20" x14ac:dyDescent="0.3">
      <c r="A473">
        <v>37395</v>
      </c>
      <c r="B473" t="s">
        <v>21</v>
      </c>
      <c r="C473" s="3" t="s">
        <v>174</v>
      </c>
      <c r="D473" t="s">
        <v>175</v>
      </c>
      <c r="E473">
        <v>7868</v>
      </c>
      <c r="F473" t="s">
        <v>24</v>
      </c>
      <c r="H473" s="3" t="s">
        <v>176</v>
      </c>
      <c r="I473" s="3" t="s">
        <v>176</v>
      </c>
      <c r="J473" t="s">
        <v>21</v>
      </c>
      <c r="K473" t="s">
        <v>26</v>
      </c>
      <c r="L473" s="1">
        <v>45992</v>
      </c>
      <c r="M473" s="1">
        <v>46022</v>
      </c>
      <c r="N473" t="s">
        <v>27</v>
      </c>
      <c r="O473" t="s">
        <v>28</v>
      </c>
      <c r="Q473" t="s">
        <v>29</v>
      </c>
      <c r="R473" s="4" t="s">
        <v>178</v>
      </c>
      <c r="S473" s="4" t="s">
        <v>178</v>
      </c>
      <c r="T473" s="5">
        <v>0.1</v>
      </c>
    </row>
    <row r="474" spans="1:20" x14ac:dyDescent="0.3">
      <c r="A474">
        <v>37395</v>
      </c>
      <c r="B474" t="s">
        <v>21</v>
      </c>
      <c r="C474" s="3" t="s">
        <v>179</v>
      </c>
      <c r="D474" t="s">
        <v>180</v>
      </c>
      <c r="E474">
        <v>7868</v>
      </c>
      <c r="F474" t="s">
        <v>24</v>
      </c>
      <c r="H474" s="3" t="s">
        <v>181</v>
      </c>
      <c r="I474" s="3" t="s">
        <v>181</v>
      </c>
      <c r="J474" t="s">
        <v>21</v>
      </c>
      <c r="K474" t="s">
        <v>26</v>
      </c>
      <c r="L474" s="1">
        <v>45992</v>
      </c>
      <c r="M474" s="1">
        <v>46022</v>
      </c>
      <c r="N474" t="s">
        <v>27</v>
      </c>
      <c r="O474" t="s">
        <v>28</v>
      </c>
      <c r="Q474" t="s">
        <v>29</v>
      </c>
      <c r="R474" s="7" t="s">
        <v>182</v>
      </c>
      <c r="S474" s="7" t="s">
        <v>182</v>
      </c>
      <c r="T474" s="6">
        <v>0.1</v>
      </c>
    </row>
    <row r="475" spans="1:20" x14ac:dyDescent="0.3">
      <c r="A475">
        <v>37395</v>
      </c>
      <c r="B475" t="s">
        <v>21</v>
      </c>
      <c r="C475" s="3" t="s">
        <v>183</v>
      </c>
      <c r="D475" t="s">
        <v>184</v>
      </c>
      <c r="E475">
        <v>7868</v>
      </c>
      <c r="F475" t="s">
        <v>24</v>
      </c>
      <c r="H475" s="3" t="s">
        <v>185</v>
      </c>
      <c r="I475" s="3" t="s">
        <v>185</v>
      </c>
      <c r="J475" t="s">
        <v>21</v>
      </c>
      <c r="K475" t="s">
        <v>26</v>
      </c>
      <c r="L475" s="1">
        <v>45992</v>
      </c>
      <c r="M475" s="1">
        <v>46022</v>
      </c>
      <c r="N475" t="s">
        <v>27</v>
      </c>
      <c r="O475" t="s">
        <v>28</v>
      </c>
      <c r="Q475" t="s">
        <v>29</v>
      </c>
      <c r="R475" s="4" t="s">
        <v>186</v>
      </c>
      <c r="S475" s="4" t="s">
        <v>186</v>
      </c>
      <c r="T475" s="5">
        <v>-0.2</v>
      </c>
    </row>
    <row r="476" spans="1:20" x14ac:dyDescent="0.3">
      <c r="A476">
        <v>37395</v>
      </c>
      <c r="B476" t="s">
        <v>21</v>
      </c>
      <c r="C476" s="3" t="s">
        <v>22</v>
      </c>
      <c r="D476" t="s">
        <v>23</v>
      </c>
      <c r="E476">
        <v>7868</v>
      </c>
      <c r="F476" t="s">
        <v>24</v>
      </c>
      <c r="H476" s="3" t="s">
        <v>25</v>
      </c>
      <c r="I476" s="3" t="s">
        <v>25</v>
      </c>
      <c r="J476" t="s">
        <v>21</v>
      </c>
      <c r="K476" t="s">
        <v>26</v>
      </c>
      <c r="L476" s="1">
        <v>46023</v>
      </c>
      <c r="M476" s="1">
        <v>46053</v>
      </c>
      <c r="N476" t="s">
        <v>27</v>
      </c>
      <c r="O476" t="s">
        <v>28</v>
      </c>
      <c r="Q476" t="s">
        <v>29</v>
      </c>
      <c r="R476" s="4" t="s">
        <v>30</v>
      </c>
      <c r="S476" s="4" t="s">
        <v>30</v>
      </c>
      <c r="T476" s="5">
        <v>37.1</v>
      </c>
    </row>
    <row r="477" spans="1:20" x14ac:dyDescent="0.3">
      <c r="A477">
        <v>37395</v>
      </c>
      <c r="B477" t="s">
        <v>21</v>
      </c>
      <c r="C477" s="3" t="s">
        <v>22</v>
      </c>
      <c r="D477" t="s">
        <v>23</v>
      </c>
      <c r="E477">
        <v>7868</v>
      </c>
      <c r="F477" t="s">
        <v>24</v>
      </c>
      <c r="H477" s="3" t="s">
        <v>25</v>
      </c>
      <c r="I477" s="3" t="s">
        <v>25</v>
      </c>
      <c r="J477" t="s">
        <v>21</v>
      </c>
      <c r="K477" t="s">
        <v>26</v>
      </c>
      <c r="L477" s="1">
        <v>46023</v>
      </c>
      <c r="M477" s="1">
        <v>46053</v>
      </c>
      <c r="N477" t="s">
        <v>27</v>
      </c>
      <c r="O477" t="s">
        <v>28</v>
      </c>
      <c r="Q477" t="s">
        <v>29</v>
      </c>
      <c r="R477" s="4" t="s">
        <v>31</v>
      </c>
      <c r="S477" s="4" t="s">
        <v>31</v>
      </c>
      <c r="T477" s="6">
        <v>31.5</v>
      </c>
    </row>
    <row r="478" spans="1:20" x14ac:dyDescent="0.3">
      <c r="A478">
        <v>37395</v>
      </c>
      <c r="B478" t="s">
        <v>21</v>
      </c>
      <c r="C478" s="3" t="s">
        <v>22</v>
      </c>
      <c r="D478" t="s">
        <v>23</v>
      </c>
      <c r="E478">
        <v>7868</v>
      </c>
      <c r="F478" t="s">
        <v>24</v>
      </c>
      <c r="H478" s="3" t="s">
        <v>25</v>
      </c>
      <c r="I478" s="3" t="s">
        <v>25</v>
      </c>
      <c r="J478" t="s">
        <v>21</v>
      </c>
      <c r="K478" t="s">
        <v>26</v>
      </c>
      <c r="L478" s="1">
        <v>46023</v>
      </c>
      <c r="M478" s="1">
        <v>46053</v>
      </c>
      <c r="N478" t="s">
        <v>27</v>
      </c>
      <c r="O478" t="s">
        <v>28</v>
      </c>
      <c r="Q478" t="s">
        <v>29</v>
      </c>
      <c r="R478" s="4" t="s">
        <v>32</v>
      </c>
      <c r="S478" s="4" t="s">
        <v>32</v>
      </c>
      <c r="T478" s="5">
        <v>20.3</v>
      </c>
    </row>
    <row r="479" spans="1:20" x14ac:dyDescent="0.3">
      <c r="A479">
        <v>37395</v>
      </c>
      <c r="B479" t="s">
        <v>21</v>
      </c>
      <c r="C479" s="3" t="s">
        <v>22</v>
      </c>
      <c r="D479" t="s">
        <v>23</v>
      </c>
      <c r="E479">
        <v>7868</v>
      </c>
      <c r="F479" t="s">
        <v>24</v>
      </c>
      <c r="H479" s="3" t="s">
        <v>25</v>
      </c>
      <c r="I479" s="3" t="s">
        <v>25</v>
      </c>
      <c r="J479" t="s">
        <v>21</v>
      </c>
      <c r="K479" t="s">
        <v>26</v>
      </c>
      <c r="L479" s="1">
        <v>46023</v>
      </c>
      <c r="M479" s="1">
        <v>46053</v>
      </c>
      <c r="N479" t="s">
        <v>27</v>
      </c>
      <c r="O479" t="s">
        <v>28</v>
      </c>
      <c r="Q479" t="s">
        <v>29</v>
      </c>
      <c r="R479" s="4" t="s">
        <v>33</v>
      </c>
      <c r="S479" s="4" t="s">
        <v>33</v>
      </c>
      <c r="T479" s="6">
        <v>35.6</v>
      </c>
    </row>
    <row r="480" spans="1:20" x14ac:dyDescent="0.3">
      <c r="A480">
        <v>37395</v>
      </c>
      <c r="B480" t="s">
        <v>21</v>
      </c>
      <c r="C480" s="3" t="s">
        <v>22</v>
      </c>
      <c r="D480" t="s">
        <v>23</v>
      </c>
      <c r="E480">
        <v>7868</v>
      </c>
      <c r="F480" t="s">
        <v>24</v>
      </c>
      <c r="H480" s="3" t="s">
        <v>25</v>
      </c>
      <c r="I480" s="3" t="s">
        <v>25</v>
      </c>
      <c r="J480" t="s">
        <v>21</v>
      </c>
      <c r="K480" t="s">
        <v>26</v>
      </c>
      <c r="L480" s="1">
        <v>46023</v>
      </c>
      <c r="M480" s="1">
        <v>46053</v>
      </c>
      <c r="N480" t="s">
        <v>27</v>
      </c>
      <c r="O480" t="s">
        <v>28</v>
      </c>
      <c r="Q480" t="s">
        <v>29</v>
      </c>
      <c r="R480" s="4" t="s">
        <v>34</v>
      </c>
      <c r="S480" s="4" t="s">
        <v>34</v>
      </c>
      <c r="T480" s="5">
        <v>9.8000000000000007</v>
      </c>
    </row>
    <row r="481" spans="1:20" x14ac:dyDescent="0.3">
      <c r="A481">
        <v>37395</v>
      </c>
      <c r="B481" t="s">
        <v>21</v>
      </c>
      <c r="C481" s="3" t="s">
        <v>22</v>
      </c>
      <c r="D481" t="s">
        <v>23</v>
      </c>
      <c r="E481">
        <v>7868</v>
      </c>
      <c r="F481" t="s">
        <v>24</v>
      </c>
      <c r="H481" s="3" t="s">
        <v>25</v>
      </c>
      <c r="I481" s="3" t="s">
        <v>25</v>
      </c>
      <c r="J481" t="s">
        <v>21</v>
      </c>
      <c r="K481" t="s">
        <v>26</v>
      </c>
      <c r="L481" s="1">
        <v>46023</v>
      </c>
      <c r="M481" s="1">
        <v>46053</v>
      </c>
      <c r="N481" t="s">
        <v>27</v>
      </c>
      <c r="O481" t="s">
        <v>28</v>
      </c>
      <c r="Q481" t="s">
        <v>29</v>
      </c>
      <c r="R481" s="4" t="s">
        <v>35</v>
      </c>
      <c r="S481" s="4" t="s">
        <v>35</v>
      </c>
      <c r="T481" s="6">
        <v>0.1</v>
      </c>
    </row>
    <row r="482" spans="1:20" x14ac:dyDescent="0.3">
      <c r="A482">
        <v>37395</v>
      </c>
      <c r="B482" t="s">
        <v>21</v>
      </c>
      <c r="C482" s="3" t="s">
        <v>22</v>
      </c>
      <c r="D482" t="s">
        <v>23</v>
      </c>
      <c r="E482">
        <v>7868</v>
      </c>
      <c r="F482" t="s">
        <v>24</v>
      </c>
      <c r="H482" s="3" t="s">
        <v>25</v>
      </c>
      <c r="I482" s="3" t="s">
        <v>25</v>
      </c>
      <c r="J482" t="s">
        <v>21</v>
      </c>
      <c r="K482" t="s">
        <v>26</v>
      </c>
      <c r="L482" s="1">
        <v>46023</v>
      </c>
      <c r="M482" s="1">
        <v>46053</v>
      </c>
      <c r="N482" t="s">
        <v>27</v>
      </c>
      <c r="O482" t="s">
        <v>28</v>
      </c>
      <c r="Q482" t="s">
        <v>29</v>
      </c>
      <c r="R482" s="4" t="s">
        <v>36</v>
      </c>
      <c r="S482" s="4" t="s">
        <v>36</v>
      </c>
      <c r="T482" s="5">
        <v>45</v>
      </c>
    </row>
    <row r="483" spans="1:20" x14ac:dyDescent="0.3">
      <c r="A483">
        <v>37395</v>
      </c>
      <c r="B483" t="s">
        <v>21</v>
      </c>
      <c r="C483" s="3" t="s">
        <v>37</v>
      </c>
      <c r="D483" t="s">
        <v>38</v>
      </c>
      <c r="E483">
        <v>7868</v>
      </c>
      <c r="F483" t="s">
        <v>24</v>
      </c>
      <c r="H483" s="3" t="s">
        <v>39</v>
      </c>
      <c r="I483" s="3" t="s">
        <v>39</v>
      </c>
      <c r="J483" t="s">
        <v>21</v>
      </c>
      <c r="K483" t="s">
        <v>26</v>
      </c>
      <c r="L483" s="1">
        <v>46023</v>
      </c>
      <c r="M483" s="1">
        <v>46053</v>
      </c>
      <c r="N483" t="s">
        <v>27</v>
      </c>
      <c r="O483" t="s">
        <v>28</v>
      </c>
      <c r="Q483" t="s">
        <v>29</v>
      </c>
      <c r="R483" s="4" t="s">
        <v>40</v>
      </c>
      <c r="S483" s="4" t="s">
        <v>40</v>
      </c>
      <c r="T483" s="6">
        <v>25.6</v>
      </c>
    </row>
    <row r="484" spans="1:20" x14ac:dyDescent="0.3">
      <c r="A484">
        <v>37395</v>
      </c>
      <c r="B484" t="s">
        <v>21</v>
      </c>
      <c r="C484" s="3" t="s">
        <v>37</v>
      </c>
      <c r="D484" t="s">
        <v>38</v>
      </c>
      <c r="E484">
        <v>7868</v>
      </c>
      <c r="F484" t="s">
        <v>24</v>
      </c>
      <c r="H484" s="3" t="s">
        <v>39</v>
      </c>
      <c r="I484" s="3" t="s">
        <v>39</v>
      </c>
      <c r="J484" t="s">
        <v>21</v>
      </c>
      <c r="K484" t="s">
        <v>26</v>
      </c>
      <c r="L484" s="1">
        <v>46023</v>
      </c>
      <c r="M484" s="1">
        <v>46053</v>
      </c>
      <c r="N484" t="s">
        <v>27</v>
      </c>
      <c r="O484" t="s">
        <v>28</v>
      </c>
      <c r="Q484" t="s">
        <v>29</v>
      </c>
      <c r="R484" s="4" t="s">
        <v>41</v>
      </c>
      <c r="S484" s="4" t="s">
        <v>41</v>
      </c>
      <c r="T484" s="5">
        <v>4.5</v>
      </c>
    </row>
    <row r="485" spans="1:20" x14ac:dyDescent="0.3">
      <c r="A485">
        <v>37395</v>
      </c>
      <c r="B485" t="s">
        <v>21</v>
      </c>
      <c r="C485" s="3" t="s">
        <v>37</v>
      </c>
      <c r="D485" t="s">
        <v>38</v>
      </c>
      <c r="E485">
        <v>7868</v>
      </c>
      <c r="F485" t="s">
        <v>24</v>
      </c>
      <c r="H485" s="3" t="s">
        <v>39</v>
      </c>
      <c r="I485" s="3" t="s">
        <v>39</v>
      </c>
      <c r="J485" t="s">
        <v>21</v>
      </c>
      <c r="K485" t="s">
        <v>26</v>
      </c>
      <c r="L485" s="1">
        <v>46023</v>
      </c>
      <c r="M485" s="1">
        <v>46053</v>
      </c>
      <c r="N485" t="s">
        <v>27</v>
      </c>
      <c r="O485" t="s">
        <v>28</v>
      </c>
      <c r="Q485" t="s">
        <v>29</v>
      </c>
      <c r="R485" s="4" t="s">
        <v>42</v>
      </c>
      <c r="S485" s="4" t="s">
        <v>42</v>
      </c>
      <c r="T485" s="6">
        <v>2.9</v>
      </c>
    </row>
    <row r="486" spans="1:20" x14ac:dyDescent="0.3">
      <c r="A486">
        <v>37395</v>
      </c>
      <c r="B486" t="s">
        <v>21</v>
      </c>
      <c r="C486" s="3" t="s">
        <v>37</v>
      </c>
      <c r="D486" t="s">
        <v>38</v>
      </c>
      <c r="E486">
        <v>7868</v>
      </c>
      <c r="F486" t="s">
        <v>24</v>
      </c>
      <c r="H486" s="3" t="s">
        <v>39</v>
      </c>
      <c r="I486" s="3" t="s">
        <v>39</v>
      </c>
      <c r="J486" t="s">
        <v>21</v>
      </c>
      <c r="K486" t="s">
        <v>26</v>
      </c>
      <c r="L486" s="1">
        <v>46023</v>
      </c>
      <c r="M486" s="1">
        <v>46053</v>
      </c>
      <c r="N486" t="s">
        <v>27</v>
      </c>
      <c r="O486" t="s">
        <v>28</v>
      </c>
      <c r="Q486" t="s">
        <v>29</v>
      </c>
      <c r="R486" s="4" t="s">
        <v>43</v>
      </c>
      <c r="S486" s="4" t="s">
        <v>43</v>
      </c>
      <c r="T486" s="5">
        <v>25.2</v>
      </c>
    </row>
    <row r="487" spans="1:20" x14ac:dyDescent="0.3">
      <c r="A487">
        <v>37395</v>
      </c>
      <c r="B487" t="s">
        <v>21</v>
      </c>
      <c r="C487" s="3" t="s">
        <v>37</v>
      </c>
      <c r="D487" t="s">
        <v>38</v>
      </c>
      <c r="E487">
        <v>7868</v>
      </c>
      <c r="F487" t="s">
        <v>24</v>
      </c>
      <c r="H487" s="3" t="s">
        <v>39</v>
      </c>
      <c r="I487" s="3" t="s">
        <v>39</v>
      </c>
      <c r="J487" t="s">
        <v>21</v>
      </c>
      <c r="K487" t="s">
        <v>26</v>
      </c>
      <c r="L487" s="1">
        <v>46023</v>
      </c>
      <c r="M487" s="1">
        <v>46053</v>
      </c>
      <c r="N487" t="s">
        <v>27</v>
      </c>
      <c r="O487" t="s">
        <v>28</v>
      </c>
      <c r="Q487" t="s">
        <v>29</v>
      </c>
      <c r="R487" s="4" t="s">
        <v>44</v>
      </c>
      <c r="S487" s="4" t="s">
        <v>44</v>
      </c>
      <c r="T487" s="6">
        <v>5</v>
      </c>
    </row>
    <row r="488" spans="1:20" x14ac:dyDescent="0.3">
      <c r="A488">
        <v>37395</v>
      </c>
      <c r="B488" t="s">
        <v>21</v>
      </c>
      <c r="C488" s="3" t="s">
        <v>37</v>
      </c>
      <c r="D488" t="s">
        <v>38</v>
      </c>
      <c r="E488">
        <v>7868</v>
      </c>
      <c r="F488" t="s">
        <v>24</v>
      </c>
      <c r="H488" s="3" t="s">
        <v>39</v>
      </c>
      <c r="I488" s="3" t="s">
        <v>39</v>
      </c>
      <c r="J488" t="s">
        <v>21</v>
      </c>
      <c r="K488" t="s">
        <v>26</v>
      </c>
      <c r="L488" s="1">
        <v>46023</v>
      </c>
      <c r="M488" s="1">
        <v>46053</v>
      </c>
      <c r="N488" t="s">
        <v>27</v>
      </c>
      <c r="O488" t="s">
        <v>28</v>
      </c>
      <c r="Q488" t="s">
        <v>29</v>
      </c>
      <c r="R488" s="4" t="s">
        <v>45</v>
      </c>
      <c r="S488" s="4" t="s">
        <v>45</v>
      </c>
      <c r="T488" s="5">
        <v>0</v>
      </c>
    </row>
    <row r="489" spans="1:20" x14ac:dyDescent="0.3">
      <c r="A489">
        <v>37395</v>
      </c>
      <c r="B489" t="s">
        <v>21</v>
      </c>
      <c r="C489" s="3" t="s">
        <v>37</v>
      </c>
      <c r="D489" t="s">
        <v>38</v>
      </c>
      <c r="E489">
        <v>7868</v>
      </c>
      <c r="F489" t="s">
        <v>24</v>
      </c>
      <c r="H489" s="3" t="s">
        <v>39</v>
      </c>
      <c r="I489" s="3" t="s">
        <v>39</v>
      </c>
      <c r="J489" t="s">
        <v>21</v>
      </c>
      <c r="K489" t="s">
        <v>26</v>
      </c>
      <c r="L489" s="1">
        <v>46023</v>
      </c>
      <c r="M489" s="1">
        <v>46053</v>
      </c>
      <c r="N489" t="s">
        <v>27</v>
      </c>
      <c r="O489" t="s">
        <v>28</v>
      </c>
      <c r="Q489" t="s">
        <v>29</v>
      </c>
      <c r="R489" s="4" t="s">
        <v>46</v>
      </c>
      <c r="S489" s="4" t="s">
        <v>46</v>
      </c>
      <c r="T489" s="6">
        <v>0.5</v>
      </c>
    </row>
    <row r="490" spans="1:20" x14ac:dyDescent="0.3">
      <c r="A490">
        <v>37395</v>
      </c>
      <c r="B490" t="s">
        <v>21</v>
      </c>
      <c r="C490" s="3" t="s">
        <v>37</v>
      </c>
      <c r="D490" t="s">
        <v>38</v>
      </c>
      <c r="E490">
        <v>7868</v>
      </c>
      <c r="F490" t="s">
        <v>24</v>
      </c>
      <c r="H490" s="3" t="s">
        <v>39</v>
      </c>
      <c r="I490" s="3" t="s">
        <v>39</v>
      </c>
      <c r="J490" t="s">
        <v>21</v>
      </c>
      <c r="K490" t="s">
        <v>26</v>
      </c>
      <c r="L490" s="1">
        <v>46023</v>
      </c>
      <c r="M490" s="1">
        <v>46053</v>
      </c>
      <c r="N490" t="s">
        <v>27</v>
      </c>
      <c r="O490" t="s">
        <v>28</v>
      </c>
      <c r="Q490" t="s">
        <v>29</v>
      </c>
      <c r="R490" s="4" t="s">
        <v>47</v>
      </c>
      <c r="S490" s="4" t="s">
        <v>47</v>
      </c>
      <c r="T490" s="5">
        <v>0.1</v>
      </c>
    </row>
    <row r="491" spans="1:20" x14ac:dyDescent="0.3">
      <c r="A491">
        <v>37395</v>
      </c>
      <c r="B491" t="s">
        <v>21</v>
      </c>
      <c r="C491" s="3" t="s">
        <v>48</v>
      </c>
      <c r="D491" t="s">
        <v>49</v>
      </c>
      <c r="E491">
        <v>7868</v>
      </c>
      <c r="F491" t="s">
        <v>24</v>
      </c>
      <c r="H491" s="3" t="s">
        <v>50</v>
      </c>
      <c r="I491" s="3" t="s">
        <v>50</v>
      </c>
      <c r="J491" t="s">
        <v>21</v>
      </c>
      <c r="K491" t="s">
        <v>26</v>
      </c>
      <c r="L491" s="1">
        <v>46023</v>
      </c>
      <c r="M491" s="1">
        <v>46053</v>
      </c>
      <c r="N491" t="s">
        <v>27</v>
      </c>
      <c r="O491" t="s">
        <v>28</v>
      </c>
      <c r="Q491" t="s">
        <v>29</v>
      </c>
      <c r="R491" s="4" t="s">
        <v>51</v>
      </c>
      <c r="S491" s="4" t="s">
        <v>51</v>
      </c>
      <c r="T491" s="6">
        <v>0</v>
      </c>
    </row>
    <row r="492" spans="1:20" x14ac:dyDescent="0.3">
      <c r="A492">
        <v>37395</v>
      </c>
      <c r="B492" t="s">
        <v>21</v>
      </c>
      <c r="C492" s="3" t="s">
        <v>48</v>
      </c>
      <c r="D492" t="s">
        <v>49</v>
      </c>
      <c r="E492">
        <v>7868</v>
      </c>
      <c r="F492" t="s">
        <v>24</v>
      </c>
      <c r="H492" s="3" t="s">
        <v>50</v>
      </c>
      <c r="I492" s="3" t="s">
        <v>50</v>
      </c>
      <c r="J492" t="s">
        <v>21</v>
      </c>
      <c r="K492" t="s">
        <v>26</v>
      </c>
      <c r="L492" s="1">
        <v>46023</v>
      </c>
      <c r="M492" s="1">
        <v>46053</v>
      </c>
      <c r="N492" t="s">
        <v>27</v>
      </c>
      <c r="O492" t="s">
        <v>28</v>
      </c>
      <c r="Q492" t="s">
        <v>29</v>
      </c>
      <c r="R492" s="4" t="s">
        <v>52</v>
      </c>
      <c r="S492" s="4" t="s">
        <v>52</v>
      </c>
      <c r="T492" s="5">
        <v>0.1</v>
      </c>
    </row>
    <row r="493" spans="1:20" x14ac:dyDescent="0.3">
      <c r="A493">
        <v>37395</v>
      </c>
      <c r="B493" t="s">
        <v>21</v>
      </c>
      <c r="C493" s="3" t="s">
        <v>48</v>
      </c>
      <c r="D493" t="s">
        <v>49</v>
      </c>
      <c r="E493">
        <v>7868</v>
      </c>
      <c r="F493" t="s">
        <v>24</v>
      </c>
      <c r="H493" s="3" t="s">
        <v>50</v>
      </c>
      <c r="I493" s="3" t="s">
        <v>50</v>
      </c>
      <c r="J493" t="s">
        <v>21</v>
      </c>
      <c r="K493" t="s">
        <v>26</v>
      </c>
      <c r="L493" s="1">
        <v>46023</v>
      </c>
      <c r="M493" s="1">
        <v>46053</v>
      </c>
      <c r="N493" t="s">
        <v>27</v>
      </c>
      <c r="O493" t="s">
        <v>28</v>
      </c>
      <c r="Q493" t="s">
        <v>29</v>
      </c>
      <c r="R493" s="4" t="s">
        <v>53</v>
      </c>
      <c r="S493" s="4" t="s">
        <v>53</v>
      </c>
      <c r="T493" s="6">
        <v>19</v>
      </c>
    </row>
    <row r="494" spans="1:20" x14ac:dyDescent="0.3">
      <c r="A494">
        <v>37395</v>
      </c>
      <c r="B494" t="s">
        <v>21</v>
      </c>
      <c r="C494" s="3" t="s">
        <v>48</v>
      </c>
      <c r="D494" t="s">
        <v>49</v>
      </c>
      <c r="E494">
        <v>7868</v>
      </c>
      <c r="F494" t="s">
        <v>24</v>
      </c>
      <c r="H494" s="3" t="s">
        <v>50</v>
      </c>
      <c r="I494" s="3" t="s">
        <v>50</v>
      </c>
      <c r="J494" t="s">
        <v>21</v>
      </c>
      <c r="K494" t="s">
        <v>26</v>
      </c>
      <c r="L494" s="1">
        <v>46023</v>
      </c>
      <c r="M494" s="1">
        <v>46053</v>
      </c>
      <c r="N494" t="s">
        <v>27</v>
      </c>
      <c r="O494" t="s">
        <v>28</v>
      </c>
      <c r="Q494" t="s">
        <v>29</v>
      </c>
      <c r="R494" s="4" t="s">
        <v>54</v>
      </c>
      <c r="S494" s="4" t="s">
        <v>54</v>
      </c>
      <c r="T494" s="5">
        <v>10.199999999999999</v>
      </c>
    </row>
    <row r="495" spans="1:20" x14ac:dyDescent="0.3">
      <c r="A495">
        <v>37395</v>
      </c>
      <c r="B495" t="s">
        <v>21</v>
      </c>
      <c r="C495" s="3" t="s">
        <v>55</v>
      </c>
      <c r="D495" t="s">
        <v>56</v>
      </c>
      <c r="E495">
        <v>7868</v>
      </c>
      <c r="F495" t="s">
        <v>24</v>
      </c>
      <c r="H495" s="3" t="s">
        <v>57</v>
      </c>
      <c r="I495" s="3" t="s">
        <v>57</v>
      </c>
      <c r="J495" t="s">
        <v>21</v>
      </c>
      <c r="K495" t="s">
        <v>26</v>
      </c>
      <c r="L495" s="1">
        <v>46023</v>
      </c>
      <c r="M495" s="1">
        <v>46053</v>
      </c>
      <c r="N495" t="s">
        <v>27</v>
      </c>
      <c r="O495" t="s">
        <v>28</v>
      </c>
      <c r="Q495" t="s">
        <v>29</v>
      </c>
      <c r="R495" s="4" t="s">
        <v>58</v>
      </c>
      <c r="S495" s="4" t="s">
        <v>58</v>
      </c>
      <c r="T495" s="6">
        <v>11.6</v>
      </c>
    </row>
    <row r="496" spans="1:20" x14ac:dyDescent="0.3">
      <c r="A496">
        <v>37395</v>
      </c>
      <c r="B496" t="s">
        <v>21</v>
      </c>
      <c r="C496" s="3" t="s">
        <v>55</v>
      </c>
      <c r="D496" t="s">
        <v>56</v>
      </c>
      <c r="E496">
        <v>7868</v>
      </c>
      <c r="F496" t="s">
        <v>24</v>
      </c>
      <c r="H496" s="3" t="s">
        <v>57</v>
      </c>
      <c r="I496" s="3" t="s">
        <v>57</v>
      </c>
      <c r="J496" t="s">
        <v>21</v>
      </c>
      <c r="K496" t="s">
        <v>26</v>
      </c>
      <c r="L496" s="1">
        <v>46023</v>
      </c>
      <c r="M496" s="1">
        <v>46053</v>
      </c>
      <c r="N496" t="s">
        <v>27</v>
      </c>
      <c r="O496" t="s">
        <v>28</v>
      </c>
      <c r="Q496" t="s">
        <v>29</v>
      </c>
      <c r="R496" s="4" t="s">
        <v>59</v>
      </c>
      <c r="S496" s="4" t="s">
        <v>59</v>
      </c>
      <c r="T496" s="5">
        <v>-0.3</v>
      </c>
    </row>
    <row r="497" spans="1:20" x14ac:dyDescent="0.3">
      <c r="A497">
        <v>37395</v>
      </c>
      <c r="B497" t="s">
        <v>21</v>
      </c>
      <c r="C497" s="3" t="s">
        <v>60</v>
      </c>
      <c r="D497" t="s">
        <v>61</v>
      </c>
      <c r="E497">
        <v>7868</v>
      </c>
      <c r="F497" t="s">
        <v>24</v>
      </c>
      <c r="H497" s="3" t="s">
        <v>62</v>
      </c>
      <c r="I497" s="3" t="s">
        <v>62</v>
      </c>
      <c r="J497" t="s">
        <v>21</v>
      </c>
      <c r="K497" t="s">
        <v>26</v>
      </c>
      <c r="L497" s="1">
        <v>46023</v>
      </c>
      <c r="M497" s="1">
        <v>46053</v>
      </c>
      <c r="N497" t="s">
        <v>27</v>
      </c>
      <c r="O497" t="s">
        <v>28</v>
      </c>
      <c r="Q497" t="s">
        <v>29</v>
      </c>
      <c r="R497" s="4" t="s">
        <v>63</v>
      </c>
      <c r="S497" s="4" t="s">
        <v>63</v>
      </c>
      <c r="T497" s="6">
        <v>0</v>
      </c>
    </row>
    <row r="498" spans="1:20" x14ac:dyDescent="0.3">
      <c r="A498">
        <v>37395</v>
      </c>
      <c r="B498" t="s">
        <v>21</v>
      </c>
      <c r="C498" s="3" t="s">
        <v>60</v>
      </c>
      <c r="D498" t="s">
        <v>61</v>
      </c>
      <c r="E498">
        <v>7868</v>
      </c>
      <c r="F498" t="s">
        <v>24</v>
      </c>
      <c r="H498" s="3" t="s">
        <v>62</v>
      </c>
      <c r="I498" s="3" t="s">
        <v>62</v>
      </c>
      <c r="J498" t="s">
        <v>21</v>
      </c>
      <c r="K498" t="s">
        <v>26</v>
      </c>
      <c r="L498" s="1">
        <v>46023</v>
      </c>
      <c r="M498" s="1">
        <v>46053</v>
      </c>
      <c r="N498" t="s">
        <v>27</v>
      </c>
      <c r="O498" t="s">
        <v>28</v>
      </c>
      <c r="Q498" t="s">
        <v>29</v>
      </c>
      <c r="R498" s="4" t="s">
        <v>64</v>
      </c>
      <c r="S498" s="4" t="s">
        <v>64</v>
      </c>
      <c r="T498" s="5">
        <v>37.200000000000003</v>
      </c>
    </row>
    <row r="499" spans="1:20" x14ac:dyDescent="0.3">
      <c r="A499">
        <v>37395</v>
      </c>
      <c r="B499" t="s">
        <v>21</v>
      </c>
      <c r="C499" s="3" t="s">
        <v>60</v>
      </c>
      <c r="D499" t="s">
        <v>61</v>
      </c>
      <c r="E499">
        <v>7868</v>
      </c>
      <c r="F499" t="s">
        <v>24</v>
      </c>
      <c r="H499" s="3" t="s">
        <v>62</v>
      </c>
      <c r="I499" s="3" t="s">
        <v>62</v>
      </c>
      <c r="J499" t="s">
        <v>21</v>
      </c>
      <c r="K499" t="s">
        <v>26</v>
      </c>
      <c r="L499" s="1">
        <v>46023</v>
      </c>
      <c r="M499" s="1">
        <v>46053</v>
      </c>
      <c r="N499" t="s">
        <v>27</v>
      </c>
      <c r="O499" t="s">
        <v>28</v>
      </c>
      <c r="Q499" t="s">
        <v>29</v>
      </c>
      <c r="R499" s="4" t="s">
        <v>65</v>
      </c>
      <c r="S499" s="4" t="s">
        <v>65</v>
      </c>
      <c r="T499" s="6">
        <v>14.2</v>
      </c>
    </row>
    <row r="500" spans="1:20" x14ac:dyDescent="0.3">
      <c r="A500">
        <v>37395</v>
      </c>
      <c r="B500" t="s">
        <v>21</v>
      </c>
      <c r="C500" s="3" t="s">
        <v>66</v>
      </c>
      <c r="D500" t="s">
        <v>67</v>
      </c>
      <c r="E500">
        <v>7868</v>
      </c>
      <c r="F500" t="s">
        <v>24</v>
      </c>
      <c r="H500" s="3" t="s">
        <v>68</v>
      </c>
      <c r="I500" s="3" t="s">
        <v>68</v>
      </c>
      <c r="J500" t="s">
        <v>21</v>
      </c>
      <c r="K500" t="s">
        <v>26</v>
      </c>
      <c r="L500" s="1">
        <v>46023</v>
      </c>
      <c r="M500" s="1">
        <v>46053</v>
      </c>
      <c r="N500" t="s">
        <v>27</v>
      </c>
      <c r="O500" t="s">
        <v>28</v>
      </c>
      <c r="Q500" t="s">
        <v>29</v>
      </c>
      <c r="R500" s="4" t="s">
        <v>69</v>
      </c>
      <c r="S500" s="4" t="s">
        <v>69</v>
      </c>
      <c r="T500" s="5">
        <v>14.4</v>
      </c>
    </row>
    <row r="501" spans="1:20" x14ac:dyDescent="0.3">
      <c r="A501">
        <v>37395</v>
      </c>
      <c r="B501" t="s">
        <v>21</v>
      </c>
      <c r="C501" s="3" t="s">
        <v>66</v>
      </c>
      <c r="D501" t="s">
        <v>67</v>
      </c>
      <c r="E501">
        <v>7868</v>
      </c>
      <c r="F501" t="s">
        <v>24</v>
      </c>
      <c r="H501" s="3" t="s">
        <v>68</v>
      </c>
      <c r="I501" s="3" t="s">
        <v>68</v>
      </c>
      <c r="J501" t="s">
        <v>21</v>
      </c>
      <c r="K501" t="s">
        <v>26</v>
      </c>
      <c r="L501" s="1">
        <v>46023</v>
      </c>
      <c r="M501" s="1">
        <v>46053</v>
      </c>
      <c r="N501" t="s">
        <v>27</v>
      </c>
      <c r="O501" t="s">
        <v>28</v>
      </c>
      <c r="Q501" t="s">
        <v>29</v>
      </c>
      <c r="R501" s="4" t="s">
        <v>70</v>
      </c>
      <c r="S501" s="4" t="s">
        <v>70</v>
      </c>
      <c r="T501" s="6">
        <v>8.6999999999999993</v>
      </c>
    </row>
    <row r="502" spans="1:20" x14ac:dyDescent="0.3">
      <c r="A502">
        <v>37395</v>
      </c>
      <c r="B502" t="s">
        <v>21</v>
      </c>
      <c r="C502" s="3" t="s">
        <v>71</v>
      </c>
      <c r="D502" t="s">
        <v>72</v>
      </c>
      <c r="E502">
        <v>7868</v>
      </c>
      <c r="F502" t="s">
        <v>24</v>
      </c>
      <c r="H502" s="3" t="s">
        <v>73</v>
      </c>
      <c r="I502" s="3" t="s">
        <v>73</v>
      </c>
      <c r="J502" t="s">
        <v>21</v>
      </c>
      <c r="K502" t="s">
        <v>26</v>
      </c>
      <c r="L502" s="1">
        <v>46023</v>
      </c>
      <c r="M502" s="1">
        <v>46053</v>
      </c>
      <c r="N502" t="s">
        <v>27</v>
      </c>
      <c r="O502" t="s">
        <v>28</v>
      </c>
      <c r="Q502" t="s">
        <v>29</v>
      </c>
      <c r="R502" s="4" t="s">
        <v>74</v>
      </c>
      <c r="S502" s="4" t="s">
        <v>74</v>
      </c>
      <c r="T502" s="5">
        <v>7.3</v>
      </c>
    </row>
    <row r="503" spans="1:20" x14ac:dyDescent="0.3">
      <c r="A503">
        <v>37395</v>
      </c>
      <c r="B503" t="s">
        <v>21</v>
      </c>
      <c r="C503" s="3" t="s">
        <v>71</v>
      </c>
      <c r="D503" t="s">
        <v>72</v>
      </c>
      <c r="E503">
        <v>7868</v>
      </c>
      <c r="F503" t="s">
        <v>24</v>
      </c>
      <c r="H503" s="3" t="s">
        <v>73</v>
      </c>
      <c r="I503" s="3" t="s">
        <v>73</v>
      </c>
      <c r="J503" t="s">
        <v>21</v>
      </c>
      <c r="K503" t="s">
        <v>26</v>
      </c>
      <c r="L503" s="1">
        <v>46023</v>
      </c>
      <c r="M503" s="1">
        <v>46053</v>
      </c>
      <c r="N503" t="s">
        <v>27</v>
      </c>
      <c r="O503" t="s">
        <v>28</v>
      </c>
      <c r="Q503" t="s">
        <v>29</v>
      </c>
      <c r="R503" s="4" t="s">
        <v>75</v>
      </c>
      <c r="S503" s="4" t="s">
        <v>75</v>
      </c>
      <c r="T503" s="6">
        <v>7.5</v>
      </c>
    </row>
    <row r="504" spans="1:20" x14ac:dyDescent="0.3">
      <c r="A504">
        <v>37395</v>
      </c>
      <c r="B504" t="s">
        <v>21</v>
      </c>
      <c r="C504" s="3" t="s">
        <v>76</v>
      </c>
      <c r="D504" t="s">
        <v>77</v>
      </c>
      <c r="E504">
        <v>7868</v>
      </c>
      <c r="F504" t="s">
        <v>24</v>
      </c>
      <c r="H504" s="3" t="s">
        <v>78</v>
      </c>
      <c r="I504" s="3" t="s">
        <v>78</v>
      </c>
      <c r="J504" t="s">
        <v>21</v>
      </c>
      <c r="K504" t="s">
        <v>26</v>
      </c>
      <c r="L504" s="1">
        <v>46023</v>
      </c>
      <c r="M504" s="1">
        <v>46053</v>
      </c>
      <c r="N504" t="s">
        <v>27</v>
      </c>
      <c r="O504" t="s">
        <v>28</v>
      </c>
      <c r="Q504" t="s">
        <v>29</v>
      </c>
      <c r="R504" s="4" t="s">
        <v>79</v>
      </c>
      <c r="S504" s="4" t="s">
        <v>79</v>
      </c>
      <c r="T504" s="5">
        <v>10</v>
      </c>
    </row>
    <row r="505" spans="1:20" x14ac:dyDescent="0.3">
      <c r="A505">
        <v>37395</v>
      </c>
      <c r="B505" t="s">
        <v>21</v>
      </c>
      <c r="C505" s="3" t="s">
        <v>80</v>
      </c>
      <c r="D505" t="s">
        <v>81</v>
      </c>
      <c r="E505">
        <v>7868</v>
      </c>
      <c r="F505" t="s">
        <v>24</v>
      </c>
      <c r="H505" s="3" t="s">
        <v>82</v>
      </c>
      <c r="I505" s="3" t="s">
        <v>82</v>
      </c>
      <c r="J505" t="s">
        <v>21</v>
      </c>
      <c r="K505" t="s">
        <v>26</v>
      </c>
      <c r="L505" s="1">
        <v>46023</v>
      </c>
      <c r="M505" s="1">
        <v>46053</v>
      </c>
      <c r="N505" t="s">
        <v>27</v>
      </c>
      <c r="O505" t="s">
        <v>28</v>
      </c>
      <c r="Q505" t="s">
        <v>29</v>
      </c>
      <c r="R505" s="4" t="s">
        <v>83</v>
      </c>
      <c r="S505" s="4" t="s">
        <v>83</v>
      </c>
      <c r="T505" s="6">
        <v>0.1</v>
      </c>
    </row>
    <row r="506" spans="1:20" x14ac:dyDescent="0.3">
      <c r="A506">
        <v>37395</v>
      </c>
      <c r="B506" t="s">
        <v>21</v>
      </c>
      <c r="C506" s="3" t="s">
        <v>80</v>
      </c>
      <c r="D506" t="s">
        <v>81</v>
      </c>
      <c r="E506">
        <v>7868</v>
      </c>
      <c r="F506" t="s">
        <v>24</v>
      </c>
      <c r="H506" s="3" t="s">
        <v>82</v>
      </c>
      <c r="I506" s="3" t="s">
        <v>82</v>
      </c>
      <c r="J506" t="s">
        <v>21</v>
      </c>
      <c r="K506" t="s">
        <v>26</v>
      </c>
      <c r="L506" s="1">
        <v>46023</v>
      </c>
      <c r="M506" s="1">
        <v>46053</v>
      </c>
      <c r="N506" t="s">
        <v>27</v>
      </c>
      <c r="O506" t="s">
        <v>28</v>
      </c>
      <c r="Q506" t="s">
        <v>29</v>
      </c>
      <c r="R506" s="4" t="s">
        <v>84</v>
      </c>
      <c r="S506" s="4" t="s">
        <v>84</v>
      </c>
      <c r="T506" s="5">
        <v>4.4000000000000004</v>
      </c>
    </row>
    <row r="507" spans="1:20" x14ac:dyDescent="0.3">
      <c r="A507">
        <v>37395</v>
      </c>
      <c r="B507" t="s">
        <v>21</v>
      </c>
      <c r="C507" s="3" t="s">
        <v>80</v>
      </c>
      <c r="D507" t="s">
        <v>81</v>
      </c>
      <c r="E507">
        <v>7868</v>
      </c>
      <c r="F507" t="s">
        <v>24</v>
      </c>
      <c r="H507" s="3" t="s">
        <v>82</v>
      </c>
      <c r="I507" s="3" t="s">
        <v>82</v>
      </c>
      <c r="J507" t="s">
        <v>21</v>
      </c>
      <c r="K507" t="s">
        <v>26</v>
      </c>
      <c r="L507" s="1">
        <v>46023</v>
      </c>
      <c r="M507" s="1">
        <v>46053</v>
      </c>
      <c r="N507" t="s">
        <v>27</v>
      </c>
      <c r="O507" t="s">
        <v>28</v>
      </c>
      <c r="Q507" t="s">
        <v>29</v>
      </c>
      <c r="R507" s="4" t="s">
        <v>85</v>
      </c>
      <c r="S507" s="4" t="s">
        <v>85</v>
      </c>
      <c r="T507" s="6">
        <v>2.2000000000000002</v>
      </c>
    </row>
    <row r="508" spans="1:20" x14ac:dyDescent="0.3">
      <c r="A508">
        <v>37395</v>
      </c>
      <c r="B508" t="s">
        <v>21</v>
      </c>
      <c r="C508" s="3" t="s">
        <v>80</v>
      </c>
      <c r="D508" t="s">
        <v>81</v>
      </c>
      <c r="E508">
        <v>7868</v>
      </c>
      <c r="F508" t="s">
        <v>24</v>
      </c>
      <c r="H508" s="3" t="s">
        <v>82</v>
      </c>
      <c r="I508" s="3" t="s">
        <v>82</v>
      </c>
      <c r="J508" t="s">
        <v>21</v>
      </c>
      <c r="K508" t="s">
        <v>26</v>
      </c>
      <c r="L508" s="1">
        <v>46023</v>
      </c>
      <c r="M508" s="1">
        <v>46053</v>
      </c>
      <c r="N508" t="s">
        <v>27</v>
      </c>
      <c r="O508" t="s">
        <v>28</v>
      </c>
      <c r="Q508" t="s">
        <v>29</v>
      </c>
      <c r="R508" s="4" t="s">
        <v>86</v>
      </c>
      <c r="S508" s="4" t="s">
        <v>86</v>
      </c>
      <c r="T508" s="5">
        <v>0</v>
      </c>
    </row>
    <row r="509" spans="1:20" x14ac:dyDescent="0.3">
      <c r="A509">
        <v>37395</v>
      </c>
      <c r="B509" t="s">
        <v>21</v>
      </c>
      <c r="C509" s="3" t="s">
        <v>87</v>
      </c>
      <c r="D509" t="s">
        <v>88</v>
      </c>
      <c r="E509">
        <v>7868</v>
      </c>
      <c r="F509" t="s">
        <v>24</v>
      </c>
      <c r="H509" s="3" t="s">
        <v>89</v>
      </c>
      <c r="I509" s="3" t="s">
        <v>89</v>
      </c>
      <c r="J509" t="s">
        <v>21</v>
      </c>
      <c r="K509" t="s">
        <v>26</v>
      </c>
      <c r="L509" s="1">
        <v>46023</v>
      </c>
      <c r="M509" s="1">
        <v>46053</v>
      </c>
      <c r="N509" t="s">
        <v>27</v>
      </c>
      <c r="O509" t="s">
        <v>28</v>
      </c>
      <c r="Q509" t="s">
        <v>29</v>
      </c>
      <c r="R509" s="4" t="s">
        <v>90</v>
      </c>
      <c r="S509" s="4" t="s">
        <v>90</v>
      </c>
      <c r="T509" s="6">
        <v>0.1</v>
      </c>
    </row>
    <row r="510" spans="1:20" x14ac:dyDescent="0.3">
      <c r="A510">
        <v>37395</v>
      </c>
      <c r="B510" t="s">
        <v>21</v>
      </c>
      <c r="C510" s="3" t="s">
        <v>87</v>
      </c>
      <c r="D510" t="s">
        <v>88</v>
      </c>
      <c r="E510">
        <v>7868</v>
      </c>
      <c r="F510" t="s">
        <v>24</v>
      </c>
      <c r="H510" s="3" t="s">
        <v>89</v>
      </c>
      <c r="I510" s="3" t="s">
        <v>89</v>
      </c>
      <c r="J510" t="s">
        <v>21</v>
      </c>
      <c r="K510" t="s">
        <v>26</v>
      </c>
      <c r="L510" s="1">
        <v>46023</v>
      </c>
      <c r="M510" s="1">
        <v>46053</v>
      </c>
      <c r="N510" t="s">
        <v>27</v>
      </c>
      <c r="O510" t="s">
        <v>28</v>
      </c>
      <c r="Q510" t="s">
        <v>29</v>
      </c>
      <c r="R510" s="4" t="s">
        <v>91</v>
      </c>
      <c r="S510" s="4" t="s">
        <v>91</v>
      </c>
      <c r="T510" s="5">
        <v>0</v>
      </c>
    </row>
    <row r="511" spans="1:20" x14ac:dyDescent="0.3">
      <c r="A511">
        <v>37395</v>
      </c>
      <c r="B511" t="s">
        <v>21</v>
      </c>
      <c r="C511" s="3" t="s">
        <v>87</v>
      </c>
      <c r="D511" t="s">
        <v>88</v>
      </c>
      <c r="E511">
        <v>7868</v>
      </c>
      <c r="F511" t="s">
        <v>24</v>
      </c>
      <c r="H511" s="3" t="s">
        <v>89</v>
      </c>
      <c r="I511" s="3" t="s">
        <v>89</v>
      </c>
      <c r="J511" t="s">
        <v>21</v>
      </c>
      <c r="K511" t="s">
        <v>26</v>
      </c>
      <c r="L511" s="1">
        <v>46023</v>
      </c>
      <c r="M511" s="1">
        <v>46053</v>
      </c>
      <c r="N511" t="s">
        <v>27</v>
      </c>
      <c r="O511" t="s">
        <v>28</v>
      </c>
      <c r="Q511" t="s">
        <v>29</v>
      </c>
      <c r="R511" s="4" t="s">
        <v>92</v>
      </c>
      <c r="S511" s="4" t="s">
        <v>92</v>
      </c>
      <c r="T511" s="6">
        <v>0.4</v>
      </c>
    </row>
    <row r="512" spans="1:20" x14ac:dyDescent="0.3">
      <c r="A512">
        <v>37395</v>
      </c>
      <c r="B512" t="s">
        <v>21</v>
      </c>
      <c r="C512" s="3" t="s">
        <v>93</v>
      </c>
      <c r="D512" t="s">
        <v>94</v>
      </c>
      <c r="E512">
        <v>7868</v>
      </c>
      <c r="F512" t="s">
        <v>24</v>
      </c>
      <c r="H512" s="3" t="s">
        <v>95</v>
      </c>
      <c r="I512" s="3" t="s">
        <v>95</v>
      </c>
      <c r="J512" t="s">
        <v>21</v>
      </c>
      <c r="K512" t="s">
        <v>26</v>
      </c>
      <c r="L512" s="1">
        <v>46023</v>
      </c>
      <c r="M512" s="1">
        <v>46053</v>
      </c>
      <c r="N512" t="s">
        <v>27</v>
      </c>
      <c r="O512" t="s">
        <v>28</v>
      </c>
      <c r="Q512" t="s">
        <v>29</v>
      </c>
      <c r="R512" s="4" t="s">
        <v>96</v>
      </c>
      <c r="S512" s="4" t="s">
        <v>96</v>
      </c>
      <c r="T512" s="5">
        <v>0</v>
      </c>
    </row>
    <row r="513" spans="1:20" x14ac:dyDescent="0.3">
      <c r="A513">
        <v>37395</v>
      </c>
      <c r="B513" t="s">
        <v>21</v>
      </c>
      <c r="C513" s="3" t="s">
        <v>97</v>
      </c>
      <c r="D513" t="s">
        <v>98</v>
      </c>
      <c r="E513">
        <v>7868</v>
      </c>
      <c r="F513" t="s">
        <v>24</v>
      </c>
      <c r="H513" s="3" t="s">
        <v>99</v>
      </c>
      <c r="I513" s="3" t="s">
        <v>99</v>
      </c>
      <c r="J513" t="s">
        <v>21</v>
      </c>
      <c r="K513" t="s">
        <v>26</v>
      </c>
      <c r="L513" s="1">
        <v>46023</v>
      </c>
      <c r="M513" s="1">
        <v>46053</v>
      </c>
      <c r="N513" t="s">
        <v>27</v>
      </c>
      <c r="O513" t="s">
        <v>28</v>
      </c>
      <c r="Q513" t="s">
        <v>29</v>
      </c>
      <c r="R513" s="4" t="s">
        <v>100</v>
      </c>
      <c r="S513" s="4" t="s">
        <v>100</v>
      </c>
      <c r="T513" s="6">
        <v>0</v>
      </c>
    </row>
    <row r="514" spans="1:20" x14ac:dyDescent="0.3">
      <c r="A514">
        <v>37395</v>
      </c>
      <c r="B514" t="s">
        <v>21</v>
      </c>
      <c r="C514" s="3" t="s">
        <v>97</v>
      </c>
      <c r="D514" t="s">
        <v>98</v>
      </c>
      <c r="E514">
        <v>7868</v>
      </c>
      <c r="F514" t="s">
        <v>24</v>
      </c>
      <c r="H514" s="3" t="s">
        <v>99</v>
      </c>
      <c r="I514" s="3" t="s">
        <v>99</v>
      </c>
      <c r="J514" t="s">
        <v>21</v>
      </c>
      <c r="K514" t="s">
        <v>26</v>
      </c>
      <c r="L514" s="1">
        <v>46023</v>
      </c>
      <c r="M514" s="1">
        <v>46053</v>
      </c>
      <c r="N514" t="s">
        <v>27</v>
      </c>
      <c r="O514" t="s">
        <v>28</v>
      </c>
      <c r="Q514" t="s">
        <v>29</v>
      </c>
      <c r="R514" s="4" t="s">
        <v>101</v>
      </c>
      <c r="S514" s="4" t="s">
        <v>101</v>
      </c>
      <c r="T514" s="5">
        <v>18.5</v>
      </c>
    </row>
    <row r="515" spans="1:20" x14ac:dyDescent="0.3">
      <c r="A515">
        <v>37395</v>
      </c>
      <c r="B515" t="s">
        <v>21</v>
      </c>
      <c r="C515" s="3" t="s">
        <v>102</v>
      </c>
      <c r="D515" t="s">
        <v>103</v>
      </c>
      <c r="E515">
        <v>7868</v>
      </c>
      <c r="F515" t="s">
        <v>24</v>
      </c>
      <c r="H515" s="3" t="s">
        <v>104</v>
      </c>
      <c r="I515" s="3" t="s">
        <v>104</v>
      </c>
      <c r="J515" t="s">
        <v>21</v>
      </c>
      <c r="K515" t="s">
        <v>26</v>
      </c>
      <c r="L515" s="1">
        <v>46023</v>
      </c>
      <c r="M515" s="1">
        <v>46053</v>
      </c>
      <c r="N515" t="s">
        <v>27</v>
      </c>
      <c r="O515" t="s">
        <v>28</v>
      </c>
      <c r="Q515" t="s">
        <v>29</v>
      </c>
      <c r="R515" s="4" t="s">
        <v>105</v>
      </c>
      <c r="S515" s="4" t="s">
        <v>105</v>
      </c>
      <c r="T515" s="6">
        <v>0</v>
      </c>
    </row>
    <row r="516" spans="1:20" x14ac:dyDescent="0.3">
      <c r="A516">
        <v>37395</v>
      </c>
      <c r="B516" t="s">
        <v>21</v>
      </c>
      <c r="C516" s="3" t="s">
        <v>106</v>
      </c>
      <c r="D516" t="s">
        <v>107</v>
      </c>
      <c r="E516">
        <v>7868</v>
      </c>
      <c r="F516" t="s">
        <v>24</v>
      </c>
      <c r="H516" s="3" t="s">
        <v>108</v>
      </c>
      <c r="I516" s="3" t="s">
        <v>108</v>
      </c>
      <c r="J516" t="s">
        <v>21</v>
      </c>
      <c r="K516" t="s">
        <v>26</v>
      </c>
      <c r="L516" s="1">
        <v>46023</v>
      </c>
      <c r="M516" s="1">
        <v>46053</v>
      </c>
      <c r="N516" t="s">
        <v>27</v>
      </c>
      <c r="O516" t="s">
        <v>28</v>
      </c>
      <c r="Q516" t="s">
        <v>29</v>
      </c>
      <c r="R516" s="4" t="s">
        <v>109</v>
      </c>
      <c r="S516" s="4" t="s">
        <v>109</v>
      </c>
      <c r="T516" s="5">
        <v>42.9</v>
      </c>
    </row>
    <row r="517" spans="1:20" x14ac:dyDescent="0.3">
      <c r="A517">
        <v>37395</v>
      </c>
      <c r="B517" t="s">
        <v>21</v>
      </c>
      <c r="C517" s="3" t="s">
        <v>106</v>
      </c>
      <c r="D517" t="s">
        <v>107</v>
      </c>
      <c r="E517">
        <v>7868</v>
      </c>
      <c r="F517" t="s">
        <v>24</v>
      </c>
      <c r="H517" s="3" t="s">
        <v>108</v>
      </c>
      <c r="I517" s="3" t="s">
        <v>108</v>
      </c>
      <c r="J517" t="s">
        <v>21</v>
      </c>
      <c r="K517" t="s">
        <v>26</v>
      </c>
      <c r="L517" s="1">
        <v>46023</v>
      </c>
      <c r="M517" s="1">
        <v>46053</v>
      </c>
      <c r="N517" t="s">
        <v>27</v>
      </c>
      <c r="O517" t="s">
        <v>28</v>
      </c>
      <c r="Q517" t="s">
        <v>29</v>
      </c>
      <c r="R517" s="4" t="s">
        <v>110</v>
      </c>
      <c r="S517" s="4" t="s">
        <v>110</v>
      </c>
      <c r="T517" s="6">
        <v>1.8</v>
      </c>
    </row>
    <row r="518" spans="1:20" x14ac:dyDescent="0.3">
      <c r="A518">
        <v>37395</v>
      </c>
      <c r="B518" t="s">
        <v>21</v>
      </c>
      <c r="C518" s="3" t="s">
        <v>106</v>
      </c>
      <c r="D518" t="s">
        <v>107</v>
      </c>
      <c r="E518">
        <v>7868</v>
      </c>
      <c r="F518" t="s">
        <v>24</v>
      </c>
      <c r="H518" s="3" t="s">
        <v>108</v>
      </c>
      <c r="I518" s="3" t="s">
        <v>108</v>
      </c>
      <c r="J518" t="s">
        <v>21</v>
      </c>
      <c r="K518" t="s">
        <v>26</v>
      </c>
      <c r="L518" s="1">
        <v>46023</v>
      </c>
      <c r="M518" s="1">
        <v>46053</v>
      </c>
      <c r="N518" t="s">
        <v>27</v>
      </c>
      <c r="O518" t="s">
        <v>28</v>
      </c>
      <c r="Q518" t="s">
        <v>29</v>
      </c>
      <c r="R518" s="4" t="s">
        <v>111</v>
      </c>
      <c r="S518" s="4" t="s">
        <v>111</v>
      </c>
      <c r="T518" s="5">
        <v>3.1</v>
      </c>
    </row>
    <row r="519" spans="1:20" x14ac:dyDescent="0.3">
      <c r="A519">
        <v>37395</v>
      </c>
      <c r="B519" t="s">
        <v>21</v>
      </c>
      <c r="C519" s="3" t="s">
        <v>106</v>
      </c>
      <c r="D519" t="s">
        <v>107</v>
      </c>
      <c r="E519">
        <v>7868</v>
      </c>
      <c r="F519" t="s">
        <v>24</v>
      </c>
      <c r="H519" s="3" t="s">
        <v>108</v>
      </c>
      <c r="I519" s="3" t="s">
        <v>108</v>
      </c>
      <c r="J519" t="s">
        <v>21</v>
      </c>
      <c r="K519" t="s">
        <v>26</v>
      </c>
      <c r="L519" s="1">
        <v>46023</v>
      </c>
      <c r="M519" s="1">
        <v>46053</v>
      </c>
      <c r="N519" t="s">
        <v>27</v>
      </c>
      <c r="O519" t="s">
        <v>28</v>
      </c>
      <c r="Q519" t="s">
        <v>29</v>
      </c>
      <c r="R519" s="4" t="s">
        <v>112</v>
      </c>
      <c r="S519" s="4" t="s">
        <v>112</v>
      </c>
      <c r="T519" s="6">
        <v>0.8</v>
      </c>
    </row>
    <row r="520" spans="1:20" x14ac:dyDescent="0.3">
      <c r="A520">
        <v>37395</v>
      </c>
      <c r="B520" t="s">
        <v>21</v>
      </c>
      <c r="C520" s="3" t="s">
        <v>106</v>
      </c>
      <c r="D520" t="s">
        <v>107</v>
      </c>
      <c r="E520">
        <v>7868</v>
      </c>
      <c r="F520" t="s">
        <v>24</v>
      </c>
      <c r="H520" s="3" t="s">
        <v>108</v>
      </c>
      <c r="I520" s="3" t="s">
        <v>108</v>
      </c>
      <c r="J520" t="s">
        <v>21</v>
      </c>
      <c r="K520" t="s">
        <v>26</v>
      </c>
      <c r="L520" s="1">
        <v>46023</v>
      </c>
      <c r="M520" s="1">
        <v>46053</v>
      </c>
      <c r="N520" t="s">
        <v>27</v>
      </c>
      <c r="O520" t="s">
        <v>28</v>
      </c>
      <c r="Q520" t="s">
        <v>29</v>
      </c>
      <c r="R520" s="4" t="s">
        <v>113</v>
      </c>
      <c r="S520" s="4" t="s">
        <v>113</v>
      </c>
      <c r="T520" s="5">
        <v>0</v>
      </c>
    </row>
    <row r="521" spans="1:20" x14ac:dyDescent="0.3">
      <c r="A521">
        <v>37395</v>
      </c>
      <c r="B521" t="s">
        <v>21</v>
      </c>
      <c r="C521" s="3" t="s">
        <v>106</v>
      </c>
      <c r="D521" t="s">
        <v>107</v>
      </c>
      <c r="E521">
        <v>7868</v>
      </c>
      <c r="F521" t="s">
        <v>24</v>
      </c>
      <c r="H521" s="3" t="s">
        <v>108</v>
      </c>
      <c r="I521" s="3" t="s">
        <v>108</v>
      </c>
      <c r="J521" t="s">
        <v>21</v>
      </c>
      <c r="K521" t="s">
        <v>26</v>
      </c>
      <c r="L521" s="1">
        <v>46023</v>
      </c>
      <c r="M521" s="1">
        <v>46053</v>
      </c>
      <c r="N521" t="s">
        <v>27</v>
      </c>
      <c r="O521" t="s">
        <v>28</v>
      </c>
      <c r="Q521" t="s">
        <v>29</v>
      </c>
      <c r="R521" s="4" t="s">
        <v>114</v>
      </c>
      <c r="S521" s="4" t="s">
        <v>114</v>
      </c>
      <c r="T521" s="6">
        <v>1.8</v>
      </c>
    </row>
    <row r="522" spans="1:20" x14ac:dyDescent="0.3">
      <c r="A522">
        <v>37395</v>
      </c>
      <c r="B522" t="s">
        <v>21</v>
      </c>
      <c r="C522" s="3" t="s">
        <v>106</v>
      </c>
      <c r="D522" t="s">
        <v>107</v>
      </c>
      <c r="E522">
        <v>7868</v>
      </c>
      <c r="F522" t="s">
        <v>24</v>
      </c>
      <c r="H522" s="3" t="s">
        <v>108</v>
      </c>
      <c r="I522" s="3" t="s">
        <v>108</v>
      </c>
      <c r="J522" t="s">
        <v>21</v>
      </c>
      <c r="K522" t="s">
        <v>26</v>
      </c>
      <c r="L522" s="1">
        <v>46023</v>
      </c>
      <c r="M522" s="1">
        <v>46053</v>
      </c>
      <c r="N522" t="s">
        <v>27</v>
      </c>
      <c r="O522" t="s">
        <v>28</v>
      </c>
      <c r="Q522" t="s">
        <v>29</v>
      </c>
      <c r="R522" s="4" t="s">
        <v>115</v>
      </c>
      <c r="S522" s="4" t="s">
        <v>115</v>
      </c>
      <c r="T522" s="5">
        <v>0</v>
      </c>
    </row>
    <row r="523" spans="1:20" x14ac:dyDescent="0.3">
      <c r="A523">
        <v>37395</v>
      </c>
      <c r="B523" t="s">
        <v>21</v>
      </c>
      <c r="C523" s="3" t="s">
        <v>116</v>
      </c>
      <c r="D523" t="s">
        <v>117</v>
      </c>
      <c r="E523">
        <v>7868</v>
      </c>
      <c r="F523" t="s">
        <v>24</v>
      </c>
      <c r="H523" s="3" t="s">
        <v>118</v>
      </c>
      <c r="I523" s="3" t="s">
        <v>118</v>
      </c>
      <c r="J523" t="s">
        <v>21</v>
      </c>
      <c r="K523" t="s">
        <v>26</v>
      </c>
      <c r="L523" s="1">
        <v>46023</v>
      </c>
      <c r="M523" s="1">
        <v>46053</v>
      </c>
      <c r="N523" t="s">
        <v>27</v>
      </c>
      <c r="O523" t="s">
        <v>28</v>
      </c>
      <c r="Q523" t="s">
        <v>29</v>
      </c>
      <c r="R523" s="4" t="s">
        <v>119</v>
      </c>
      <c r="S523" s="4" t="s">
        <v>119</v>
      </c>
      <c r="T523" s="6">
        <v>1.2</v>
      </c>
    </row>
    <row r="524" spans="1:20" x14ac:dyDescent="0.3">
      <c r="A524">
        <v>37395</v>
      </c>
      <c r="B524" t="s">
        <v>21</v>
      </c>
      <c r="C524" s="3" t="s">
        <v>116</v>
      </c>
      <c r="D524" t="s">
        <v>117</v>
      </c>
      <c r="E524">
        <v>7868</v>
      </c>
      <c r="F524" t="s">
        <v>24</v>
      </c>
      <c r="H524" s="3" t="s">
        <v>118</v>
      </c>
      <c r="I524" s="3" t="s">
        <v>118</v>
      </c>
      <c r="J524" t="s">
        <v>21</v>
      </c>
      <c r="K524" t="s">
        <v>26</v>
      </c>
      <c r="L524" s="1">
        <v>46023</v>
      </c>
      <c r="M524" s="1">
        <v>46053</v>
      </c>
      <c r="N524" t="s">
        <v>27</v>
      </c>
      <c r="O524" t="s">
        <v>28</v>
      </c>
      <c r="Q524" t="s">
        <v>29</v>
      </c>
      <c r="R524" s="4" t="s">
        <v>120</v>
      </c>
      <c r="S524" s="4" t="s">
        <v>120</v>
      </c>
      <c r="T524" s="5">
        <v>0</v>
      </c>
    </row>
    <row r="525" spans="1:20" x14ac:dyDescent="0.3">
      <c r="A525">
        <v>37395</v>
      </c>
      <c r="B525" t="s">
        <v>21</v>
      </c>
      <c r="C525" s="3" t="s">
        <v>116</v>
      </c>
      <c r="D525" t="s">
        <v>117</v>
      </c>
      <c r="E525">
        <v>7868</v>
      </c>
      <c r="F525" t="s">
        <v>24</v>
      </c>
      <c r="H525" s="3" t="s">
        <v>118</v>
      </c>
      <c r="I525" s="3" t="s">
        <v>118</v>
      </c>
      <c r="J525" t="s">
        <v>21</v>
      </c>
      <c r="K525" t="s">
        <v>26</v>
      </c>
      <c r="L525" s="1">
        <v>46023</v>
      </c>
      <c r="M525" s="1">
        <v>46053</v>
      </c>
      <c r="N525" t="s">
        <v>27</v>
      </c>
      <c r="O525" t="s">
        <v>28</v>
      </c>
      <c r="Q525" t="s">
        <v>29</v>
      </c>
      <c r="R525" s="4" t="s">
        <v>121</v>
      </c>
      <c r="S525" s="4" t="s">
        <v>121</v>
      </c>
      <c r="T525" s="6">
        <v>7.4</v>
      </c>
    </row>
    <row r="526" spans="1:20" x14ac:dyDescent="0.3">
      <c r="A526">
        <v>37395</v>
      </c>
      <c r="B526" t="s">
        <v>21</v>
      </c>
      <c r="C526" s="3" t="s">
        <v>122</v>
      </c>
      <c r="D526" t="s">
        <v>123</v>
      </c>
      <c r="E526">
        <v>7868</v>
      </c>
      <c r="F526" t="s">
        <v>24</v>
      </c>
      <c r="H526" s="3" t="s">
        <v>124</v>
      </c>
      <c r="I526" s="3" t="s">
        <v>124</v>
      </c>
      <c r="J526" t="s">
        <v>21</v>
      </c>
      <c r="K526" t="s">
        <v>26</v>
      </c>
      <c r="L526" s="1">
        <v>46023</v>
      </c>
      <c r="M526" s="1">
        <v>46053</v>
      </c>
      <c r="N526" t="s">
        <v>27</v>
      </c>
      <c r="O526" t="s">
        <v>28</v>
      </c>
      <c r="Q526" t="s">
        <v>29</v>
      </c>
      <c r="R526" s="4" t="s">
        <v>125</v>
      </c>
      <c r="S526" s="4" t="s">
        <v>125</v>
      </c>
      <c r="T526" s="5">
        <v>16.3</v>
      </c>
    </row>
    <row r="527" spans="1:20" x14ac:dyDescent="0.3">
      <c r="A527">
        <v>37395</v>
      </c>
      <c r="B527" t="s">
        <v>21</v>
      </c>
      <c r="C527" s="3" t="s">
        <v>122</v>
      </c>
      <c r="D527" t="s">
        <v>123</v>
      </c>
      <c r="E527">
        <v>7868</v>
      </c>
      <c r="F527" t="s">
        <v>24</v>
      </c>
      <c r="H527" s="3" t="s">
        <v>124</v>
      </c>
      <c r="I527" s="3" t="s">
        <v>124</v>
      </c>
      <c r="J527" t="s">
        <v>21</v>
      </c>
      <c r="K527" t="s">
        <v>26</v>
      </c>
      <c r="L527" s="1">
        <v>46023</v>
      </c>
      <c r="M527" s="1">
        <v>46053</v>
      </c>
      <c r="N527" t="s">
        <v>27</v>
      </c>
      <c r="O527" t="s">
        <v>28</v>
      </c>
      <c r="Q527" t="s">
        <v>29</v>
      </c>
      <c r="R527" s="4" t="s">
        <v>126</v>
      </c>
      <c r="S527" s="4" t="s">
        <v>126</v>
      </c>
      <c r="T527" s="6">
        <v>0.7</v>
      </c>
    </row>
    <row r="528" spans="1:20" x14ac:dyDescent="0.3">
      <c r="A528">
        <v>37395</v>
      </c>
      <c r="B528" t="s">
        <v>21</v>
      </c>
      <c r="C528" s="3" t="s">
        <v>122</v>
      </c>
      <c r="D528" t="s">
        <v>123</v>
      </c>
      <c r="E528">
        <v>7868</v>
      </c>
      <c r="F528" t="s">
        <v>24</v>
      </c>
      <c r="H528" s="3" t="s">
        <v>124</v>
      </c>
      <c r="I528" s="3" t="s">
        <v>124</v>
      </c>
      <c r="J528" t="s">
        <v>21</v>
      </c>
      <c r="K528" t="s">
        <v>26</v>
      </c>
      <c r="L528" s="1">
        <v>46023</v>
      </c>
      <c r="M528" s="1">
        <v>46053</v>
      </c>
      <c r="N528" t="s">
        <v>27</v>
      </c>
      <c r="O528" t="s">
        <v>28</v>
      </c>
      <c r="Q528" t="s">
        <v>29</v>
      </c>
      <c r="R528" s="4" t="s">
        <v>127</v>
      </c>
      <c r="S528" s="4" t="s">
        <v>127</v>
      </c>
      <c r="T528" s="5">
        <v>1.1000000000000001</v>
      </c>
    </row>
    <row r="529" spans="1:20" x14ac:dyDescent="0.3">
      <c r="A529">
        <v>37395</v>
      </c>
      <c r="B529" t="s">
        <v>21</v>
      </c>
      <c r="C529" s="3" t="s">
        <v>122</v>
      </c>
      <c r="D529" t="s">
        <v>123</v>
      </c>
      <c r="E529">
        <v>7868</v>
      </c>
      <c r="F529" t="s">
        <v>24</v>
      </c>
      <c r="H529" s="3" t="s">
        <v>124</v>
      </c>
      <c r="I529" s="3" t="s">
        <v>124</v>
      </c>
      <c r="J529" t="s">
        <v>21</v>
      </c>
      <c r="K529" t="s">
        <v>26</v>
      </c>
      <c r="L529" s="1">
        <v>46023</v>
      </c>
      <c r="M529" s="1">
        <v>46053</v>
      </c>
      <c r="N529" t="s">
        <v>27</v>
      </c>
      <c r="O529" t="s">
        <v>28</v>
      </c>
      <c r="Q529" t="s">
        <v>29</v>
      </c>
      <c r="R529" s="4" t="s">
        <v>128</v>
      </c>
      <c r="S529" s="4" t="s">
        <v>128</v>
      </c>
      <c r="T529" s="6">
        <v>24.4</v>
      </c>
    </row>
    <row r="530" spans="1:20" x14ac:dyDescent="0.3">
      <c r="A530">
        <v>37395</v>
      </c>
      <c r="B530" t="s">
        <v>21</v>
      </c>
      <c r="C530" s="3" t="s">
        <v>122</v>
      </c>
      <c r="D530" t="s">
        <v>123</v>
      </c>
      <c r="E530">
        <v>7868</v>
      </c>
      <c r="F530" t="s">
        <v>24</v>
      </c>
      <c r="H530" s="3" t="s">
        <v>124</v>
      </c>
      <c r="I530" s="3" t="s">
        <v>124</v>
      </c>
      <c r="J530" t="s">
        <v>21</v>
      </c>
      <c r="K530" t="s">
        <v>26</v>
      </c>
      <c r="L530" s="1">
        <v>46023</v>
      </c>
      <c r="M530" s="1">
        <v>46053</v>
      </c>
      <c r="N530" t="s">
        <v>27</v>
      </c>
      <c r="O530" t="s">
        <v>28</v>
      </c>
      <c r="Q530" t="s">
        <v>29</v>
      </c>
      <c r="R530" s="4" t="s">
        <v>129</v>
      </c>
      <c r="S530" s="4" t="s">
        <v>129</v>
      </c>
      <c r="T530" s="5">
        <v>11.3</v>
      </c>
    </row>
    <row r="531" spans="1:20" x14ac:dyDescent="0.3">
      <c r="A531">
        <v>37395</v>
      </c>
      <c r="B531" t="s">
        <v>21</v>
      </c>
      <c r="C531" s="3" t="s">
        <v>122</v>
      </c>
      <c r="D531" t="s">
        <v>123</v>
      </c>
      <c r="E531">
        <v>7868</v>
      </c>
      <c r="F531" t="s">
        <v>24</v>
      </c>
      <c r="H531" s="3" t="s">
        <v>124</v>
      </c>
      <c r="I531" s="3" t="s">
        <v>124</v>
      </c>
      <c r="J531" t="s">
        <v>21</v>
      </c>
      <c r="K531" t="s">
        <v>26</v>
      </c>
      <c r="L531" s="1">
        <v>46023</v>
      </c>
      <c r="M531" s="1">
        <v>46053</v>
      </c>
      <c r="N531" t="s">
        <v>27</v>
      </c>
      <c r="O531" t="s">
        <v>28</v>
      </c>
      <c r="Q531" t="s">
        <v>29</v>
      </c>
      <c r="R531" s="4" t="s">
        <v>130</v>
      </c>
      <c r="S531" s="4" t="s">
        <v>130</v>
      </c>
      <c r="T531" s="6">
        <v>0</v>
      </c>
    </row>
    <row r="532" spans="1:20" x14ac:dyDescent="0.3">
      <c r="A532">
        <v>37395</v>
      </c>
      <c r="B532" t="s">
        <v>21</v>
      </c>
      <c r="C532" s="3" t="s">
        <v>122</v>
      </c>
      <c r="D532" t="s">
        <v>123</v>
      </c>
      <c r="E532">
        <v>7868</v>
      </c>
      <c r="F532" t="s">
        <v>24</v>
      </c>
      <c r="H532" s="3" t="s">
        <v>124</v>
      </c>
      <c r="I532" s="3" t="s">
        <v>124</v>
      </c>
      <c r="J532" t="s">
        <v>21</v>
      </c>
      <c r="K532" t="s">
        <v>26</v>
      </c>
      <c r="L532" s="1">
        <v>46023</v>
      </c>
      <c r="M532" s="1">
        <v>46053</v>
      </c>
      <c r="N532" t="s">
        <v>27</v>
      </c>
      <c r="O532" t="s">
        <v>28</v>
      </c>
      <c r="Q532" t="s">
        <v>29</v>
      </c>
      <c r="R532" s="4" t="s">
        <v>131</v>
      </c>
      <c r="S532" s="4" t="s">
        <v>131</v>
      </c>
      <c r="T532" s="5">
        <v>9.9</v>
      </c>
    </row>
    <row r="533" spans="1:20" x14ac:dyDescent="0.3">
      <c r="A533">
        <v>37395</v>
      </c>
      <c r="B533" t="s">
        <v>21</v>
      </c>
      <c r="C533" s="3" t="s">
        <v>132</v>
      </c>
      <c r="D533" t="s">
        <v>133</v>
      </c>
      <c r="E533">
        <v>7868</v>
      </c>
      <c r="F533" t="s">
        <v>24</v>
      </c>
      <c r="H533" s="3" t="s">
        <v>134</v>
      </c>
      <c r="I533" s="3" t="s">
        <v>134</v>
      </c>
      <c r="J533" t="s">
        <v>21</v>
      </c>
      <c r="K533" t="s">
        <v>26</v>
      </c>
      <c r="L533" s="1">
        <v>46023</v>
      </c>
      <c r="M533" s="1">
        <v>46053</v>
      </c>
      <c r="N533" t="s">
        <v>27</v>
      </c>
      <c r="O533" t="s">
        <v>28</v>
      </c>
      <c r="Q533" t="s">
        <v>29</v>
      </c>
      <c r="R533" s="4" t="s">
        <v>135</v>
      </c>
      <c r="S533" s="4" t="s">
        <v>135</v>
      </c>
      <c r="T533" s="6">
        <v>3.9</v>
      </c>
    </row>
    <row r="534" spans="1:20" x14ac:dyDescent="0.3">
      <c r="A534">
        <v>37395</v>
      </c>
      <c r="B534" t="s">
        <v>21</v>
      </c>
      <c r="C534" s="3" t="s">
        <v>132</v>
      </c>
      <c r="D534" t="s">
        <v>133</v>
      </c>
      <c r="E534">
        <v>7868</v>
      </c>
      <c r="F534" t="s">
        <v>24</v>
      </c>
      <c r="H534" s="3" t="s">
        <v>134</v>
      </c>
      <c r="I534" s="3" t="s">
        <v>134</v>
      </c>
      <c r="J534" t="s">
        <v>21</v>
      </c>
      <c r="K534" t="s">
        <v>26</v>
      </c>
      <c r="L534" s="1">
        <v>46023</v>
      </c>
      <c r="M534" s="1">
        <v>46053</v>
      </c>
      <c r="N534" t="s">
        <v>27</v>
      </c>
      <c r="O534" t="s">
        <v>28</v>
      </c>
      <c r="Q534" t="s">
        <v>29</v>
      </c>
      <c r="R534" s="4" t="s">
        <v>136</v>
      </c>
      <c r="S534" s="4" t="s">
        <v>136</v>
      </c>
      <c r="T534" s="5">
        <v>29.9</v>
      </c>
    </row>
    <row r="535" spans="1:20" x14ac:dyDescent="0.3">
      <c r="A535">
        <v>37395</v>
      </c>
      <c r="B535" t="s">
        <v>21</v>
      </c>
      <c r="C535" s="3" t="s">
        <v>132</v>
      </c>
      <c r="D535" t="s">
        <v>133</v>
      </c>
      <c r="E535">
        <v>7868</v>
      </c>
      <c r="F535" t="s">
        <v>24</v>
      </c>
      <c r="H535" s="3" t="s">
        <v>134</v>
      </c>
      <c r="I535" s="3" t="s">
        <v>134</v>
      </c>
      <c r="J535" t="s">
        <v>21</v>
      </c>
      <c r="K535" t="s">
        <v>26</v>
      </c>
      <c r="L535" s="1">
        <v>46023</v>
      </c>
      <c r="M535" s="1">
        <v>46053</v>
      </c>
      <c r="N535" t="s">
        <v>27</v>
      </c>
      <c r="O535" t="s">
        <v>28</v>
      </c>
      <c r="Q535" t="s">
        <v>29</v>
      </c>
      <c r="R535" s="4" t="s">
        <v>137</v>
      </c>
      <c r="S535" s="4" t="s">
        <v>137</v>
      </c>
      <c r="T535" s="6">
        <v>0</v>
      </c>
    </row>
    <row r="536" spans="1:20" x14ac:dyDescent="0.3">
      <c r="A536">
        <v>37395</v>
      </c>
      <c r="B536" t="s">
        <v>21</v>
      </c>
      <c r="C536" s="3" t="s">
        <v>132</v>
      </c>
      <c r="D536" t="s">
        <v>133</v>
      </c>
      <c r="E536">
        <v>7868</v>
      </c>
      <c r="F536" t="s">
        <v>24</v>
      </c>
      <c r="H536" s="3" t="s">
        <v>134</v>
      </c>
      <c r="I536" s="3" t="s">
        <v>134</v>
      </c>
      <c r="J536" t="s">
        <v>21</v>
      </c>
      <c r="K536" t="s">
        <v>26</v>
      </c>
      <c r="L536" s="1">
        <v>46023</v>
      </c>
      <c r="M536" s="1">
        <v>46053</v>
      </c>
      <c r="N536" t="s">
        <v>27</v>
      </c>
      <c r="O536" t="s">
        <v>28</v>
      </c>
      <c r="Q536" t="s">
        <v>29</v>
      </c>
      <c r="R536" s="4" t="s">
        <v>138</v>
      </c>
      <c r="S536" s="4" t="s">
        <v>138</v>
      </c>
      <c r="T536" s="5">
        <v>0</v>
      </c>
    </row>
    <row r="537" spans="1:20" x14ac:dyDescent="0.3">
      <c r="A537">
        <v>37395</v>
      </c>
      <c r="B537" t="s">
        <v>21</v>
      </c>
      <c r="C537" s="3" t="s">
        <v>139</v>
      </c>
      <c r="D537" t="s">
        <v>140</v>
      </c>
      <c r="E537">
        <v>7868</v>
      </c>
      <c r="F537" t="s">
        <v>24</v>
      </c>
      <c r="H537" s="3" t="s">
        <v>141</v>
      </c>
      <c r="I537" s="3" t="s">
        <v>141</v>
      </c>
      <c r="J537" t="s">
        <v>21</v>
      </c>
      <c r="K537" t="s">
        <v>26</v>
      </c>
      <c r="L537" s="1">
        <v>46023</v>
      </c>
      <c r="M537" s="1">
        <v>46053</v>
      </c>
      <c r="N537" t="s">
        <v>27</v>
      </c>
      <c r="O537" t="s">
        <v>28</v>
      </c>
      <c r="Q537" t="s">
        <v>29</v>
      </c>
      <c r="R537" s="4" t="s">
        <v>142</v>
      </c>
      <c r="S537" s="4" t="s">
        <v>142</v>
      </c>
      <c r="T537" s="6">
        <v>0</v>
      </c>
    </row>
    <row r="538" spans="1:20" x14ac:dyDescent="0.3">
      <c r="A538">
        <v>37395</v>
      </c>
      <c r="B538" t="s">
        <v>21</v>
      </c>
      <c r="C538" s="3" t="s">
        <v>143</v>
      </c>
      <c r="D538" t="s">
        <v>144</v>
      </c>
      <c r="E538">
        <v>7868</v>
      </c>
      <c r="F538" t="s">
        <v>24</v>
      </c>
      <c r="H538" s="3" t="s">
        <v>145</v>
      </c>
      <c r="I538" s="3" t="s">
        <v>145</v>
      </c>
      <c r="J538" t="s">
        <v>21</v>
      </c>
      <c r="K538" t="s">
        <v>26</v>
      </c>
      <c r="L538" s="1">
        <v>46023</v>
      </c>
      <c r="M538" s="1">
        <v>46053</v>
      </c>
      <c r="N538" t="s">
        <v>27</v>
      </c>
      <c r="O538" t="s">
        <v>28</v>
      </c>
      <c r="Q538" t="s">
        <v>29</v>
      </c>
      <c r="R538" s="4" t="s">
        <v>146</v>
      </c>
      <c r="S538" s="4" t="s">
        <v>146</v>
      </c>
      <c r="T538" s="5">
        <v>66.3</v>
      </c>
    </row>
    <row r="539" spans="1:20" x14ac:dyDescent="0.3">
      <c r="A539">
        <v>37395</v>
      </c>
      <c r="B539" t="s">
        <v>21</v>
      </c>
      <c r="C539" s="3" t="s">
        <v>143</v>
      </c>
      <c r="D539" t="s">
        <v>144</v>
      </c>
      <c r="E539">
        <v>7868</v>
      </c>
      <c r="F539" t="s">
        <v>24</v>
      </c>
      <c r="H539" s="3" t="s">
        <v>145</v>
      </c>
      <c r="I539" s="3" t="s">
        <v>145</v>
      </c>
      <c r="J539" t="s">
        <v>21</v>
      </c>
      <c r="K539" t="s">
        <v>26</v>
      </c>
      <c r="L539" s="1">
        <v>46023</v>
      </c>
      <c r="M539" s="1">
        <v>46053</v>
      </c>
      <c r="N539" t="s">
        <v>27</v>
      </c>
      <c r="O539" t="s">
        <v>28</v>
      </c>
      <c r="Q539" t="s">
        <v>29</v>
      </c>
      <c r="R539" s="4" t="s">
        <v>147</v>
      </c>
      <c r="S539" s="4" t="s">
        <v>147</v>
      </c>
      <c r="T539" s="6">
        <v>17.100000000000001</v>
      </c>
    </row>
    <row r="540" spans="1:20" x14ac:dyDescent="0.3">
      <c r="A540">
        <v>37395</v>
      </c>
      <c r="B540" t="s">
        <v>21</v>
      </c>
      <c r="C540" s="3" t="s">
        <v>148</v>
      </c>
      <c r="D540" t="s">
        <v>149</v>
      </c>
      <c r="E540">
        <v>7868</v>
      </c>
      <c r="F540" t="s">
        <v>24</v>
      </c>
      <c r="H540" s="3" t="s">
        <v>150</v>
      </c>
      <c r="I540" s="3" t="s">
        <v>150</v>
      </c>
      <c r="J540" t="s">
        <v>21</v>
      </c>
      <c r="K540" t="s">
        <v>26</v>
      </c>
      <c r="L540" s="1">
        <v>46023</v>
      </c>
      <c r="M540" s="1">
        <v>46053</v>
      </c>
      <c r="N540" t="s">
        <v>27</v>
      </c>
      <c r="O540" t="s">
        <v>28</v>
      </c>
      <c r="Q540" t="s">
        <v>29</v>
      </c>
      <c r="R540" s="4" t="s">
        <v>151</v>
      </c>
      <c r="S540" s="4" t="s">
        <v>151</v>
      </c>
      <c r="T540" s="5">
        <v>6.6</v>
      </c>
    </row>
    <row r="541" spans="1:20" x14ac:dyDescent="0.3">
      <c r="A541">
        <v>37395</v>
      </c>
      <c r="B541" t="s">
        <v>21</v>
      </c>
      <c r="C541" s="3" t="s">
        <v>148</v>
      </c>
      <c r="D541" t="s">
        <v>149</v>
      </c>
      <c r="E541">
        <v>7868</v>
      </c>
      <c r="F541" t="s">
        <v>24</v>
      </c>
      <c r="H541" s="3" t="s">
        <v>150</v>
      </c>
      <c r="I541" s="3" t="s">
        <v>150</v>
      </c>
      <c r="J541" t="s">
        <v>21</v>
      </c>
      <c r="K541" t="s">
        <v>26</v>
      </c>
      <c r="L541" s="1">
        <v>46023</v>
      </c>
      <c r="M541" s="1">
        <v>46053</v>
      </c>
      <c r="N541" t="s">
        <v>27</v>
      </c>
      <c r="O541" t="s">
        <v>28</v>
      </c>
      <c r="Q541" t="s">
        <v>29</v>
      </c>
      <c r="R541" s="4" t="s">
        <v>152</v>
      </c>
      <c r="S541" s="4" t="s">
        <v>152</v>
      </c>
      <c r="T541" s="6">
        <v>3.1</v>
      </c>
    </row>
    <row r="542" spans="1:20" x14ac:dyDescent="0.3">
      <c r="A542">
        <v>37395</v>
      </c>
      <c r="B542" t="s">
        <v>21</v>
      </c>
      <c r="C542" s="3" t="s">
        <v>148</v>
      </c>
      <c r="D542" t="s">
        <v>149</v>
      </c>
      <c r="E542">
        <v>7868</v>
      </c>
      <c r="F542" t="s">
        <v>24</v>
      </c>
      <c r="H542" s="3" t="s">
        <v>150</v>
      </c>
      <c r="I542" s="3" t="s">
        <v>150</v>
      </c>
      <c r="J542" t="s">
        <v>21</v>
      </c>
      <c r="K542" t="s">
        <v>26</v>
      </c>
      <c r="L542" s="1">
        <v>46023</v>
      </c>
      <c r="M542" s="1">
        <v>46053</v>
      </c>
      <c r="N542" t="s">
        <v>27</v>
      </c>
      <c r="O542" t="s">
        <v>28</v>
      </c>
      <c r="Q542" t="s">
        <v>29</v>
      </c>
      <c r="R542" s="4" t="s">
        <v>153</v>
      </c>
      <c r="S542" s="4" t="s">
        <v>153</v>
      </c>
      <c r="T542" s="5">
        <v>0</v>
      </c>
    </row>
    <row r="543" spans="1:20" x14ac:dyDescent="0.3">
      <c r="A543">
        <v>37395</v>
      </c>
      <c r="B543" t="s">
        <v>21</v>
      </c>
      <c r="C543" s="3" t="s">
        <v>154</v>
      </c>
      <c r="D543" t="s">
        <v>155</v>
      </c>
      <c r="E543">
        <v>7868</v>
      </c>
      <c r="F543" t="s">
        <v>24</v>
      </c>
      <c r="H543" s="3" t="s">
        <v>156</v>
      </c>
      <c r="I543" s="3" t="s">
        <v>156</v>
      </c>
      <c r="J543" t="s">
        <v>21</v>
      </c>
      <c r="K543" t="s">
        <v>26</v>
      </c>
      <c r="L543" s="1">
        <v>46023</v>
      </c>
      <c r="M543" s="1">
        <v>46053</v>
      </c>
      <c r="N543" t="s">
        <v>27</v>
      </c>
      <c r="O543" t="s">
        <v>28</v>
      </c>
      <c r="Q543" t="s">
        <v>29</v>
      </c>
      <c r="R543" s="4" t="s">
        <v>157</v>
      </c>
      <c r="S543" s="4" t="s">
        <v>157</v>
      </c>
      <c r="T543" s="6">
        <v>0.8</v>
      </c>
    </row>
    <row r="544" spans="1:20" x14ac:dyDescent="0.3">
      <c r="A544">
        <v>37395</v>
      </c>
      <c r="B544" t="s">
        <v>21</v>
      </c>
      <c r="C544" s="3" t="s">
        <v>158</v>
      </c>
      <c r="D544" t="s">
        <v>159</v>
      </c>
      <c r="E544">
        <v>7868</v>
      </c>
      <c r="F544" t="s">
        <v>24</v>
      </c>
      <c r="H544" s="3" t="s">
        <v>160</v>
      </c>
      <c r="I544" s="3" t="s">
        <v>160</v>
      </c>
      <c r="J544" t="s">
        <v>21</v>
      </c>
      <c r="K544" t="s">
        <v>26</v>
      </c>
      <c r="L544" s="1">
        <v>46023</v>
      </c>
      <c r="M544" s="1">
        <v>46053</v>
      </c>
      <c r="N544" t="s">
        <v>27</v>
      </c>
      <c r="O544" t="s">
        <v>28</v>
      </c>
      <c r="Q544" t="s">
        <v>29</v>
      </c>
      <c r="R544" s="4" t="s">
        <v>161</v>
      </c>
      <c r="S544" s="4" t="s">
        <v>161</v>
      </c>
      <c r="T544" s="5">
        <v>0</v>
      </c>
    </row>
    <row r="545" spans="1:20" x14ac:dyDescent="0.3">
      <c r="A545">
        <v>37395</v>
      </c>
      <c r="B545" t="s">
        <v>21</v>
      </c>
      <c r="C545" s="3" t="s">
        <v>162</v>
      </c>
      <c r="D545" t="s">
        <v>163</v>
      </c>
      <c r="E545">
        <v>7868</v>
      </c>
      <c r="F545" t="s">
        <v>24</v>
      </c>
      <c r="H545" s="3" t="s">
        <v>164</v>
      </c>
      <c r="I545" s="3" t="s">
        <v>164</v>
      </c>
      <c r="J545" t="s">
        <v>21</v>
      </c>
      <c r="K545" t="s">
        <v>26</v>
      </c>
      <c r="L545" s="1">
        <v>46023</v>
      </c>
      <c r="M545" s="1">
        <v>46053</v>
      </c>
      <c r="N545" t="s">
        <v>27</v>
      </c>
      <c r="O545" t="s">
        <v>28</v>
      </c>
      <c r="Q545" t="s">
        <v>29</v>
      </c>
      <c r="R545" s="4" t="s">
        <v>165</v>
      </c>
      <c r="S545" s="4" t="s">
        <v>165</v>
      </c>
      <c r="T545" s="6">
        <v>0</v>
      </c>
    </row>
    <row r="546" spans="1:20" x14ac:dyDescent="0.3">
      <c r="A546">
        <v>37395</v>
      </c>
      <c r="B546" t="s">
        <v>21</v>
      </c>
      <c r="C546" s="3" t="s">
        <v>166</v>
      </c>
      <c r="D546" t="s">
        <v>167</v>
      </c>
      <c r="E546">
        <v>7868</v>
      </c>
      <c r="F546" t="s">
        <v>24</v>
      </c>
      <c r="H546" s="3" t="s">
        <v>168</v>
      </c>
      <c r="I546" s="3" t="s">
        <v>168</v>
      </c>
      <c r="J546" t="s">
        <v>21</v>
      </c>
      <c r="K546" t="s">
        <v>26</v>
      </c>
      <c r="L546" s="1">
        <v>46023</v>
      </c>
      <c r="M546" s="1">
        <v>46053</v>
      </c>
      <c r="N546" t="s">
        <v>27</v>
      </c>
      <c r="O546" t="s">
        <v>28</v>
      </c>
      <c r="Q546" t="s">
        <v>29</v>
      </c>
      <c r="R546" s="4" t="s">
        <v>169</v>
      </c>
      <c r="S546" s="4" t="s">
        <v>169</v>
      </c>
      <c r="T546" s="5">
        <v>0</v>
      </c>
    </row>
    <row r="547" spans="1:20" x14ac:dyDescent="0.3">
      <c r="A547">
        <v>37395</v>
      </c>
      <c r="B547" t="s">
        <v>21</v>
      </c>
      <c r="C547" s="3" t="s">
        <v>166</v>
      </c>
      <c r="D547" t="s">
        <v>167</v>
      </c>
      <c r="E547">
        <v>7868</v>
      </c>
      <c r="F547" t="s">
        <v>24</v>
      </c>
      <c r="H547" s="3" t="s">
        <v>168</v>
      </c>
      <c r="I547" s="3" t="s">
        <v>168</v>
      </c>
      <c r="J547" t="s">
        <v>21</v>
      </c>
      <c r="K547" t="s">
        <v>26</v>
      </c>
      <c r="L547" s="1">
        <v>46023</v>
      </c>
      <c r="M547" s="1">
        <v>46053</v>
      </c>
      <c r="N547" t="s">
        <v>27</v>
      </c>
      <c r="O547" t="s">
        <v>28</v>
      </c>
      <c r="Q547" t="s">
        <v>29</v>
      </c>
      <c r="R547" s="4" t="s">
        <v>170</v>
      </c>
      <c r="S547" s="4" t="s">
        <v>170</v>
      </c>
      <c r="T547" s="6">
        <v>-0.3</v>
      </c>
    </row>
    <row r="548" spans="1:20" x14ac:dyDescent="0.3">
      <c r="A548">
        <v>37395</v>
      </c>
      <c r="B548" t="s">
        <v>21</v>
      </c>
      <c r="C548" s="3" t="s">
        <v>166</v>
      </c>
      <c r="D548" t="s">
        <v>167</v>
      </c>
      <c r="E548">
        <v>7868</v>
      </c>
      <c r="F548" t="s">
        <v>24</v>
      </c>
      <c r="H548" s="3" t="s">
        <v>168</v>
      </c>
      <c r="I548" s="3" t="s">
        <v>168</v>
      </c>
      <c r="J548" t="s">
        <v>21</v>
      </c>
      <c r="K548" t="s">
        <v>26</v>
      </c>
      <c r="L548" s="1">
        <v>46023</v>
      </c>
      <c r="M548" s="1">
        <v>46053</v>
      </c>
      <c r="N548" t="s">
        <v>27</v>
      </c>
      <c r="O548" t="s">
        <v>28</v>
      </c>
      <c r="Q548" t="s">
        <v>29</v>
      </c>
      <c r="R548" s="4" t="s">
        <v>171</v>
      </c>
      <c r="S548" s="4" t="s">
        <v>171</v>
      </c>
      <c r="T548" s="5">
        <v>1.9</v>
      </c>
    </row>
    <row r="549" spans="1:20" x14ac:dyDescent="0.3">
      <c r="A549">
        <v>37395</v>
      </c>
      <c r="B549" t="s">
        <v>21</v>
      </c>
      <c r="C549" s="3" t="s">
        <v>166</v>
      </c>
      <c r="D549" t="s">
        <v>167</v>
      </c>
      <c r="E549">
        <v>7868</v>
      </c>
      <c r="F549" t="s">
        <v>24</v>
      </c>
      <c r="H549" s="3" t="s">
        <v>168</v>
      </c>
      <c r="I549" s="3" t="s">
        <v>168</v>
      </c>
      <c r="J549" t="s">
        <v>21</v>
      </c>
      <c r="K549" t="s">
        <v>26</v>
      </c>
      <c r="L549" s="1">
        <v>46023</v>
      </c>
      <c r="M549" s="1">
        <v>46053</v>
      </c>
      <c r="N549" t="s">
        <v>27</v>
      </c>
      <c r="O549" t="s">
        <v>28</v>
      </c>
      <c r="Q549" t="s">
        <v>29</v>
      </c>
      <c r="R549" s="4" t="s">
        <v>172</v>
      </c>
      <c r="S549" s="4" t="s">
        <v>172</v>
      </c>
      <c r="T549" s="6">
        <v>0.5</v>
      </c>
    </row>
    <row r="550" spans="1:20" x14ac:dyDescent="0.3">
      <c r="A550">
        <v>37395</v>
      </c>
      <c r="B550" t="s">
        <v>21</v>
      </c>
      <c r="C550" s="3" t="s">
        <v>166</v>
      </c>
      <c r="D550" t="s">
        <v>167</v>
      </c>
      <c r="E550">
        <v>7868</v>
      </c>
      <c r="F550" t="s">
        <v>24</v>
      </c>
      <c r="H550" s="3" t="s">
        <v>168</v>
      </c>
      <c r="I550" s="3" t="s">
        <v>168</v>
      </c>
      <c r="J550" t="s">
        <v>21</v>
      </c>
      <c r="K550" t="s">
        <v>26</v>
      </c>
      <c r="L550" s="1">
        <v>46023</v>
      </c>
      <c r="M550" s="1">
        <v>46053</v>
      </c>
      <c r="N550" t="s">
        <v>27</v>
      </c>
      <c r="O550" t="s">
        <v>28</v>
      </c>
      <c r="Q550" t="s">
        <v>29</v>
      </c>
      <c r="R550" s="4" t="s">
        <v>173</v>
      </c>
      <c r="S550" s="4" t="s">
        <v>173</v>
      </c>
      <c r="T550" s="5">
        <v>0</v>
      </c>
    </row>
    <row r="551" spans="1:20" x14ac:dyDescent="0.3">
      <c r="A551">
        <v>37395</v>
      </c>
      <c r="B551" t="s">
        <v>21</v>
      </c>
      <c r="C551" s="3" t="s">
        <v>174</v>
      </c>
      <c r="D551" t="s">
        <v>175</v>
      </c>
      <c r="E551">
        <v>7868</v>
      </c>
      <c r="F551" t="s">
        <v>24</v>
      </c>
      <c r="H551" s="3" t="s">
        <v>176</v>
      </c>
      <c r="I551" s="3" t="s">
        <v>176</v>
      </c>
      <c r="J551" t="s">
        <v>21</v>
      </c>
      <c r="K551" t="s">
        <v>26</v>
      </c>
      <c r="L551" s="1">
        <v>46023</v>
      </c>
      <c r="M551" s="1">
        <v>46053</v>
      </c>
      <c r="N551" t="s">
        <v>27</v>
      </c>
      <c r="O551" t="s">
        <v>28</v>
      </c>
      <c r="Q551" t="s">
        <v>29</v>
      </c>
      <c r="R551" s="7" t="s">
        <v>177</v>
      </c>
      <c r="S551" s="7" t="s">
        <v>177</v>
      </c>
      <c r="T551" s="6">
        <v>-2.2000000000000002</v>
      </c>
    </row>
    <row r="552" spans="1:20" x14ac:dyDescent="0.3">
      <c r="A552">
        <v>37395</v>
      </c>
      <c r="B552" t="s">
        <v>21</v>
      </c>
      <c r="C552" s="3" t="s">
        <v>174</v>
      </c>
      <c r="D552" t="s">
        <v>175</v>
      </c>
      <c r="E552">
        <v>7868</v>
      </c>
      <c r="F552" t="s">
        <v>24</v>
      </c>
      <c r="H552" s="3" t="s">
        <v>176</v>
      </c>
      <c r="I552" s="3" t="s">
        <v>176</v>
      </c>
      <c r="J552" t="s">
        <v>21</v>
      </c>
      <c r="K552" t="s">
        <v>26</v>
      </c>
      <c r="L552" s="1">
        <v>46023</v>
      </c>
      <c r="M552" s="1">
        <v>46053</v>
      </c>
      <c r="N552" t="s">
        <v>27</v>
      </c>
      <c r="O552" t="s">
        <v>28</v>
      </c>
      <c r="Q552" t="s">
        <v>29</v>
      </c>
      <c r="R552" s="4" t="s">
        <v>178</v>
      </c>
      <c r="S552" s="4" t="s">
        <v>178</v>
      </c>
      <c r="T552" s="5">
        <v>0</v>
      </c>
    </row>
    <row r="553" spans="1:20" x14ac:dyDescent="0.3">
      <c r="A553">
        <v>37395</v>
      </c>
      <c r="B553" t="s">
        <v>21</v>
      </c>
      <c r="C553" s="3" t="s">
        <v>179</v>
      </c>
      <c r="D553" t="s">
        <v>180</v>
      </c>
      <c r="E553">
        <v>7868</v>
      </c>
      <c r="F553" t="s">
        <v>24</v>
      </c>
      <c r="H553" s="3" t="s">
        <v>181</v>
      </c>
      <c r="I553" s="3" t="s">
        <v>181</v>
      </c>
      <c r="J553" t="s">
        <v>21</v>
      </c>
      <c r="K553" t="s">
        <v>26</v>
      </c>
      <c r="L553" s="1">
        <v>46023</v>
      </c>
      <c r="M553" s="1">
        <v>46053</v>
      </c>
      <c r="N553" t="s">
        <v>27</v>
      </c>
      <c r="O553" t="s">
        <v>28</v>
      </c>
      <c r="Q553" t="s">
        <v>29</v>
      </c>
      <c r="R553" s="7" t="s">
        <v>182</v>
      </c>
      <c r="S553" s="7" t="s">
        <v>182</v>
      </c>
      <c r="T553" s="6">
        <v>0</v>
      </c>
    </row>
    <row r="554" spans="1:20" x14ac:dyDescent="0.3">
      <c r="A554">
        <v>37395</v>
      </c>
      <c r="B554" t="s">
        <v>21</v>
      </c>
      <c r="C554" s="3" t="s">
        <v>183</v>
      </c>
      <c r="D554" t="s">
        <v>184</v>
      </c>
      <c r="E554">
        <v>7868</v>
      </c>
      <c r="F554" t="s">
        <v>24</v>
      </c>
      <c r="H554" s="3" t="s">
        <v>185</v>
      </c>
      <c r="I554" s="3" t="s">
        <v>185</v>
      </c>
      <c r="J554" t="s">
        <v>21</v>
      </c>
      <c r="K554" t="s">
        <v>26</v>
      </c>
      <c r="L554" s="1">
        <v>46023</v>
      </c>
      <c r="M554" s="1">
        <v>46053</v>
      </c>
      <c r="N554" t="s">
        <v>27</v>
      </c>
      <c r="O554" t="s">
        <v>28</v>
      </c>
      <c r="Q554" t="s">
        <v>29</v>
      </c>
      <c r="R554" s="4" t="s">
        <v>186</v>
      </c>
      <c r="S554" s="4" t="s">
        <v>186</v>
      </c>
      <c r="T554" s="5">
        <v>0.2</v>
      </c>
    </row>
    <row r="555" spans="1:20" x14ac:dyDescent="0.3">
      <c r="A555">
        <v>37395</v>
      </c>
      <c r="B555" t="s">
        <v>21</v>
      </c>
      <c r="C555" s="3" t="s">
        <v>22</v>
      </c>
      <c r="D555" t="s">
        <v>23</v>
      </c>
      <c r="E555">
        <v>7868</v>
      </c>
      <c r="F555" t="s">
        <v>24</v>
      </c>
      <c r="H555" s="3" t="s">
        <v>25</v>
      </c>
      <c r="I555" s="3" t="s">
        <v>25</v>
      </c>
      <c r="J555" t="s">
        <v>21</v>
      </c>
      <c r="K555" t="s">
        <v>26</v>
      </c>
      <c r="L555" s="1">
        <v>46054</v>
      </c>
      <c r="M555" s="1">
        <v>46081</v>
      </c>
      <c r="N555" t="s">
        <v>27</v>
      </c>
      <c r="O555" t="s">
        <v>28</v>
      </c>
      <c r="Q555" t="s">
        <v>29</v>
      </c>
      <c r="R555" s="4" t="s">
        <v>30</v>
      </c>
      <c r="S555" s="4" t="s">
        <v>30</v>
      </c>
      <c r="T555" s="5">
        <v>54.6</v>
      </c>
    </row>
    <row r="556" spans="1:20" x14ac:dyDescent="0.3">
      <c r="A556">
        <v>37395</v>
      </c>
      <c r="B556" t="s">
        <v>21</v>
      </c>
      <c r="C556" s="3" t="s">
        <v>22</v>
      </c>
      <c r="D556" t="s">
        <v>23</v>
      </c>
      <c r="E556">
        <v>7868</v>
      </c>
      <c r="F556" t="s">
        <v>24</v>
      </c>
      <c r="H556" s="3" t="s">
        <v>25</v>
      </c>
      <c r="I556" s="3" t="s">
        <v>25</v>
      </c>
      <c r="J556" t="s">
        <v>21</v>
      </c>
      <c r="K556" t="s">
        <v>26</v>
      </c>
      <c r="L556" s="1">
        <v>46054</v>
      </c>
      <c r="M556" s="1">
        <v>46081</v>
      </c>
      <c r="N556" t="s">
        <v>27</v>
      </c>
      <c r="O556" t="s">
        <v>28</v>
      </c>
      <c r="Q556" t="s">
        <v>29</v>
      </c>
      <c r="R556" s="4" t="s">
        <v>31</v>
      </c>
      <c r="S556" s="4" t="s">
        <v>31</v>
      </c>
      <c r="T556" s="6">
        <v>46.3</v>
      </c>
    </row>
    <row r="557" spans="1:20" x14ac:dyDescent="0.3">
      <c r="A557">
        <v>37395</v>
      </c>
      <c r="B557" t="s">
        <v>21</v>
      </c>
      <c r="C557" s="3" t="s">
        <v>22</v>
      </c>
      <c r="D557" t="s">
        <v>23</v>
      </c>
      <c r="E557">
        <v>7868</v>
      </c>
      <c r="F557" t="s">
        <v>24</v>
      </c>
      <c r="H557" s="3" t="s">
        <v>25</v>
      </c>
      <c r="I557" s="3" t="s">
        <v>25</v>
      </c>
      <c r="J557" t="s">
        <v>21</v>
      </c>
      <c r="K557" t="s">
        <v>26</v>
      </c>
      <c r="L557" s="1">
        <v>46054</v>
      </c>
      <c r="M557" s="1">
        <v>46081</v>
      </c>
      <c r="N557" t="s">
        <v>27</v>
      </c>
      <c r="O557" t="s">
        <v>28</v>
      </c>
      <c r="Q557" t="s">
        <v>29</v>
      </c>
      <c r="R557" s="4" t="s">
        <v>32</v>
      </c>
      <c r="S557" s="4" t="s">
        <v>32</v>
      </c>
      <c r="T557" s="5">
        <v>30.4</v>
      </c>
    </row>
    <row r="558" spans="1:20" x14ac:dyDescent="0.3">
      <c r="A558">
        <v>37395</v>
      </c>
      <c r="B558" t="s">
        <v>21</v>
      </c>
      <c r="C558" s="3" t="s">
        <v>22</v>
      </c>
      <c r="D558" t="s">
        <v>23</v>
      </c>
      <c r="E558">
        <v>7868</v>
      </c>
      <c r="F558" t="s">
        <v>24</v>
      </c>
      <c r="H558" s="3" t="s">
        <v>25</v>
      </c>
      <c r="I558" s="3" t="s">
        <v>25</v>
      </c>
      <c r="J558" t="s">
        <v>21</v>
      </c>
      <c r="K558" t="s">
        <v>26</v>
      </c>
      <c r="L558" s="1">
        <v>46054</v>
      </c>
      <c r="M558" s="1">
        <v>46081</v>
      </c>
      <c r="N558" t="s">
        <v>27</v>
      </c>
      <c r="O558" t="s">
        <v>28</v>
      </c>
      <c r="Q558" t="s">
        <v>29</v>
      </c>
      <c r="R558" s="4" t="s">
        <v>33</v>
      </c>
      <c r="S558" s="4" t="s">
        <v>33</v>
      </c>
      <c r="T558" s="6">
        <v>43</v>
      </c>
    </row>
    <row r="559" spans="1:20" x14ac:dyDescent="0.3">
      <c r="A559">
        <v>37395</v>
      </c>
      <c r="B559" t="s">
        <v>21</v>
      </c>
      <c r="C559" s="3" t="s">
        <v>22</v>
      </c>
      <c r="D559" t="s">
        <v>23</v>
      </c>
      <c r="E559">
        <v>7868</v>
      </c>
      <c r="F559" t="s">
        <v>24</v>
      </c>
      <c r="H559" s="3" t="s">
        <v>25</v>
      </c>
      <c r="I559" s="3" t="s">
        <v>25</v>
      </c>
      <c r="J559" t="s">
        <v>21</v>
      </c>
      <c r="K559" t="s">
        <v>26</v>
      </c>
      <c r="L559" s="1">
        <v>46054</v>
      </c>
      <c r="M559" s="1">
        <v>46081</v>
      </c>
      <c r="N559" t="s">
        <v>27</v>
      </c>
      <c r="O559" t="s">
        <v>28</v>
      </c>
      <c r="Q559" t="s">
        <v>29</v>
      </c>
      <c r="R559" s="4" t="s">
        <v>34</v>
      </c>
      <c r="S559" s="4" t="s">
        <v>34</v>
      </c>
      <c r="T559" s="5">
        <v>15.1</v>
      </c>
    </row>
    <row r="560" spans="1:20" x14ac:dyDescent="0.3">
      <c r="A560">
        <v>37395</v>
      </c>
      <c r="B560" t="s">
        <v>21</v>
      </c>
      <c r="C560" s="3" t="s">
        <v>22</v>
      </c>
      <c r="D560" t="s">
        <v>23</v>
      </c>
      <c r="E560">
        <v>7868</v>
      </c>
      <c r="F560" t="s">
        <v>24</v>
      </c>
      <c r="H560" s="3" t="s">
        <v>25</v>
      </c>
      <c r="I560" s="3" t="s">
        <v>25</v>
      </c>
      <c r="J560" t="s">
        <v>21</v>
      </c>
      <c r="K560" t="s">
        <v>26</v>
      </c>
      <c r="L560" s="1">
        <v>46054</v>
      </c>
      <c r="M560" s="1">
        <v>46081</v>
      </c>
      <c r="N560" t="s">
        <v>27</v>
      </c>
      <c r="O560" t="s">
        <v>28</v>
      </c>
      <c r="Q560" t="s">
        <v>29</v>
      </c>
      <c r="R560" s="4" t="s">
        <v>35</v>
      </c>
      <c r="S560" s="4" t="s">
        <v>35</v>
      </c>
      <c r="T560" s="6">
        <v>0.2</v>
      </c>
    </row>
    <row r="561" spans="1:20" x14ac:dyDescent="0.3">
      <c r="A561">
        <v>37395</v>
      </c>
      <c r="B561" t="s">
        <v>21</v>
      </c>
      <c r="C561" s="3" t="s">
        <v>22</v>
      </c>
      <c r="D561" t="s">
        <v>23</v>
      </c>
      <c r="E561">
        <v>7868</v>
      </c>
      <c r="F561" t="s">
        <v>24</v>
      </c>
      <c r="H561" s="3" t="s">
        <v>25</v>
      </c>
      <c r="I561" s="3" t="s">
        <v>25</v>
      </c>
      <c r="J561" t="s">
        <v>21</v>
      </c>
      <c r="K561" t="s">
        <v>26</v>
      </c>
      <c r="L561" s="1">
        <v>46054</v>
      </c>
      <c r="M561" s="1">
        <v>46081</v>
      </c>
      <c r="N561" t="s">
        <v>27</v>
      </c>
      <c r="O561" t="s">
        <v>28</v>
      </c>
      <c r="Q561" t="s">
        <v>29</v>
      </c>
      <c r="R561" s="4" t="s">
        <v>36</v>
      </c>
      <c r="S561" s="4" t="s">
        <v>36</v>
      </c>
      <c r="T561" s="5">
        <v>60.1</v>
      </c>
    </row>
    <row r="562" spans="1:20" x14ac:dyDescent="0.3">
      <c r="A562">
        <v>37395</v>
      </c>
      <c r="B562" t="s">
        <v>21</v>
      </c>
      <c r="C562" s="3" t="s">
        <v>37</v>
      </c>
      <c r="D562" t="s">
        <v>38</v>
      </c>
      <c r="E562">
        <v>7868</v>
      </c>
      <c r="F562" t="s">
        <v>24</v>
      </c>
      <c r="H562" s="3" t="s">
        <v>39</v>
      </c>
      <c r="I562" s="3" t="s">
        <v>39</v>
      </c>
      <c r="J562" t="s">
        <v>21</v>
      </c>
      <c r="K562" t="s">
        <v>26</v>
      </c>
      <c r="L562" s="1">
        <v>46054</v>
      </c>
      <c r="M562" s="1">
        <v>46081</v>
      </c>
      <c r="N562" t="s">
        <v>27</v>
      </c>
      <c r="O562" t="s">
        <v>28</v>
      </c>
      <c r="Q562" t="s">
        <v>29</v>
      </c>
      <c r="R562" s="4" t="s">
        <v>40</v>
      </c>
      <c r="S562" s="4" t="s">
        <v>40</v>
      </c>
      <c r="T562" s="6">
        <v>35.6</v>
      </c>
    </row>
    <row r="563" spans="1:20" x14ac:dyDescent="0.3">
      <c r="A563">
        <v>37395</v>
      </c>
      <c r="B563" t="s">
        <v>21</v>
      </c>
      <c r="C563" s="3" t="s">
        <v>37</v>
      </c>
      <c r="D563" t="s">
        <v>38</v>
      </c>
      <c r="E563">
        <v>7868</v>
      </c>
      <c r="F563" t="s">
        <v>24</v>
      </c>
      <c r="H563" s="3" t="s">
        <v>39</v>
      </c>
      <c r="I563" s="3" t="s">
        <v>39</v>
      </c>
      <c r="J563" t="s">
        <v>21</v>
      </c>
      <c r="K563" t="s">
        <v>26</v>
      </c>
      <c r="L563" s="1">
        <v>46054</v>
      </c>
      <c r="M563" s="1">
        <v>46081</v>
      </c>
      <c r="N563" t="s">
        <v>27</v>
      </c>
      <c r="O563" t="s">
        <v>28</v>
      </c>
      <c r="Q563" t="s">
        <v>29</v>
      </c>
      <c r="R563" s="4" t="s">
        <v>41</v>
      </c>
      <c r="S563" s="4" t="s">
        <v>41</v>
      </c>
      <c r="T563" s="5">
        <v>6.6</v>
      </c>
    </row>
    <row r="564" spans="1:20" x14ac:dyDescent="0.3">
      <c r="A564">
        <v>37395</v>
      </c>
      <c r="B564" t="s">
        <v>21</v>
      </c>
      <c r="C564" s="3" t="s">
        <v>37</v>
      </c>
      <c r="D564" t="s">
        <v>38</v>
      </c>
      <c r="E564">
        <v>7868</v>
      </c>
      <c r="F564" t="s">
        <v>24</v>
      </c>
      <c r="H564" s="3" t="s">
        <v>39</v>
      </c>
      <c r="I564" s="3" t="s">
        <v>39</v>
      </c>
      <c r="J564" t="s">
        <v>21</v>
      </c>
      <c r="K564" t="s">
        <v>26</v>
      </c>
      <c r="L564" s="1">
        <v>46054</v>
      </c>
      <c r="M564" s="1">
        <v>46081</v>
      </c>
      <c r="N564" t="s">
        <v>27</v>
      </c>
      <c r="O564" t="s">
        <v>28</v>
      </c>
      <c r="Q564" t="s">
        <v>29</v>
      </c>
      <c r="R564" s="4" t="s">
        <v>42</v>
      </c>
      <c r="S564" s="4" t="s">
        <v>42</v>
      </c>
      <c r="T564" s="6">
        <v>6.7</v>
      </c>
    </row>
    <row r="565" spans="1:20" x14ac:dyDescent="0.3">
      <c r="A565">
        <v>37395</v>
      </c>
      <c r="B565" t="s">
        <v>21</v>
      </c>
      <c r="C565" s="3" t="s">
        <v>37</v>
      </c>
      <c r="D565" t="s">
        <v>38</v>
      </c>
      <c r="E565">
        <v>7868</v>
      </c>
      <c r="F565" t="s">
        <v>24</v>
      </c>
      <c r="H565" s="3" t="s">
        <v>39</v>
      </c>
      <c r="I565" s="3" t="s">
        <v>39</v>
      </c>
      <c r="J565" t="s">
        <v>21</v>
      </c>
      <c r="K565" t="s">
        <v>26</v>
      </c>
      <c r="L565" s="1">
        <v>46054</v>
      </c>
      <c r="M565" s="1">
        <v>46081</v>
      </c>
      <c r="N565" t="s">
        <v>27</v>
      </c>
      <c r="O565" t="s">
        <v>28</v>
      </c>
      <c r="Q565" t="s">
        <v>29</v>
      </c>
      <c r="R565" s="4" t="s">
        <v>43</v>
      </c>
      <c r="S565" s="4" t="s">
        <v>43</v>
      </c>
      <c r="T565" s="5">
        <v>33.700000000000003</v>
      </c>
    </row>
    <row r="566" spans="1:20" x14ac:dyDescent="0.3">
      <c r="A566">
        <v>37395</v>
      </c>
      <c r="B566" t="s">
        <v>21</v>
      </c>
      <c r="C566" s="3" t="s">
        <v>37</v>
      </c>
      <c r="D566" t="s">
        <v>38</v>
      </c>
      <c r="E566">
        <v>7868</v>
      </c>
      <c r="F566" t="s">
        <v>24</v>
      </c>
      <c r="H566" s="3" t="s">
        <v>39</v>
      </c>
      <c r="I566" s="3" t="s">
        <v>39</v>
      </c>
      <c r="J566" t="s">
        <v>21</v>
      </c>
      <c r="K566" t="s">
        <v>26</v>
      </c>
      <c r="L566" s="1">
        <v>46054</v>
      </c>
      <c r="M566" s="1">
        <v>46081</v>
      </c>
      <c r="N566" t="s">
        <v>27</v>
      </c>
      <c r="O566" t="s">
        <v>28</v>
      </c>
      <c r="Q566" t="s">
        <v>29</v>
      </c>
      <c r="R566" s="4" t="s">
        <v>44</v>
      </c>
      <c r="S566" s="4" t="s">
        <v>44</v>
      </c>
      <c r="T566" s="6">
        <v>5.5</v>
      </c>
    </row>
    <row r="567" spans="1:20" x14ac:dyDescent="0.3">
      <c r="A567">
        <v>37395</v>
      </c>
      <c r="B567" t="s">
        <v>21</v>
      </c>
      <c r="C567" s="3" t="s">
        <v>37</v>
      </c>
      <c r="D567" t="s">
        <v>38</v>
      </c>
      <c r="E567">
        <v>7868</v>
      </c>
      <c r="F567" t="s">
        <v>24</v>
      </c>
      <c r="H567" s="3" t="s">
        <v>39</v>
      </c>
      <c r="I567" s="3" t="s">
        <v>39</v>
      </c>
      <c r="J567" t="s">
        <v>21</v>
      </c>
      <c r="K567" t="s">
        <v>26</v>
      </c>
      <c r="L567" s="1">
        <v>46054</v>
      </c>
      <c r="M567" s="1">
        <v>46081</v>
      </c>
      <c r="N567" t="s">
        <v>27</v>
      </c>
      <c r="O567" t="s">
        <v>28</v>
      </c>
      <c r="Q567" t="s">
        <v>29</v>
      </c>
      <c r="R567" s="4" t="s">
        <v>45</v>
      </c>
      <c r="S567" s="4" t="s">
        <v>45</v>
      </c>
      <c r="T567" s="5">
        <v>0</v>
      </c>
    </row>
    <row r="568" spans="1:20" x14ac:dyDescent="0.3">
      <c r="A568">
        <v>37395</v>
      </c>
      <c r="B568" t="s">
        <v>21</v>
      </c>
      <c r="C568" s="3" t="s">
        <v>37</v>
      </c>
      <c r="D568" t="s">
        <v>38</v>
      </c>
      <c r="E568">
        <v>7868</v>
      </c>
      <c r="F568" t="s">
        <v>24</v>
      </c>
      <c r="H568" s="3" t="s">
        <v>39</v>
      </c>
      <c r="I568" s="3" t="s">
        <v>39</v>
      </c>
      <c r="J568" t="s">
        <v>21</v>
      </c>
      <c r="K568" t="s">
        <v>26</v>
      </c>
      <c r="L568" s="1">
        <v>46054</v>
      </c>
      <c r="M568" s="1">
        <v>46081</v>
      </c>
      <c r="N568" t="s">
        <v>27</v>
      </c>
      <c r="O568" t="s">
        <v>28</v>
      </c>
      <c r="Q568" t="s">
        <v>29</v>
      </c>
      <c r="R568" s="4" t="s">
        <v>46</v>
      </c>
      <c r="S568" s="4" t="s">
        <v>46</v>
      </c>
      <c r="T568" s="6">
        <v>0</v>
      </c>
    </row>
    <row r="569" spans="1:20" x14ac:dyDescent="0.3">
      <c r="A569">
        <v>37395</v>
      </c>
      <c r="B569" t="s">
        <v>21</v>
      </c>
      <c r="C569" s="3" t="s">
        <v>37</v>
      </c>
      <c r="D569" t="s">
        <v>38</v>
      </c>
      <c r="E569">
        <v>7868</v>
      </c>
      <c r="F569" t="s">
        <v>24</v>
      </c>
      <c r="H569" s="3" t="s">
        <v>39</v>
      </c>
      <c r="I569" s="3" t="s">
        <v>39</v>
      </c>
      <c r="J569" t="s">
        <v>21</v>
      </c>
      <c r="K569" t="s">
        <v>26</v>
      </c>
      <c r="L569" s="1">
        <v>46054</v>
      </c>
      <c r="M569" s="1">
        <v>46081</v>
      </c>
      <c r="N569" t="s">
        <v>27</v>
      </c>
      <c r="O569" t="s">
        <v>28</v>
      </c>
      <c r="Q569" t="s">
        <v>29</v>
      </c>
      <c r="R569" s="4" t="s">
        <v>47</v>
      </c>
      <c r="S569" s="4" t="s">
        <v>47</v>
      </c>
      <c r="T569" s="5">
        <v>0</v>
      </c>
    </row>
    <row r="570" spans="1:20" x14ac:dyDescent="0.3">
      <c r="A570">
        <v>37395</v>
      </c>
      <c r="B570" t="s">
        <v>21</v>
      </c>
      <c r="C570" s="3" t="s">
        <v>48</v>
      </c>
      <c r="D570" t="s">
        <v>49</v>
      </c>
      <c r="E570">
        <v>7868</v>
      </c>
      <c r="F570" t="s">
        <v>24</v>
      </c>
      <c r="H570" s="3" t="s">
        <v>50</v>
      </c>
      <c r="I570" s="3" t="s">
        <v>50</v>
      </c>
      <c r="J570" t="s">
        <v>21</v>
      </c>
      <c r="K570" t="s">
        <v>26</v>
      </c>
      <c r="L570" s="1">
        <v>46054</v>
      </c>
      <c r="M570" s="1">
        <v>46081</v>
      </c>
      <c r="N570" t="s">
        <v>27</v>
      </c>
      <c r="O570" t="s">
        <v>28</v>
      </c>
      <c r="Q570" t="s">
        <v>29</v>
      </c>
      <c r="R570" s="4" t="s">
        <v>51</v>
      </c>
      <c r="S570" s="4" t="s">
        <v>51</v>
      </c>
      <c r="T570" s="6">
        <v>0</v>
      </c>
    </row>
    <row r="571" spans="1:20" x14ac:dyDescent="0.3">
      <c r="A571">
        <v>37395</v>
      </c>
      <c r="B571" t="s">
        <v>21</v>
      </c>
      <c r="C571" s="3" t="s">
        <v>48</v>
      </c>
      <c r="D571" t="s">
        <v>49</v>
      </c>
      <c r="E571">
        <v>7868</v>
      </c>
      <c r="F571" t="s">
        <v>24</v>
      </c>
      <c r="H571" s="3" t="s">
        <v>50</v>
      </c>
      <c r="I571" s="3" t="s">
        <v>50</v>
      </c>
      <c r="J571" t="s">
        <v>21</v>
      </c>
      <c r="K571" t="s">
        <v>26</v>
      </c>
      <c r="L571" s="1">
        <v>46054</v>
      </c>
      <c r="M571" s="1">
        <v>46081</v>
      </c>
      <c r="N571" t="s">
        <v>27</v>
      </c>
      <c r="O571" t="s">
        <v>28</v>
      </c>
      <c r="Q571" t="s">
        <v>29</v>
      </c>
      <c r="R571" s="4" t="s">
        <v>52</v>
      </c>
      <c r="S571" s="4" t="s">
        <v>52</v>
      </c>
      <c r="T571" s="5">
        <v>-0.1</v>
      </c>
    </row>
    <row r="572" spans="1:20" x14ac:dyDescent="0.3">
      <c r="A572">
        <v>37395</v>
      </c>
      <c r="B572" t="s">
        <v>21</v>
      </c>
      <c r="C572" s="3" t="s">
        <v>48</v>
      </c>
      <c r="D572" t="s">
        <v>49</v>
      </c>
      <c r="E572">
        <v>7868</v>
      </c>
      <c r="F572" t="s">
        <v>24</v>
      </c>
      <c r="H572" s="3" t="s">
        <v>50</v>
      </c>
      <c r="I572" s="3" t="s">
        <v>50</v>
      </c>
      <c r="J572" t="s">
        <v>21</v>
      </c>
      <c r="K572" t="s">
        <v>26</v>
      </c>
      <c r="L572" s="1">
        <v>46054</v>
      </c>
      <c r="M572" s="1">
        <v>46081</v>
      </c>
      <c r="N572" t="s">
        <v>27</v>
      </c>
      <c r="O572" t="s">
        <v>28</v>
      </c>
      <c r="Q572" t="s">
        <v>29</v>
      </c>
      <c r="R572" s="4" t="s">
        <v>53</v>
      </c>
      <c r="S572" s="4" t="s">
        <v>53</v>
      </c>
      <c r="T572" s="6">
        <v>23</v>
      </c>
    </row>
    <row r="573" spans="1:20" x14ac:dyDescent="0.3">
      <c r="A573">
        <v>37395</v>
      </c>
      <c r="B573" t="s">
        <v>21</v>
      </c>
      <c r="C573" s="3" t="s">
        <v>48</v>
      </c>
      <c r="D573" t="s">
        <v>49</v>
      </c>
      <c r="E573">
        <v>7868</v>
      </c>
      <c r="F573" t="s">
        <v>24</v>
      </c>
      <c r="H573" s="3" t="s">
        <v>50</v>
      </c>
      <c r="I573" s="3" t="s">
        <v>50</v>
      </c>
      <c r="J573" t="s">
        <v>21</v>
      </c>
      <c r="K573" t="s">
        <v>26</v>
      </c>
      <c r="L573" s="1">
        <v>46054</v>
      </c>
      <c r="M573" s="1">
        <v>46081</v>
      </c>
      <c r="N573" t="s">
        <v>27</v>
      </c>
      <c r="O573" t="s">
        <v>28</v>
      </c>
      <c r="Q573" t="s">
        <v>29</v>
      </c>
      <c r="R573" s="4" t="s">
        <v>54</v>
      </c>
      <c r="S573" s="4" t="s">
        <v>54</v>
      </c>
      <c r="T573" s="5">
        <v>11.3</v>
      </c>
    </row>
    <row r="574" spans="1:20" x14ac:dyDescent="0.3">
      <c r="A574">
        <v>37395</v>
      </c>
      <c r="B574" t="s">
        <v>21</v>
      </c>
      <c r="C574" s="3" t="s">
        <v>55</v>
      </c>
      <c r="D574" t="s">
        <v>56</v>
      </c>
      <c r="E574">
        <v>7868</v>
      </c>
      <c r="F574" t="s">
        <v>24</v>
      </c>
      <c r="H574" s="3" t="s">
        <v>57</v>
      </c>
      <c r="I574" s="3" t="s">
        <v>57</v>
      </c>
      <c r="J574" t="s">
        <v>21</v>
      </c>
      <c r="K574" t="s">
        <v>26</v>
      </c>
      <c r="L574" s="1">
        <v>46054</v>
      </c>
      <c r="M574" s="1">
        <v>46081</v>
      </c>
      <c r="N574" t="s">
        <v>27</v>
      </c>
      <c r="O574" t="s">
        <v>28</v>
      </c>
      <c r="Q574" t="s">
        <v>29</v>
      </c>
      <c r="R574" s="4" t="s">
        <v>58</v>
      </c>
      <c r="S574" s="4" t="s">
        <v>58</v>
      </c>
      <c r="T574" s="6">
        <v>12</v>
      </c>
    </row>
    <row r="575" spans="1:20" x14ac:dyDescent="0.3">
      <c r="A575">
        <v>37395</v>
      </c>
      <c r="B575" t="s">
        <v>21</v>
      </c>
      <c r="C575" s="3" t="s">
        <v>55</v>
      </c>
      <c r="D575" t="s">
        <v>56</v>
      </c>
      <c r="E575">
        <v>7868</v>
      </c>
      <c r="F575" t="s">
        <v>24</v>
      </c>
      <c r="H575" s="3" t="s">
        <v>57</v>
      </c>
      <c r="I575" s="3" t="s">
        <v>57</v>
      </c>
      <c r="J575" t="s">
        <v>21</v>
      </c>
      <c r="K575" t="s">
        <v>26</v>
      </c>
      <c r="L575" s="1">
        <v>46054</v>
      </c>
      <c r="M575" s="1">
        <v>46081</v>
      </c>
      <c r="N575" t="s">
        <v>27</v>
      </c>
      <c r="O575" t="s">
        <v>28</v>
      </c>
      <c r="Q575" t="s">
        <v>29</v>
      </c>
      <c r="R575" s="4" t="s">
        <v>59</v>
      </c>
      <c r="S575" s="4" t="s">
        <v>59</v>
      </c>
      <c r="T575" s="5">
        <v>0</v>
      </c>
    </row>
    <row r="576" spans="1:20" x14ac:dyDescent="0.3">
      <c r="A576">
        <v>37395</v>
      </c>
      <c r="B576" t="s">
        <v>21</v>
      </c>
      <c r="C576" s="3" t="s">
        <v>60</v>
      </c>
      <c r="D576" t="s">
        <v>61</v>
      </c>
      <c r="E576">
        <v>7868</v>
      </c>
      <c r="F576" t="s">
        <v>24</v>
      </c>
      <c r="H576" s="3" t="s">
        <v>62</v>
      </c>
      <c r="I576" s="3" t="s">
        <v>62</v>
      </c>
      <c r="J576" t="s">
        <v>21</v>
      </c>
      <c r="K576" t="s">
        <v>26</v>
      </c>
      <c r="L576" s="1">
        <v>46054</v>
      </c>
      <c r="M576" s="1">
        <v>46081</v>
      </c>
      <c r="N576" t="s">
        <v>27</v>
      </c>
      <c r="O576" t="s">
        <v>28</v>
      </c>
      <c r="Q576" t="s">
        <v>29</v>
      </c>
      <c r="R576" s="4" t="s">
        <v>63</v>
      </c>
      <c r="S576" s="4" t="s">
        <v>63</v>
      </c>
      <c r="T576" s="6">
        <v>0</v>
      </c>
    </row>
    <row r="577" spans="1:20" x14ac:dyDescent="0.3">
      <c r="A577">
        <v>37395</v>
      </c>
      <c r="B577" t="s">
        <v>21</v>
      </c>
      <c r="C577" s="3" t="s">
        <v>60</v>
      </c>
      <c r="D577" t="s">
        <v>61</v>
      </c>
      <c r="E577">
        <v>7868</v>
      </c>
      <c r="F577" t="s">
        <v>24</v>
      </c>
      <c r="H577" s="3" t="s">
        <v>62</v>
      </c>
      <c r="I577" s="3" t="s">
        <v>62</v>
      </c>
      <c r="J577" t="s">
        <v>21</v>
      </c>
      <c r="K577" t="s">
        <v>26</v>
      </c>
      <c r="L577" s="1">
        <v>46054</v>
      </c>
      <c r="M577" s="1">
        <v>46081</v>
      </c>
      <c r="N577" t="s">
        <v>27</v>
      </c>
      <c r="O577" t="s">
        <v>28</v>
      </c>
      <c r="Q577" t="s">
        <v>29</v>
      </c>
      <c r="R577" s="4" t="s">
        <v>64</v>
      </c>
      <c r="S577" s="4" t="s">
        <v>64</v>
      </c>
      <c r="T577" s="5">
        <v>48.2</v>
      </c>
    </row>
    <row r="578" spans="1:20" x14ac:dyDescent="0.3">
      <c r="A578">
        <v>37395</v>
      </c>
      <c r="B578" t="s">
        <v>21</v>
      </c>
      <c r="C578" s="3" t="s">
        <v>60</v>
      </c>
      <c r="D578" t="s">
        <v>61</v>
      </c>
      <c r="E578">
        <v>7868</v>
      </c>
      <c r="F578" t="s">
        <v>24</v>
      </c>
      <c r="H578" s="3" t="s">
        <v>62</v>
      </c>
      <c r="I578" s="3" t="s">
        <v>62</v>
      </c>
      <c r="J578" t="s">
        <v>21</v>
      </c>
      <c r="K578" t="s">
        <v>26</v>
      </c>
      <c r="L578" s="1">
        <v>46054</v>
      </c>
      <c r="M578" s="1">
        <v>46081</v>
      </c>
      <c r="N578" t="s">
        <v>27</v>
      </c>
      <c r="O578" t="s">
        <v>28</v>
      </c>
      <c r="Q578" t="s">
        <v>29</v>
      </c>
      <c r="R578" s="4" t="s">
        <v>65</v>
      </c>
      <c r="S578" s="4" t="s">
        <v>65</v>
      </c>
      <c r="T578" s="6">
        <v>13.3</v>
      </c>
    </row>
    <row r="579" spans="1:20" x14ac:dyDescent="0.3">
      <c r="A579">
        <v>37395</v>
      </c>
      <c r="B579" t="s">
        <v>21</v>
      </c>
      <c r="C579" s="3" t="s">
        <v>66</v>
      </c>
      <c r="D579" t="s">
        <v>67</v>
      </c>
      <c r="E579">
        <v>7868</v>
      </c>
      <c r="F579" t="s">
        <v>24</v>
      </c>
      <c r="H579" s="3" t="s">
        <v>68</v>
      </c>
      <c r="I579" s="3" t="s">
        <v>68</v>
      </c>
      <c r="J579" t="s">
        <v>21</v>
      </c>
      <c r="K579" t="s">
        <v>26</v>
      </c>
      <c r="L579" s="1">
        <v>46054</v>
      </c>
      <c r="M579" s="1">
        <v>46081</v>
      </c>
      <c r="N579" t="s">
        <v>27</v>
      </c>
      <c r="O579" t="s">
        <v>28</v>
      </c>
      <c r="Q579" t="s">
        <v>29</v>
      </c>
      <c r="R579" s="4" t="s">
        <v>69</v>
      </c>
      <c r="S579" s="4" t="s">
        <v>69</v>
      </c>
      <c r="T579" s="5">
        <v>20.100000000000001</v>
      </c>
    </row>
    <row r="580" spans="1:20" x14ac:dyDescent="0.3">
      <c r="A580">
        <v>37395</v>
      </c>
      <c r="B580" t="s">
        <v>21</v>
      </c>
      <c r="C580" s="3" t="s">
        <v>66</v>
      </c>
      <c r="D580" t="s">
        <v>67</v>
      </c>
      <c r="E580">
        <v>7868</v>
      </c>
      <c r="F580" t="s">
        <v>24</v>
      </c>
      <c r="H580" s="3" t="s">
        <v>68</v>
      </c>
      <c r="I580" s="3" t="s">
        <v>68</v>
      </c>
      <c r="J580" t="s">
        <v>21</v>
      </c>
      <c r="K580" t="s">
        <v>26</v>
      </c>
      <c r="L580" s="1">
        <v>46054</v>
      </c>
      <c r="M580" s="1">
        <v>46081</v>
      </c>
      <c r="N580" t="s">
        <v>27</v>
      </c>
      <c r="O580" t="s">
        <v>28</v>
      </c>
      <c r="Q580" t="s">
        <v>29</v>
      </c>
      <c r="R580" s="4" t="s">
        <v>70</v>
      </c>
      <c r="S580" s="4" t="s">
        <v>70</v>
      </c>
      <c r="T580" s="6">
        <v>9.8000000000000007</v>
      </c>
    </row>
    <row r="581" spans="1:20" x14ac:dyDescent="0.3">
      <c r="A581">
        <v>37395</v>
      </c>
      <c r="B581" t="s">
        <v>21</v>
      </c>
      <c r="C581" s="3" t="s">
        <v>71</v>
      </c>
      <c r="D581" t="s">
        <v>72</v>
      </c>
      <c r="E581">
        <v>7868</v>
      </c>
      <c r="F581" t="s">
        <v>24</v>
      </c>
      <c r="H581" s="3" t="s">
        <v>73</v>
      </c>
      <c r="I581" s="3" t="s">
        <v>73</v>
      </c>
      <c r="J581" t="s">
        <v>21</v>
      </c>
      <c r="K581" t="s">
        <v>26</v>
      </c>
      <c r="L581" s="1">
        <v>46054</v>
      </c>
      <c r="M581" s="1">
        <v>46081</v>
      </c>
      <c r="N581" t="s">
        <v>27</v>
      </c>
      <c r="O581" t="s">
        <v>28</v>
      </c>
      <c r="Q581" t="s">
        <v>29</v>
      </c>
      <c r="R581" s="4" t="s">
        <v>74</v>
      </c>
      <c r="S581" s="4" t="s">
        <v>74</v>
      </c>
      <c r="T581" s="5">
        <v>7</v>
      </c>
    </row>
    <row r="582" spans="1:20" x14ac:dyDescent="0.3">
      <c r="A582">
        <v>37395</v>
      </c>
      <c r="B582" t="s">
        <v>21</v>
      </c>
      <c r="C582" s="3" t="s">
        <v>71</v>
      </c>
      <c r="D582" t="s">
        <v>72</v>
      </c>
      <c r="E582">
        <v>7868</v>
      </c>
      <c r="F582" t="s">
        <v>24</v>
      </c>
      <c r="H582" s="3" t="s">
        <v>73</v>
      </c>
      <c r="I582" s="3" t="s">
        <v>73</v>
      </c>
      <c r="J582" t="s">
        <v>21</v>
      </c>
      <c r="K582" t="s">
        <v>26</v>
      </c>
      <c r="L582" s="1">
        <v>46054</v>
      </c>
      <c r="M582" s="1">
        <v>46081</v>
      </c>
      <c r="N582" t="s">
        <v>27</v>
      </c>
      <c r="O582" t="s">
        <v>28</v>
      </c>
      <c r="Q582" t="s">
        <v>29</v>
      </c>
      <c r="R582" s="4" t="s">
        <v>75</v>
      </c>
      <c r="S582" s="4" t="s">
        <v>75</v>
      </c>
      <c r="T582" s="6">
        <v>13.2</v>
      </c>
    </row>
    <row r="583" spans="1:20" x14ac:dyDescent="0.3">
      <c r="A583">
        <v>37395</v>
      </c>
      <c r="B583" t="s">
        <v>21</v>
      </c>
      <c r="C583" s="3" t="s">
        <v>76</v>
      </c>
      <c r="D583" t="s">
        <v>77</v>
      </c>
      <c r="E583">
        <v>7868</v>
      </c>
      <c r="F583" t="s">
        <v>24</v>
      </c>
      <c r="H583" s="3" t="s">
        <v>78</v>
      </c>
      <c r="I583" s="3" t="s">
        <v>78</v>
      </c>
      <c r="J583" t="s">
        <v>21</v>
      </c>
      <c r="K583" t="s">
        <v>26</v>
      </c>
      <c r="L583" s="1">
        <v>46054</v>
      </c>
      <c r="M583" s="1">
        <v>46081</v>
      </c>
      <c r="N583" t="s">
        <v>27</v>
      </c>
      <c r="O583" t="s">
        <v>28</v>
      </c>
      <c r="Q583" t="s">
        <v>29</v>
      </c>
      <c r="R583" s="4" t="s">
        <v>79</v>
      </c>
      <c r="S583" s="4" t="s">
        <v>79</v>
      </c>
      <c r="T583" s="5">
        <v>11.7</v>
      </c>
    </row>
    <row r="584" spans="1:20" x14ac:dyDescent="0.3">
      <c r="A584">
        <v>37395</v>
      </c>
      <c r="B584" t="s">
        <v>21</v>
      </c>
      <c r="C584" s="3" t="s">
        <v>80</v>
      </c>
      <c r="D584" t="s">
        <v>81</v>
      </c>
      <c r="E584">
        <v>7868</v>
      </c>
      <c r="F584" t="s">
        <v>24</v>
      </c>
      <c r="H584" s="3" t="s">
        <v>82</v>
      </c>
      <c r="I584" s="3" t="s">
        <v>82</v>
      </c>
      <c r="J584" t="s">
        <v>21</v>
      </c>
      <c r="K584" t="s">
        <v>26</v>
      </c>
      <c r="L584" s="1">
        <v>46054</v>
      </c>
      <c r="M584" s="1">
        <v>46081</v>
      </c>
      <c r="N584" t="s">
        <v>27</v>
      </c>
      <c r="O584" t="s">
        <v>28</v>
      </c>
      <c r="Q584" t="s">
        <v>29</v>
      </c>
      <c r="R584" s="4" t="s">
        <v>83</v>
      </c>
      <c r="S584" s="4" t="s">
        <v>83</v>
      </c>
      <c r="T584" s="6">
        <v>0.2</v>
      </c>
    </row>
    <row r="585" spans="1:20" x14ac:dyDescent="0.3">
      <c r="A585">
        <v>37395</v>
      </c>
      <c r="B585" t="s">
        <v>21</v>
      </c>
      <c r="C585" s="3" t="s">
        <v>80</v>
      </c>
      <c r="D585" t="s">
        <v>81</v>
      </c>
      <c r="E585">
        <v>7868</v>
      </c>
      <c r="F585" t="s">
        <v>24</v>
      </c>
      <c r="H585" s="3" t="s">
        <v>82</v>
      </c>
      <c r="I585" s="3" t="s">
        <v>82</v>
      </c>
      <c r="J585" t="s">
        <v>21</v>
      </c>
      <c r="K585" t="s">
        <v>26</v>
      </c>
      <c r="L585" s="1">
        <v>46054</v>
      </c>
      <c r="M585" s="1">
        <v>46081</v>
      </c>
      <c r="N585" t="s">
        <v>27</v>
      </c>
      <c r="O585" t="s">
        <v>28</v>
      </c>
      <c r="Q585" t="s">
        <v>29</v>
      </c>
      <c r="R585" s="4" t="s">
        <v>84</v>
      </c>
      <c r="S585" s="4" t="s">
        <v>84</v>
      </c>
      <c r="T585" s="5">
        <v>5.2</v>
      </c>
    </row>
    <row r="586" spans="1:20" x14ac:dyDescent="0.3">
      <c r="A586">
        <v>37395</v>
      </c>
      <c r="B586" t="s">
        <v>21</v>
      </c>
      <c r="C586" s="3" t="s">
        <v>80</v>
      </c>
      <c r="D586" t="s">
        <v>81</v>
      </c>
      <c r="E586">
        <v>7868</v>
      </c>
      <c r="F586" t="s">
        <v>24</v>
      </c>
      <c r="H586" s="3" t="s">
        <v>82</v>
      </c>
      <c r="I586" s="3" t="s">
        <v>82</v>
      </c>
      <c r="J586" t="s">
        <v>21</v>
      </c>
      <c r="K586" t="s">
        <v>26</v>
      </c>
      <c r="L586" s="1">
        <v>46054</v>
      </c>
      <c r="M586" s="1">
        <v>46081</v>
      </c>
      <c r="N586" t="s">
        <v>27</v>
      </c>
      <c r="O586" t="s">
        <v>28</v>
      </c>
      <c r="Q586" t="s">
        <v>29</v>
      </c>
      <c r="R586" s="4" t="s">
        <v>85</v>
      </c>
      <c r="S586" s="4" t="s">
        <v>85</v>
      </c>
      <c r="T586" s="6">
        <v>2.4</v>
      </c>
    </row>
    <row r="587" spans="1:20" x14ac:dyDescent="0.3">
      <c r="A587">
        <v>37395</v>
      </c>
      <c r="B587" t="s">
        <v>21</v>
      </c>
      <c r="C587" s="3" t="s">
        <v>80</v>
      </c>
      <c r="D587" t="s">
        <v>81</v>
      </c>
      <c r="E587">
        <v>7868</v>
      </c>
      <c r="F587" t="s">
        <v>24</v>
      </c>
      <c r="H587" s="3" t="s">
        <v>82</v>
      </c>
      <c r="I587" s="3" t="s">
        <v>82</v>
      </c>
      <c r="J587" t="s">
        <v>21</v>
      </c>
      <c r="K587" t="s">
        <v>26</v>
      </c>
      <c r="L587" s="1">
        <v>46054</v>
      </c>
      <c r="M587" s="1">
        <v>46081</v>
      </c>
      <c r="N587" t="s">
        <v>27</v>
      </c>
      <c r="O587" t="s">
        <v>28</v>
      </c>
      <c r="Q587" t="s">
        <v>29</v>
      </c>
      <c r="R587" s="4" t="s">
        <v>86</v>
      </c>
      <c r="S587" s="4" t="s">
        <v>86</v>
      </c>
      <c r="T587" s="5">
        <v>0</v>
      </c>
    </row>
    <row r="588" spans="1:20" x14ac:dyDescent="0.3">
      <c r="A588">
        <v>37395</v>
      </c>
      <c r="B588" t="s">
        <v>21</v>
      </c>
      <c r="C588" s="3" t="s">
        <v>87</v>
      </c>
      <c r="D588" t="s">
        <v>88</v>
      </c>
      <c r="E588">
        <v>7868</v>
      </c>
      <c r="F588" t="s">
        <v>24</v>
      </c>
      <c r="H588" s="3" t="s">
        <v>89</v>
      </c>
      <c r="I588" s="3" t="s">
        <v>89</v>
      </c>
      <c r="J588" t="s">
        <v>21</v>
      </c>
      <c r="K588" t="s">
        <v>26</v>
      </c>
      <c r="L588" s="1">
        <v>46054</v>
      </c>
      <c r="M588" s="1">
        <v>46081</v>
      </c>
      <c r="N588" t="s">
        <v>27</v>
      </c>
      <c r="O588" t="s">
        <v>28</v>
      </c>
      <c r="Q588" t="s">
        <v>29</v>
      </c>
      <c r="R588" s="4" t="s">
        <v>90</v>
      </c>
      <c r="S588" s="4" t="s">
        <v>90</v>
      </c>
      <c r="T588" s="6">
        <v>0</v>
      </c>
    </row>
    <row r="589" spans="1:20" x14ac:dyDescent="0.3">
      <c r="A589">
        <v>37395</v>
      </c>
      <c r="B589" t="s">
        <v>21</v>
      </c>
      <c r="C589" s="3" t="s">
        <v>87</v>
      </c>
      <c r="D589" t="s">
        <v>88</v>
      </c>
      <c r="E589">
        <v>7868</v>
      </c>
      <c r="F589" t="s">
        <v>24</v>
      </c>
      <c r="H589" s="3" t="s">
        <v>89</v>
      </c>
      <c r="I589" s="3" t="s">
        <v>89</v>
      </c>
      <c r="J589" t="s">
        <v>21</v>
      </c>
      <c r="K589" t="s">
        <v>26</v>
      </c>
      <c r="L589" s="1">
        <v>46054</v>
      </c>
      <c r="M589" s="1">
        <v>46081</v>
      </c>
      <c r="N589" t="s">
        <v>27</v>
      </c>
      <c r="O589" t="s">
        <v>28</v>
      </c>
      <c r="Q589" t="s">
        <v>29</v>
      </c>
      <c r="R589" s="4" t="s">
        <v>91</v>
      </c>
      <c r="S589" s="4" t="s">
        <v>91</v>
      </c>
      <c r="T589" s="5">
        <v>0</v>
      </c>
    </row>
    <row r="590" spans="1:20" x14ac:dyDescent="0.3">
      <c r="A590">
        <v>37395</v>
      </c>
      <c r="B590" t="s">
        <v>21</v>
      </c>
      <c r="C590" s="3" t="s">
        <v>87</v>
      </c>
      <c r="D590" t="s">
        <v>88</v>
      </c>
      <c r="E590">
        <v>7868</v>
      </c>
      <c r="F590" t="s">
        <v>24</v>
      </c>
      <c r="H590" s="3" t="s">
        <v>89</v>
      </c>
      <c r="I590" s="3" t="s">
        <v>89</v>
      </c>
      <c r="J590" t="s">
        <v>21</v>
      </c>
      <c r="K590" t="s">
        <v>26</v>
      </c>
      <c r="L590" s="1">
        <v>46054</v>
      </c>
      <c r="M590" s="1">
        <v>46081</v>
      </c>
      <c r="N590" t="s">
        <v>27</v>
      </c>
      <c r="O590" t="s">
        <v>28</v>
      </c>
      <c r="Q590" t="s">
        <v>29</v>
      </c>
      <c r="R590" s="4" t="s">
        <v>92</v>
      </c>
      <c r="S590" s="4" t="s">
        <v>92</v>
      </c>
      <c r="T590" s="6">
        <v>0.5</v>
      </c>
    </row>
    <row r="591" spans="1:20" x14ac:dyDescent="0.3">
      <c r="A591">
        <v>37395</v>
      </c>
      <c r="B591" t="s">
        <v>21</v>
      </c>
      <c r="C591" s="3" t="s">
        <v>93</v>
      </c>
      <c r="D591" t="s">
        <v>94</v>
      </c>
      <c r="E591">
        <v>7868</v>
      </c>
      <c r="F591" t="s">
        <v>24</v>
      </c>
      <c r="H591" s="3" t="s">
        <v>95</v>
      </c>
      <c r="I591" s="3" t="s">
        <v>95</v>
      </c>
      <c r="J591" t="s">
        <v>21</v>
      </c>
      <c r="K591" t="s">
        <v>26</v>
      </c>
      <c r="L591" s="1">
        <v>46054</v>
      </c>
      <c r="M591" s="1">
        <v>46081</v>
      </c>
      <c r="N591" t="s">
        <v>27</v>
      </c>
      <c r="O591" t="s">
        <v>28</v>
      </c>
      <c r="Q591" t="s">
        <v>29</v>
      </c>
      <c r="R591" s="4" t="s">
        <v>96</v>
      </c>
      <c r="S591" s="4" t="s">
        <v>96</v>
      </c>
      <c r="T591" s="5">
        <v>0</v>
      </c>
    </row>
    <row r="592" spans="1:20" x14ac:dyDescent="0.3">
      <c r="A592">
        <v>37395</v>
      </c>
      <c r="B592" t="s">
        <v>21</v>
      </c>
      <c r="C592" s="3" t="s">
        <v>97</v>
      </c>
      <c r="D592" t="s">
        <v>98</v>
      </c>
      <c r="E592">
        <v>7868</v>
      </c>
      <c r="F592" t="s">
        <v>24</v>
      </c>
      <c r="H592" s="3" t="s">
        <v>99</v>
      </c>
      <c r="I592" s="3" t="s">
        <v>99</v>
      </c>
      <c r="J592" t="s">
        <v>21</v>
      </c>
      <c r="K592" t="s">
        <v>26</v>
      </c>
      <c r="L592" s="1">
        <v>46054</v>
      </c>
      <c r="M592" s="1">
        <v>46081</v>
      </c>
      <c r="N592" t="s">
        <v>27</v>
      </c>
      <c r="O592" t="s">
        <v>28</v>
      </c>
      <c r="Q592" t="s">
        <v>29</v>
      </c>
      <c r="R592" s="4" t="s">
        <v>100</v>
      </c>
      <c r="S592" s="4" t="s">
        <v>100</v>
      </c>
      <c r="T592" s="6">
        <v>0</v>
      </c>
    </row>
    <row r="593" spans="1:20" x14ac:dyDescent="0.3">
      <c r="A593">
        <v>37395</v>
      </c>
      <c r="B593" t="s">
        <v>21</v>
      </c>
      <c r="C593" s="3" t="s">
        <v>97</v>
      </c>
      <c r="D593" t="s">
        <v>98</v>
      </c>
      <c r="E593">
        <v>7868</v>
      </c>
      <c r="F593" t="s">
        <v>24</v>
      </c>
      <c r="H593" s="3" t="s">
        <v>99</v>
      </c>
      <c r="I593" s="3" t="s">
        <v>99</v>
      </c>
      <c r="J593" t="s">
        <v>21</v>
      </c>
      <c r="K593" t="s">
        <v>26</v>
      </c>
      <c r="L593" s="1">
        <v>46054</v>
      </c>
      <c r="M593" s="1">
        <v>46081</v>
      </c>
      <c r="N593" t="s">
        <v>27</v>
      </c>
      <c r="O593" t="s">
        <v>28</v>
      </c>
      <c r="Q593" t="s">
        <v>29</v>
      </c>
      <c r="R593" s="4" t="s">
        <v>101</v>
      </c>
      <c r="S593" s="4" t="s">
        <v>101</v>
      </c>
      <c r="T593" s="5">
        <v>22.5</v>
      </c>
    </row>
    <row r="594" spans="1:20" x14ac:dyDescent="0.3">
      <c r="A594">
        <v>37395</v>
      </c>
      <c r="B594" t="s">
        <v>21</v>
      </c>
      <c r="C594" s="3" t="s">
        <v>102</v>
      </c>
      <c r="D594" t="s">
        <v>103</v>
      </c>
      <c r="E594">
        <v>7868</v>
      </c>
      <c r="F594" t="s">
        <v>24</v>
      </c>
      <c r="H594" s="3" t="s">
        <v>104</v>
      </c>
      <c r="I594" s="3" t="s">
        <v>104</v>
      </c>
      <c r="J594" t="s">
        <v>21</v>
      </c>
      <c r="K594" t="s">
        <v>26</v>
      </c>
      <c r="L594" s="1">
        <v>46054</v>
      </c>
      <c r="M594" s="1">
        <v>46081</v>
      </c>
      <c r="N594" t="s">
        <v>27</v>
      </c>
      <c r="O594" t="s">
        <v>28</v>
      </c>
      <c r="Q594" t="s">
        <v>29</v>
      </c>
      <c r="R594" s="4" t="s">
        <v>105</v>
      </c>
      <c r="S594" s="4" t="s">
        <v>105</v>
      </c>
      <c r="T594" s="6">
        <v>15.9</v>
      </c>
    </row>
    <row r="595" spans="1:20" x14ac:dyDescent="0.3">
      <c r="A595">
        <v>37395</v>
      </c>
      <c r="B595" t="s">
        <v>21</v>
      </c>
      <c r="C595" s="3" t="s">
        <v>106</v>
      </c>
      <c r="D595" t="s">
        <v>107</v>
      </c>
      <c r="E595">
        <v>7868</v>
      </c>
      <c r="F595" t="s">
        <v>24</v>
      </c>
      <c r="H595" s="3" t="s">
        <v>108</v>
      </c>
      <c r="I595" s="3" t="s">
        <v>108</v>
      </c>
      <c r="J595" t="s">
        <v>21</v>
      </c>
      <c r="K595" t="s">
        <v>26</v>
      </c>
      <c r="L595" s="1">
        <v>46054</v>
      </c>
      <c r="M595" s="1">
        <v>46081</v>
      </c>
      <c r="N595" t="s">
        <v>27</v>
      </c>
      <c r="O595" t="s">
        <v>28</v>
      </c>
      <c r="Q595" t="s">
        <v>29</v>
      </c>
      <c r="R595" s="4" t="s">
        <v>109</v>
      </c>
      <c r="S595" s="4" t="s">
        <v>109</v>
      </c>
      <c r="T595" s="5">
        <v>0.7</v>
      </c>
    </row>
    <row r="596" spans="1:20" x14ac:dyDescent="0.3">
      <c r="A596">
        <v>37395</v>
      </c>
      <c r="B596" t="s">
        <v>21</v>
      </c>
      <c r="C596" s="3" t="s">
        <v>106</v>
      </c>
      <c r="D596" t="s">
        <v>107</v>
      </c>
      <c r="E596">
        <v>7868</v>
      </c>
      <c r="F596" t="s">
        <v>24</v>
      </c>
      <c r="H596" s="3" t="s">
        <v>108</v>
      </c>
      <c r="I596" s="3" t="s">
        <v>108</v>
      </c>
      <c r="J596" t="s">
        <v>21</v>
      </c>
      <c r="K596" t="s">
        <v>26</v>
      </c>
      <c r="L596" s="1">
        <v>46054</v>
      </c>
      <c r="M596" s="1">
        <v>46081</v>
      </c>
      <c r="N596" t="s">
        <v>27</v>
      </c>
      <c r="O596" t="s">
        <v>28</v>
      </c>
      <c r="Q596" t="s">
        <v>29</v>
      </c>
      <c r="R596" s="4" t="s">
        <v>110</v>
      </c>
      <c r="S596" s="4" t="s">
        <v>110</v>
      </c>
      <c r="T596" s="6">
        <v>1.9</v>
      </c>
    </row>
    <row r="597" spans="1:20" x14ac:dyDescent="0.3">
      <c r="A597">
        <v>37395</v>
      </c>
      <c r="B597" t="s">
        <v>21</v>
      </c>
      <c r="C597" s="3" t="s">
        <v>106</v>
      </c>
      <c r="D597" t="s">
        <v>107</v>
      </c>
      <c r="E597">
        <v>7868</v>
      </c>
      <c r="F597" t="s">
        <v>24</v>
      </c>
      <c r="H597" s="3" t="s">
        <v>108</v>
      </c>
      <c r="I597" s="3" t="s">
        <v>108</v>
      </c>
      <c r="J597" t="s">
        <v>21</v>
      </c>
      <c r="K597" t="s">
        <v>26</v>
      </c>
      <c r="L597" s="1">
        <v>46054</v>
      </c>
      <c r="M597" s="1">
        <v>46081</v>
      </c>
      <c r="N597" t="s">
        <v>27</v>
      </c>
      <c r="O597" t="s">
        <v>28</v>
      </c>
      <c r="Q597" t="s">
        <v>29</v>
      </c>
      <c r="R597" s="4" t="s">
        <v>111</v>
      </c>
      <c r="S597" s="4" t="s">
        <v>111</v>
      </c>
      <c r="T597" s="5">
        <v>3.2</v>
      </c>
    </row>
    <row r="598" spans="1:20" x14ac:dyDescent="0.3">
      <c r="A598">
        <v>37395</v>
      </c>
      <c r="B598" t="s">
        <v>21</v>
      </c>
      <c r="C598" s="3" t="s">
        <v>106</v>
      </c>
      <c r="D598" t="s">
        <v>107</v>
      </c>
      <c r="E598">
        <v>7868</v>
      </c>
      <c r="F598" t="s">
        <v>24</v>
      </c>
      <c r="H598" s="3" t="s">
        <v>108</v>
      </c>
      <c r="I598" s="3" t="s">
        <v>108</v>
      </c>
      <c r="J598" t="s">
        <v>21</v>
      </c>
      <c r="K598" t="s">
        <v>26</v>
      </c>
      <c r="L598" s="1">
        <v>46054</v>
      </c>
      <c r="M598" s="1">
        <v>46081</v>
      </c>
      <c r="N598" t="s">
        <v>27</v>
      </c>
      <c r="O598" t="s">
        <v>28</v>
      </c>
      <c r="Q598" t="s">
        <v>29</v>
      </c>
      <c r="R598" s="4" t="s">
        <v>112</v>
      </c>
      <c r="S598" s="4" t="s">
        <v>112</v>
      </c>
      <c r="T598" s="6">
        <v>0.8</v>
      </c>
    </row>
    <row r="599" spans="1:20" x14ac:dyDescent="0.3">
      <c r="A599">
        <v>37395</v>
      </c>
      <c r="B599" t="s">
        <v>21</v>
      </c>
      <c r="C599" s="3" t="s">
        <v>106</v>
      </c>
      <c r="D599" t="s">
        <v>107</v>
      </c>
      <c r="E599">
        <v>7868</v>
      </c>
      <c r="F599" t="s">
        <v>24</v>
      </c>
      <c r="H599" s="3" t="s">
        <v>108</v>
      </c>
      <c r="I599" s="3" t="s">
        <v>108</v>
      </c>
      <c r="J599" t="s">
        <v>21</v>
      </c>
      <c r="K599" t="s">
        <v>26</v>
      </c>
      <c r="L599" s="1">
        <v>46054</v>
      </c>
      <c r="M599" s="1">
        <v>46081</v>
      </c>
      <c r="N599" t="s">
        <v>27</v>
      </c>
      <c r="O599" t="s">
        <v>28</v>
      </c>
      <c r="Q599" t="s">
        <v>29</v>
      </c>
      <c r="R599" s="4" t="s">
        <v>113</v>
      </c>
      <c r="S599" s="4" t="s">
        <v>113</v>
      </c>
      <c r="T599" s="5">
        <v>0</v>
      </c>
    </row>
    <row r="600" spans="1:20" x14ac:dyDescent="0.3">
      <c r="A600">
        <v>37395</v>
      </c>
      <c r="B600" t="s">
        <v>21</v>
      </c>
      <c r="C600" s="3" t="s">
        <v>106</v>
      </c>
      <c r="D600" t="s">
        <v>107</v>
      </c>
      <c r="E600">
        <v>7868</v>
      </c>
      <c r="F600" t="s">
        <v>24</v>
      </c>
      <c r="H600" s="3" t="s">
        <v>108</v>
      </c>
      <c r="I600" s="3" t="s">
        <v>108</v>
      </c>
      <c r="J600" t="s">
        <v>21</v>
      </c>
      <c r="K600" t="s">
        <v>26</v>
      </c>
      <c r="L600" s="1">
        <v>46054</v>
      </c>
      <c r="M600" s="1">
        <v>46081</v>
      </c>
      <c r="N600" t="s">
        <v>27</v>
      </c>
      <c r="O600" t="s">
        <v>28</v>
      </c>
      <c r="Q600" t="s">
        <v>29</v>
      </c>
      <c r="R600" s="4" t="s">
        <v>114</v>
      </c>
      <c r="S600" s="4" t="s">
        <v>114</v>
      </c>
      <c r="T600" s="6">
        <v>1.8</v>
      </c>
    </row>
    <row r="601" spans="1:20" x14ac:dyDescent="0.3">
      <c r="A601">
        <v>37395</v>
      </c>
      <c r="B601" t="s">
        <v>21</v>
      </c>
      <c r="C601" s="3" t="s">
        <v>106</v>
      </c>
      <c r="D601" t="s">
        <v>107</v>
      </c>
      <c r="E601">
        <v>7868</v>
      </c>
      <c r="F601" t="s">
        <v>24</v>
      </c>
      <c r="H601" s="3" t="s">
        <v>108</v>
      </c>
      <c r="I601" s="3" t="s">
        <v>108</v>
      </c>
      <c r="J601" t="s">
        <v>21</v>
      </c>
      <c r="K601" t="s">
        <v>26</v>
      </c>
      <c r="L601" s="1">
        <v>46054</v>
      </c>
      <c r="M601" s="1">
        <v>46081</v>
      </c>
      <c r="N601" t="s">
        <v>27</v>
      </c>
      <c r="O601" t="s">
        <v>28</v>
      </c>
      <c r="Q601" t="s">
        <v>29</v>
      </c>
      <c r="R601" s="4" t="s">
        <v>115</v>
      </c>
      <c r="S601" s="4" t="s">
        <v>115</v>
      </c>
      <c r="T601" s="5">
        <v>0</v>
      </c>
    </row>
    <row r="602" spans="1:20" x14ac:dyDescent="0.3">
      <c r="A602">
        <v>37395</v>
      </c>
      <c r="B602" t="s">
        <v>21</v>
      </c>
      <c r="C602" s="3" t="s">
        <v>116</v>
      </c>
      <c r="D602" t="s">
        <v>117</v>
      </c>
      <c r="E602">
        <v>7868</v>
      </c>
      <c r="F602" t="s">
        <v>24</v>
      </c>
      <c r="H602" s="3" t="s">
        <v>118</v>
      </c>
      <c r="I602" s="3" t="s">
        <v>118</v>
      </c>
      <c r="J602" t="s">
        <v>21</v>
      </c>
      <c r="K602" t="s">
        <v>26</v>
      </c>
      <c r="L602" s="1">
        <v>46054</v>
      </c>
      <c r="M602" s="1">
        <v>46081</v>
      </c>
      <c r="N602" t="s">
        <v>27</v>
      </c>
      <c r="O602" t="s">
        <v>28</v>
      </c>
      <c r="Q602" t="s">
        <v>29</v>
      </c>
      <c r="R602" s="4" t="s">
        <v>119</v>
      </c>
      <c r="S602" s="4" t="s">
        <v>119</v>
      </c>
      <c r="T602" s="6">
        <v>1.3</v>
      </c>
    </row>
    <row r="603" spans="1:20" x14ac:dyDescent="0.3">
      <c r="A603">
        <v>37395</v>
      </c>
      <c r="B603" t="s">
        <v>21</v>
      </c>
      <c r="C603" s="3" t="s">
        <v>116</v>
      </c>
      <c r="D603" t="s">
        <v>117</v>
      </c>
      <c r="E603">
        <v>7868</v>
      </c>
      <c r="F603" t="s">
        <v>24</v>
      </c>
      <c r="H603" s="3" t="s">
        <v>118</v>
      </c>
      <c r="I603" s="3" t="s">
        <v>118</v>
      </c>
      <c r="J603" t="s">
        <v>21</v>
      </c>
      <c r="K603" t="s">
        <v>26</v>
      </c>
      <c r="L603" s="1">
        <v>46054</v>
      </c>
      <c r="M603" s="1">
        <v>46081</v>
      </c>
      <c r="N603" t="s">
        <v>27</v>
      </c>
      <c r="O603" t="s">
        <v>28</v>
      </c>
      <c r="Q603" t="s">
        <v>29</v>
      </c>
      <c r="R603" s="4" t="s">
        <v>120</v>
      </c>
      <c r="S603" s="4" t="s">
        <v>120</v>
      </c>
      <c r="T603" s="5">
        <v>0</v>
      </c>
    </row>
    <row r="604" spans="1:20" x14ac:dyDescent="0.3">
      <c r="A604">
        <v>37395</v>
      </c>
      <c r="B604" t="s">
        <v>21</v>
      </c>
      <c r="C604" s="3" t="s">
        <v>116</v>
      </c>
      <c r="D604" t="s">
        <v>117</v>
      </c>
      <c r="E604">
        <v>7868</v>
      </c>
      <c r="F604" t="s">
        <v>24</v>
      </c>
      <c r="H604" s="3" t="s">
        <v>118</v>
      </c>
      <c r="I604" s="3" t="s">
        <v>118</v>
      </c>
      <c r="J604" t="s">
        <v>21</v>
      </c>
      <c r="K604" t="s">
        <v>26</v>
      </c>
      <c r="L604" s="1">
        <v>46054</v>
      </c>
      <c r="M604" s="1">
        <v>46081</v>
      </c>
      <c r="N604" t="s">
        <v>27</v>
      </c>
      <c r="O604" t="s">
        <v>28</v>
      </c>
      <c r="Q604" t="s">
        <v>29</v>
      </c>
      <c r="R604" s="4" t="s">
        <v>121</v>
      </c>
      <c r="S604" s="4" t="s">
        <v>121</v>
      </c>
      <c r="T604" s="6">
        <v>7.1</v>
      </c>
    </row>
    <row r="605" spans="1:20" x14ac:dyDescent="0.3">
      <c r="A605">
        <v>37395</v>
      </c>
      <c r="B605" t="s">
        <v>21</v>
      </c>
      <c r="C605" s="3" t="s">
        <v>122</v>
      </c>
      <c r="D605" t="s">
        <v>123</v>
      </c>
      <c r="E605">
        <v>7868</v>
      </c>
      <c r="F605" t="s">
        <v>24</v>
      </c>
      <c r="H605" s="3" t="s">
        <v>124</v>
      </c>
      <c r="I605" s="3" t="s">
        <v>124</v>
      </c>
      <c r="J605" t="s">
        <v>21</v>
      </c>
      <c r="K605" t="s">
        <v>26</v>
      </c>
      <c r="L605" s="1">
        <v>46054</v>
      </c>
      <c r="M605" s="1">
        <v>46081</v>
      </c>
      <c r="N605" t="s">
        <v>27</v>
      </c>
      <c r="O605" t="s">
        <v>28</v>
      </c>
      <c r="Q605" t="s">
        <v>29</v>
      </c>
      <c r="R605" s="4" t="s">
        <v>125</v>
      </c>
      <c r="S605" s="4" t="s">
        <v>125</v>
      </c>
      <c r="T605" s="5">
        <v>20.7</v>
      </c>
    </row>
    <row r="606" spans="1:20" x14ac:dyDescent="0.3">
      <c r="A606">
        <v>37395</v>
      </c>
      <c r="B606" t="s">
        <v>21</v>
      </c>
      <c r="C606" s="3" t="s">
        <v>122</v>
      </c>
      <c r="D606" t="s">
        <v>123</v>
      </c>
      <c r="E606">
        <v>7868</v>
      </c>
      <c r="F606" t="s">
        <v>24</v>
      </c>
      <c r="H606" s="3" t="s">
        <v>124</v>
      </c>
      <c r="I606" s="3" t="s">
        <v>124</v>
      </c>
      <c r="J606" t="s">
        <v>21</v>
      </c>
      <c r="K606" t="s">
        <v>26</v>
      </c>
      <c r="L606" s="1">
        <v>46054</v>
      </c>
      <c r="M606" s="1">
        <v>46081</v>
      </c>
      <c r="N606" t="s">
        <v>27</v>
      </c>
      <c r="O606" t="s">
        <v>28</v>
      </c>
      <c r="Q606" t="s">
        <v>29</v>
      </c>
      <c r="R606" s="4" t="s">
        <v>126</v>
      </c>
      <c r="S606" s="4" t="s">
        <v>126</v>
      </c>
      <c r="T606" s="6">
        <v>0</v>
      </c>
    </row>
    <row r="607" spans="1:20" x14ac:dyDescent="0.3">
      <c r="A607">
        <v>37395</v>
      </c>
      <c r="B607" t="s">
        <v>21</v>
      </c>
      <c r="C607" s="3" t="s">
        <v>122</v>
      </c>
      <c r="D607" t="s">
        <v>123</v>
      </c>
      <c r="E607">
        <v>7868</v>
      </c>
      <c r="F607" t="s">
        <v>24</v>
      </c>
      <c r="H607" s="3" t="s">
        <v>124</v>
      </c>
      <c r="I607" s="3" t="s">
        <v>124</v>
      </c>
      <c r="J607" t="s">
        <v>21</v>
      </c>
      <c r="K607" t="s">
        <v>26</v>
      </c>
      <c r="L607" s="1">
        <v>46054</v>
      </c>
      <c r="M607" s="1">
        <v>46081</v>
      </c>
      <c r="N607" t="s">
        <v>27</v>
      </c>
      <c r="O607" t="s">
        <v>28</v>
      </c>
      <c r="Q607" t="s">
        <v>29</v>
      </c>
      <c r="R607" s="4" t="s">
        <v>127</v>
      </c>
      <c r="S607" s="4" t="s">
        <v>127</v>
      </c>
      <c r="T607" s="5">
        <v>0</v>
      </c>
    </row>
    <row r="608" spans="1:20" x14ac:dyDescent="0.3">
      <c r="A608">
        <v>37395</v>
      </c>
      <c r="B608" t="s">
        <v>21</v>
      </c>
      <c r="C608" s="3" t="s">
        <v>122</v>
      </c>
      <c r="D608" t="s">
        <v>123</v>
      </c>
      <c r="E608">
        <v>7868</v>
      </c>
      <c r="F608" t="s">
        <v>24</v>
      </c>
      <c r="H608" s="3" t="s">
        <v>124</v>
      </c>
      <c r="I608" s="3" t="s">
        <v>124</v>
      </c>
      <c r="J608" t="s">
        <v>21</v>
      </c>
      <c r="K608" t="s">
        <v>26</v>
      </c>
      <c r="L608" s="1">
        <v>46054</v>
      </c>
      <c r="M608" s="1">
        <v>46081</v>
      </c>
      <c r="N608" t="s">
        <v>27</v>
      </c>
      <c r="O608" t="s">
        <v>28</v>
      </c>
      <c r="Q608" t="s">
        <v>29</v>
      </c>
      <c r="R608" s="4" t="s">
        <v>128</v>
      </c>
      <c r="S608" s="4" t="s">
        <v>128</v>
      </c>
      <c r="T608" s="6">
        <v>25.3</v>
      </c>
    </row>
    <row r="609" spans="1:20" x14ac:dyDescent="0.3">
      <c r="A609">
        <v>37395</v>
      </c>
      <c r="B609" t="s">
        <v>21</v>
      </c>
      <c r="C609" s="3" t="s">
        <v>122</v>
      </c>
      <c r="D609" t="s">
        <v>123</v>
      </c>
      <c r="E609">
        <v>7868</v>
      </c>
      <c r="F609" t="s">
        <v>24</v>
      </c>
      <c r="H609" s="3" t="s">
        <v>124</v>
      </c>
      <c r="I609" s="3" t="s">
        <v>124</v>
      </c>
      <c r="J609" t="s">
        <v>21</v>
      </c>
      <c r="K609" t="s">
        <v>26</v>
      </c>
      <c r="L609" s="1">
        <v>46054</v>
      </c>
      <c r="M609" s="1">
        <v>46081</v>
      </c>
      <c r="N609" t="s">
        <v>27</v>
      </c>
      <c r="O609" t="s">
        <v>28</v>
      </c>
      <c r="Q609" t="s">
        <v>29</v>
      </c>
      <c r="R609" s="4" t="s">
        <v>129</v>
      </c>
      <c r="S609" s="4" t="s">
        <v>129</v>
      </c>
      <c r="T609" s="5">
        <v>10.8</v>
      </c>
    </row>
    <row r="610" spans="1:20" x14ac:dyDescent="0.3">
      <c r="A610">
        <v>37395</v>
      </c>
      <c r="B610" t="s">
        <v>21</v>
      </c>
      <c r="C610" s="3" t="s">
        <v>122</v>
      </c>
      <c r="D610" t="s">
        <v>123</v>
      </c>
      <c r="E610">
        <v>7868</v>
      </c>
      <c r="F610" t="s">
        <v>24</v>
      </c>
      <c r="H610" s="3" t="s">
        <v>124</v>
      </c>
      <c r="I610" s="3" t="s">
        <v>124</v>
      </c>
      <c r="J610" t="s">
        <v>21</v>
      </c>
      <c r="K610" t="s">
        <v>26</v>
      </c>
      <c r="L610" s="1">
        <v>46054</v>
      </c>
      <c r="M610" s="1">
        <v>46081</v>
      </c>
      <c r="N610" t="s">
        <v>27</v>
      </c>
      <c r="O610" t="s">
        <v>28</v>
      </c>
      <c r="Q610" t="s">
        <v>29</v>
      </c>
      <c r="R610" s="4" t="s">
        <v>130</v>
      </c>
      <c r="S610" s="4" t="s">
        <v>130</v>
      </c>
      <c r="T610" s="6">
        <v>0</v>
      </c>
    </row>
    <row r="611" spans="1:20" x14ac:dyDescent="0.3">
      <c r="A611">
        <v>37395</v>
      </c>
      <c r="B611" t="s">
        <v>21</v>
      </c>
      <c r="C611" s="3" t="s">
        <v>122</v>
      </c>
      <c r="D611" t="s">
        <v>123</v>
      </c>
      <c r="E611">
        <v>7868</v>
      </c>
      <c r="F611" t="s">
        <v>24</v>
      </c>
      <c r="H611" s="3" t="s">
        <v>124</v>
      </c>
      <c r="I611" s="3" t="s">
        <v>124</v>
      </c>
      <c r="J611" t="s">
        <v>21</v>
      </c>
      <c r="K611" t="s">
        <v>26</v>
      </c>
      <c r="L611" s="1">
        <v>46054</v>
      </c>
      <c r="M611" s="1">
        <v>46081</v>
      </c>
      <c r="N611" t="s">
        <v>27</v>
      </c>
      <c r="O611" t="s">
        <v>28</v>
      </c>
      <c r="Q611" t="s">
        <v>29</v>
      </c>
      <c r="R611" s="4" t="s">
        <v>131</v>
      </c>
      <c r="S611" s="4" t="s">
        <v>131</v>
      </c>
      <c r="T611" s="5">
        <v>13.1</v>
      </c>
    </row>
    <row r="612" spans="1:20" x14ac:dyDescent="0.3">
      <c r="A612">
        <v>37395</v>
      </c>
      <c r="B612" t="s">
        <v>21</v>
      </c>
      <c r="C612" s="3" t="s">
        <v>132</v>
      </c>
      <c r="D612" t="s">
        <v>133</v>
      </c>
      <c r="E612">
        <v>7868</v>
      </c>
      <c r="F612" t="s">
        <v>24</v>
      </c>
      <c r="H612" s="3" t="s">
        <v>134</v>
      </c>
      <c r="I612" s="3" t="s">
        <v>134</v>
      </c>
      <c r="J612" t="s">
        <v>21</v>
      </c>
      <c r="K612" t="s">
        <v>26</v>
      </c>
      <c r="L612" s="1">
        <v>46054</v>
      </c>
      <c r="M612" s="1">
        <v>46081</v>
      </c>
      <c r="N612" t="s">
        <v>27</v>
      </c>
      <c r="O612" t="s">
        <v>28</v>
      </c>
      <c r="Q612" t="s">
        <v>29</v>
      </c>
      <c r="R612" s="4" t="s">
        <v>135</v>
      </c>
      <c r="S612" s="4" t="s">
        <v>135</v>
      </c>
      <c r="T612" s="6">
        <v>3.5</v>
      </c>
    </row>
    <row r="613" spans="1:20" x14ac:dyDescent="0.3">
      <c r="A613">
        <v>37395</v>
      </c>
      <c r="B613" t="s">
        <v>21</v>
      </c>
      <c r="C613" s="3" t="s">
        <v>132</v>
      </c>
      <c r="D613" t="s">
        <v>133</v>
      </c>
      <c r="E613">
        <v>7868</v>
      </c>
      <c r="F613" t="s">
        <v>24</v>
      </c>
      <c r="H613" s="3" t="s">
        <v>134</v>
      </c>
      <c r="I613" s="3" t="s">
        <v>134</v>
      </c>
      <c r="J613" t="s">
        <v>21</v>
      </c>
      <c r="K613" t="s">
        <v>26</v>
      </c>
      <c r="L613" s="1">
        <v>46054</v>
      </c>
      <c r="M613" s="1">
        <v>46081</v>
      </c>
      <c r="N613" t="s">
        <v>27</v>
      </c>
      <c r="O613" t="s">
        <v>28</v>
      </c>
      <c r="Q613" t="s">
        <v>29</v>
      </c>
      <c r="R613" s="4" t="s">
        <v>136</v>
      </c>
      <c r="S613" s="4" t="s">
        <v>136</v>
      </c>
      <c r="T613" s="5">
        <v>27.3</v>
      </c>
    </row>
    <row r="614" spans="1:20" x14ac:dyDescent="0.3">
      <c r="A614">
        <v>37395</v>
      </c>
      <c r="B614" t="s">
        <v>21</v>
      </c>
      <c r="C614" s="3" t="s">
        <v>132</v>
      </c>
      <c r="D614" t="s">
        <v>133</v>
      </c>
      <c r="E614">
        <v>7868</v>
      </c>
      <c r="F614" t="s">
        <v>24</v>
      </c>
      <c r="H614" s="3" t="s">
        <v>134</v>
      </c>
      <c r="I614" s="3" t="s">
        <v>134</v>
      </c>
      <c r="J614" t="s">
        <v>21</v>
      </c>
      <c r="K614" t="s">
        <v>26</v>
      </c>
      <c r="L614" s="1">
        <v>46054</v>
      </c>
      <c r="M614" s="1">
        <v>46081</v>
      </c>
      <c r="N614" t="s">
        <v>27</v>
      </c>
      <c r="O614" t="s">
        <v>28</v>
      </c>
      <c r="Q614" t="s">
        <v>29</v>
      </c>
      <c r="R614" s="4" t="s">
        <v>137</v>
      </c>
      <c r="S614" s="4" t="s">
        <v>137</v>
      </c>
      <c r="T614" s="6">
        <v>0</v>
      </c>
    </row>
    <row r="615" spans="1:20" x14ac:dyDescent="0.3">
      <c r="A615">
        <v>37395</v>
      </c>
      <c r="B615" t="s">
        <v>21</v>
      </c>
      <c r="C615" s="3" t="s">
        <v>132</v>
      </c>
      <c r="D615" t="s">
        <v>133</v>
      </c>
      <c r="E615">
        <v>7868</v>
      </c>
      <c r="F615" t="s">
        <v>24</v>
      </c>
      <c r="H615" s="3" t="s">
        <v>134</v>
      </c>
      <c r="I615" s="3" t="s">
        <v>134</v>
      </c>
      <c r="J615" t="s">
        <v>21</v>
      </c>
      <c r="K615" t="s">
        <v>26</v>
      </c>
      <c r="L615" s="1">
        <v>46054</v>
      </c>
      <c r="M615" s="1">
        <v>46081</v>
      </c>
      <c r="N615" t="s">
        <v>27</v>
      </c>
      <c r="O615" t="s">
        <v>28</v>
      </c>
      <c r="Q615" t="s">
        <v>29</v>
      </c>
      <c r="R615" s="4" t="s">
        <v>138</v>
      </c>
      <c r="S615" s="4" t="s">
        <v>138</v>
      </c>
      <c r="T615" s="5">
        <v>0</v>
      </c>
    </row>
    <row r="616" spans="1:20" x14ac:dyDescent="0.3">
      <c r="A616">
        <v>37395</v>
      </c>
      <c r="B616" t="s">
        <v>21</v>
      </c>
      <c r="C616" s="3" t="s">
        <v>139</v>
      </c>
      <c r="D616" t="s">
        <v>140</v>
      </c>
      <c r="E616">
        <v>7868</v>
      </c>
      <c r="F616" t="s">
        <v>24</v>
      </c>
      <c r="H616" s="3" t="s">
        <v>141</v>
      </c>
      <c r="I616" s="3" t="s">
        <v>141</v>
      </c>
      <c r="J616" t="s">
        <v>21</v>
      </c>
      <c r="K616" t="s">
        <v>26</v>
      </c>
      <c r="L616" s="1">
        <v>46054</v>
      </c>
      <c r="M616" s="1">
        <v>46081</v>
      </c>
      <c r="N616" t="s">
        <v>27</v>
      </c>
      <c r="O616" t="s">
        <v>28</v>
      </c>
      <c r="Q616" t="s">
        <v>29</v>
      </c>
      <c r="R616" s="4" t="s">
        <v>142</v>
      </c>
      <c r="S616" s="4" t="s">
        <v>142</v>
      </c>
      <c r="T616" s="6">
        <v>0</v>
      </c>
    </row>
    <row r="617" spans="1:20" x14ac:dyDescent="0.3">
      <c r="A617">
        <v>37395</v>
      </c>
      <c r="B617" t="s">
        <v>21</v>
      </c>
      <c r="C617" s="3" t="s">
        <v>143</v>
      </c>
      <c r="D617" t="s">
        <v>144</v>
      </c>
      <c r="E617">
        <v>7868</v>
      </c>
      <c r="F617" t="s">
        <v>24</v>
      </c>
      <c r="H617" s="3" t="s">
        <v>145</v>
      </c>
      <c r="I617" s="3" t="s">
        <v>145</v>
      </c>
      <c r="J617" t="s">
        <v>21</v>
      </c>
      <c r="K617" t="s">
        <v>26</v>
      </c>
      <c r="L617" s="1">
        <v>46054</v>
      </c>
      <c r="M617" s="1">
        <v>46081</v>
      </c>
      <c r="N617" t="s">
        <v>27</v>
      </c>
      <c r="O617" t="s">
        <v>28</v>
      </c>
      <c r="Q617" t="s">
        <v>29</v>
      </c>
      <c r="R617" s="4" t="s">
        <v>146</v>
      </c>
      <c r="S617" s="4" t="s">
        <v>146</v>
      </c>
      <c r="T617" s="5">
        <v>69.3</v>
      </c>
    </row>
    <row r="618" spans="1:20" x14ac:dyDescent="0.3">
      <c r="A618">
        <v>37395</v>
      </c>
      <c r="B618" t="s">
        <v>21</v>
      </c>
      <c r="C618" s="3" t="s">
        <v>143</v>
      </c>
      <c r="D618" t="s">
        <v>144</v>
      </c>
      <c r="E618">
        <v>7868</v>
      </c>
      <c r="F618" t="s">
        <v>24</v>
      </c>
      <c r="H618" s="3" t="s">
        <v>145</v>
      </c>
      <c r="I618" s="3" t="s">
        <v>145</v>
      </c>
      <c r="J618" t="s">
        <v>21</v>
      </c>
      <c r="K618" t="s">
        <v>26</v>
      </c>
      <c r="L618" s="1">
        <v>46054</v>
      </c>
      <c r="M618" s="1">
        <v>46081</v>
      </c>
      <c r="N618" t="s">
        <v>27</v>
      </c>
      <c r="O618" t="s">
        <v>28</v>
      </c>
      <c r="Q618" t="s">
        <v>29</v>
      </c>
      <c r="R618" s="4" t="s">
        <v>147</v>
      </c>
      <c r="S618" s="4" t="s">
        <v>147</v>
      </c>
      <c r="T618" s="6">
        <v>17</v>
      </c>
    </row>
    <row r="619" spans="1:20" x14ac:dyDescent="0.3">
      <c r="A619">
        <v>37395</v>
      </c>
      <c r="B619" t="s">
        <v>21</v>
      </c>
      <c r="C619" s="3" t="s">
        <v>148</v>
      </c>
      <c r="D619" t="s">
        <v>149</v>
      </c>
      <c r="E619">
        <v>7868</v>
      </c>
      <c r="F619" t="s">
        <v>24</v>
      </c>
      <c r="H619" s="3" t="s">
        <v>150</v>
      </c>
      <c r="I619" s="3" t="s">
        <v>150</v>
      </c>
      <c r="J619" t="s">
        <v>21</v>
      </c>
      <c r="K619" t="s">
        <v>26</v>
      </c>
      <c r="L619" s="1">
        <v>46054</v>
      </c>
      <c r="M619" s="1">
        <v>46081</v>
      </c>
      <c r="N619" t="s">
        <v>27</v>
      </c>
      <c r="O619" t="s">
        <v>28</v>
      </c>
      <c r="Q619" t="s">
        <v>29</v>
      </c>
      <c r="R619" s="4" t="s">
        <v>151</v>
      </c>
      <c r="S619" s="4" t="s">
        <v>151</v>
      </c>
      <c r="T619" s="5">
        <v>7.3</v>
      </c>
    </row>
    <row r="620" spans="1:20" x14ac:dyDescent="0.3">
      <c r="A620">
        <v>37395</v>
      </c>
      <c r="B620" t="s">
        <v>21</v>
      </c>
      <c r="C620" s="3" t="s">
        <v>148</v>
      </c>
      <c r="D620" t="s">
        <v>149</v>
      </c>
      <c r="E620">
        <v>7868</v>
      </c>
      <c r="F620" t="s">
        <v>24</v>
      </c>
      <c r="H620" s="3" t="s">
        <v>150</v>
      </c>
      <c r="I620" s="3" t="s">
        <v>150</v>
      </c>
      <c r="J620" t="s">
        <v>21</v>
      </c>
      <c r="K620" t="s">
        <v>26</v>
      </c>
      <c r="L620" s="1">
        <v>46054</v>
      </c>
      <c r="M620" s="1">
        <v>46081</v>
      </c>
      <c r="N620" t="s">
        <v>27</v>
      </c>
      <c r="O620" t="s">
        <v>28</v>
      </c>
      <c r="Q620" t="s">
        <v>29</v>
      </c>
      <c r="R620" s="4" t="s">
        <v>152</v>
      </c>
      <c r="S620" s="4" t="s">
        <v>152</v>
      </c>
      <c r="T620" s="6">
        <v>2.1</v>
      </c>
    </row>
    <row r="621" spans="1:20" x14ac:dyDescent="0.3">
      <c r="A621">
        <v>37395</v>
      </c>
      <c r="B621" t="s">
        <v>21</v>
      </c>
      <c r="C621" s="3" t="s">
        <v>148</v>
      </c>
      <c r="D621" t="s">
        <v>149</v>
      </c>
      <c r="E621">
        <v>7868</v>
      </c>
      <c r="F621" t="s">
        <v>24</v>
      </c>
      <c r="H621" s="3" t="s">
        <v>150</v>
      </c>
      <c r="I621" s="3" t="s">
        <v>150</v>
      </c>
      <c r="J621" t="s">
        <v>21</v>
      </c>
      <c r="K621" t="s">
        <v>26</v>
      </c>
      <c r="L621" s="1">
        <v>46054</v>
      </c>
      <c r="M621" s="1">
        <v>46081</v>
      </c>
      <c r="N621" t="s">
        <v>27</v>
      </c>
      <c r="O621" t="s">
        <v>28</v>
      </c>
      <c r="Q621" t="s">
        <v>29</v>
      </c>
      <c r="R621" s="4" t="s">
        <v>153</v>
      </c>
      <c r="S621" s="4" t="s">
        <v>153</v>
      </c>
      <c r="T621" s="5">
        <v>22.6</v>
      </c>
    </row>
    <row r="622" spans="1:20" x14ac:dyDescent="0.3">
      <c r="A622">
        <v>37395</v>
      </c>
      <c r="B622" t="s">
        <v>21</v>
      </c>
      <c r="C622" s="3" t="s">
        <v>154</v>
      </c>
      <c r="D622" t="s">
        <v>155</v>
      </c>
      <c r="E622">
        <v>7868</v>
      </c>
      <c r="F622" t="s">
        <v>24</v>
      </c>
      <c r="H622" s="3" t="s">
        <v>156</v>
      </c>
      <c r="I622" s="3" t="s">
        <v>156</v>
      </c>
      <c r="J622" t="s">
        <v>21</v>
      </c>
      <c r="K622" t="s">
        <v>26</v>
      </c>
      <c r="L622" s="1">
        <v>46054</v>
      </c>
      <c r="M622" s="1">
        <v>46081</v>
      </c>
      <c r="N622" t="s">
        <v>27</v>
      </c>
      <c r="O622" t="s">
        <v>28</v>
      </c>
      <c r="Q622" t="s">
        <v>29</v>
      </c>
      <c r="R622" s="4" t="s">
        <v>157</v>
      </c>
      <c r="S622" s="4" t="s">
        <v>157</v>
      </c>
      <c r="T622" s="6">
        <v>1.8</v>
      </c>
    </row>
    <row r="623" spans="1:20" x14ac:dyDescent="0.3">
      <c r="A623">
        <v>37395</v>
      </c>
      <c r="B623" t="s">
        <v>21</v>
      </c>
      <c r="C623" s="3" t="s">
        <v>158</v>
      </c>
      <c r="D623" t="s">
        <v>159</v>
      </c>
      <c r="E623">
        <v>7868</v>
      </c>
      <c r="F623" t="s">
        <v>24</v>
      </c>
      <c r="H623" s="3" t="s">
        <v>160</v>
      </c>
      <c r="I623" s="3" t="s">
        <v>160</v>
      </c>
      <c r="J623" t="s">
        <v>21</v>
      </c>
      <c r="K623" t="s">
        <v>26</v>
      </c>
      <c r="L623" s="1">
        <v>46054</v>
      </c>
      <c r="M623" s="1">
        <v>46081</v>
      </c>
      <c r="N623" t="s">
        <v>27</v>
      </c>
      <c r="O623" t="s">
        <v>28</v>
      </c>
      <c r="Q623" t="s">
        <v>29</v>
      </c>
      <c r="R623" s="4" t="s">
        <v>161</v>
      </c>
      <c r="S623" s="4" t="s">
        <v>161</v>
      </c>
      <c r="T623" s="5">
        <v>0</v>
      </c>
    </row>
    <row r="624" spans="1:20" x14ac:dyDescent="0.3">
      <c r="A624">
        <v>37395</v>
      </c>
      <c r="B624" t="s">
        <v>21</v>
      </c>
      <c r="C624" s="3" t="s">
        <v>162</v>
      </c>
      <c r="D624" t="s">
        <v>163</v>
      </c>
      <c r="E624">
        <v>7868</v>
      </c>
      <c r="F624" t="s">
        <v>24</v>
      </c>
      <c r="H624" s="3" t="s">
        <v>164</v>
      </c>
      <c r="I624" s="3" t="s">
        <v>164</v>
      </c>
      <c r="J624" t="s">
        <v>21</v>
      </c>
      <c r="K624" t="s">
        <v>26</v>
      </c>
      <c r="L624" s="1">
        <v>46054</v>
      </c>
      <c r="M624" s="1">
        <v>46081</v>
      </c>
      <c r="N624" t="s">
        <v>27</v>
      </c>
      <c r="O624" t="s">
        <v>28</v>
      </c>
      <c r="Q624" t="s">
        <v>29</v>
      </c>
      <c r="R624" s="4" t="s">
        <v>165</v>
      </c>
      <c r="S624" s="4" t="s">
        <v>165</v>
      </c>
      <c r="T624" s="6">
        <v>0</v>
      </c>
    </row>
    <row r="625" spans="1:20" x14ac:dyDescent="0.3">
      <c r="A625">
        <v>37395</v>
      </c>
      <c r="B625" t="s">
        <v>21</v>
      </c>
      <c r="C625" s="3" t="s">
        <v>166</v>
      </c>
      <c r="D625" t="s">
        <v>167</v>
      </c>
      <c r="E625">
        <v>7868</v>
      </c>
      <c r="F625" t="s">
        <v>24</v>
      </c>
      <c r="H625" s="3" t="s">
        <v>168</v>
      </c>
      <c r="I625" s="3" t="s">
        <v>168</v>
      </c>
      <c r="J625" t="s">
        <v>21</v>
      </c>
      <c r="K625" t="s">
        <v>26</v>
      </c>
      <c r="L625" s="1">
        <v>46054</v>
      </c>
      <c r="M625" s="1">
        <v>46081</v>
      </c>
      <c r="N625" t="s">
        <v>27</v>
      </c>
      <c r="O625" t="s">
        <v>28</v>
      </c>
      <c r="Q625" t="s">
        <v>29</v>
      </c>
      <c r="R625" s="4" t="s">
        <v>169</v>
      </c>
      <c r="S625" s="4" t="s">
        <v>169</v>
      </c>
      <c r="T625" s="5">
        <v>0</v>
      </c>
    </row>
    <row r="626" spans="1:20" x14ac:dyDescent="0.3">
      <c r="A626">
        <v>37395</v>
      </c>
      <c r="B626" t="s">
        <v>21</v>
      </c>
      <c r="C626" s="3" t="s">
        <v>166</v>
      </c>
      <c r="D626" t="s">
        <v>167</v>
      </c>
      <c r="E626">
        <v>7868</v>
      </c>
      <c r="F626" t="s">
        <v>24</v>
      </c>
      <c r="H626" s="3" t="s">
        <v>168</v>
      </c>
      <c r="I626" s="3" t="s">
        <v>168</v>
      </c>
      <c r="J626" t="s">
        <v>21</v>
      </c>
      <c r="K626" t="s">
        <v>26</v>
      </c>
      <c r="L626" s="1">
        <v>46054</v>
      </c>
      <c r="M626" s="1">
        <v>46081</v>
      </c>
      <c r="N626" t="s">
        <v>27</v>
      </c>
      <c r="O626" t="s">
        <v>28</v>
      </c>
      <c r="Q626" t="s">
        <v>29</v>
      </c>
      <c r="R626" s="4" t="s">
        <v>170</v>
      </c>
      <c r="S626" s="4" t="s">
        <v>170</v>
      </c>
      <c r="T626" s="6">
        <v>-0.5</v>
      </c>
    </row>
    <row r="627" spans="1:20" x14ac:dyDescent="0.3">
      <c r="A627">
        <v>37395</v>
      </c>
      <c r="B627" t="s">
        <v>21</v>
      </c>
      <c r="C627" s="3" t="s">
        <v>166</v>
      </c>
      <c r="D627" t="s">
        <v>167</v>
      </c>
      <c r="E627">
        <v>7868</v>
      </c>
      <c r="F627" t="s">
        <v>24</v>
      </c>
      <c r="H627" s="3" t="s">
        <v>168</v>
      </c>
      <c r="I627" s="3" t="s">
        <v>168</v>
      </c>
      <c r="J627" t="s">
        <v>21</v>
      </c>
      <c r="K627" t="s">
        <v>26</v>
      </c>
      <c r="L627" s="1">
        <v>46054</v>
      </c>
      <c r="M627" s="1">
        <v>46081</v>
      </c>
      <c r="N627" t="s">
        <v>27</v>
      </c>
      <c r="O627" t="s">
        <v>28</v>
      </c>
      <c r="Q627" t="s">
        <v>29</v>
      </c>
      <c r="R627" s="4" t="s">
        <v>171</v>
      </c>
      <c r="S627" s="4" t="s">
        <v>171</v>
      </c>
      <c r="T627" s="5">
        <v>2</v>
      </c>
    </row>
    <row r="628" spans="1:20" x14ac:dyDescent="0.3">
      <c r="A628">
        <v>37395</v>
      </c>
      <c r="B628" t="s">
        <v>21</v>
      </c>
      <c r="C628" s="3" t="s">
        <v>166</v>
      </c>
      <c r="D628" t="s">
        <v>167</v>
      </c>
      <c r="E628">
        <v>7868</v>
      </c>
      <c r="F628" t="s">
        <v>24</v>
      </c>
      <c r="H628" s="3" t="s">
        <v>168</v>
      </c>
      <c r="I628" s="3" t="s">
        <v>168</v>
      </c>
      <c r="J628" t="s">
        <v>21</v>
      </c>
      <c r="K628" t="s">
        <v>26</v>
      </c>
      <c r="L628" s="1">
        <v>46054</v>
      </c>
      <c r="M628" s="1">
        <v>46081</v>
      </c>
      <c r="N628" t="s">
        <v>27</v>
      </c>
      <c r="O628" t="s">
        <v>28</v>
      </c>
      <c r="Q628" t="s">
        <v>29</v>
      </c>
      <c r="R628" s="4" t="s">
        <v>172</v>
      </c>
      <c r="S628" s="4" t="s">
        <v>172</v>
      </c>
      <c r="T628" s="6">
        <v>0</v>
      </c>
    </row>
    <row r="629" spans="1:20" x14ac:dyDescent="0.3">
      <c r="A629">
        <v>37395</v>
      </c>
      <c r="B629" t="s">
        <v>21</v>
      </c>
      <c r="C629" s="3" t="s">
        <v>166</v>
      </c>
      <c r="D629" t="s">
        <v>167</v>
      </c>
      <c r="E629">
        <v>7868</v>
      </c>
      <c r="F629" t="s">
        <v>24</v>
      </c>
      <c r="H629" s="3" t="s">
        <v>168</v>
      </c>
      <c r="I629" s="3" t="s">
        <v>168</v>
      </c>
      <c r="J629" t="s">
        <v>21</v>
      </c>
      <c r="K629" t="s">
        <v>26</v>
      </c>
      <c r="L629" s="1">
        <v>46054</v>
      </c>
      <c r="M629" s="1">
        <v>46081</v>
      </c>
      <c r="N629" t="s">
        <v>27</v>
      </c>
      <c r="O629" t="s">
        <v>28</v>
      </c>
      <c r="Q629" t="s">
        <v>29</v>
      </c>
      <c r="R629" s="4" t="s">
        <v>173</v>
      </c>
      <c r="S629" s="4" t="s">
        <v>173</v>
      </c>
      <c r="T629" s="5">
        <v>0</v>
      </c>
    </row>
    <row r="630" spans="1:20" x14ac:dyDescent="0.3">
      <c r="A630">
        <v>37395</v>
      </c>
      <c r="B630" t="s">
        <v>21</v>
      </c>
      <c r="C630" s="3" t="s">
        <v>174</v>
      </c>
      <c r="D630" t="s">
        <v>175</v>
      </c>
      <c r="E630">
        <v>7868</v>
      </c>
      <c r="F630" t="s">
        <v>24</v>
      </c>
      <c r="H630" s="3" t="s">
        <v>176</v>
      </c>
      <c r="I630" s="3" t="s">
        <v>176</v>
      </c>
      <c r="J630" t="s">
        <v>21</v>
      </c>
      <c r="K630" t="s">
        <v>26</v>
      </c>
      <c r="L630" s="1">
        <v>46054</v>
      </c>
      <c r="M630" s="1">
        <v>46081</v>
      </c>
      <c r="N630" t="s">
        <v>27</v>
      </c>
      <c r="O630" t="s">
        <v>28</v>
      </c>
      <c r="Q630" t="s">
        <v>29</v>
      </c>
      <c r="R630" s="7" t="s">
        <v>177</v>
      </c>
      <c r="S630" s="7" t="s">
        <v>177</v>
      </c>
      <c r="T630" s="6">
        <v>-24.3</v>
      </c>
    </row>
    <row r="631" spans="1:20" x14ac:dyDescent="0.3">
      <c r="A631">
        <v>37395</v>
      </c>
      <c r="B631" t="s">
        <v>21</v>
      </c>
      <c r="C631" s="3" t="s">
        <v>174</v>
      </c>
      <c r="D631" t="s">
        <v>175</v>
      </c>
      <c r="E631">
        <v>7868</v>
      </c>
      <c r="F631" t="s">
        <v>24</v>
      </c>
      <c r="H631" s="3" t="s">
        <v>176</v>
      </c>
      <c r="I631" s="3" t="s">
        <v>176</v>
      </c>
      <c r="J631" t="s">
        <v>21</v>
      </c>
      <c r="K631" t="s">
        <v>26</v>
      </c>
      <c r="L631" s="1">
        <v>46054</v>
      </c>
      <c r="M631" s="1">
        <v>46081</v>
      </c>
      <c r="N631" t="s">
        <v>27</v>
      </c>
      <c r="O631" t="s">
        <v>28</v>
      </c>
      <c r="Q631" t="s">
        <v>29</v>
      </c>
      <c r="R631" s="4" t="s">
        <v>178</v>
      </c>
      <c r="S631" s="4" t="s">
        <v>178</v>
      </c>
      <c r="T631" s="5">
        <v>0</v>
      </c>
    </row>
    <row r="632" spans="1:20" x14ac:dyDescent="0.3">
      <c r="A632">
        <v>37395</v>
      </c>
      <c r="B632" t="s">
        <v>21</v>
      </c>
      <c r="C632" s="3" t="s">
        <v>179</v>
      </c>
      <c r="D632" t="s">
        <v>180</v>
      </c>
      <c r="E632">
        <v>7868</v>
      </c>
      <c r="F632" t="s">
        <v>24</v>
      </c>
      <c r="H632" s="3" t="s">
        <v>181</v>
      </c>
      <c r="I632" s="3" t="s">
        <v>181</v>
      </c>
      <c r="J632" t="s">
        <v>21</v>
      </c>
      <c r="K632" t="s">
        <v>26</v>
      </c>
      <c r="L632" s="1">
        <v>46054</v>
      </c>
      <c r="M632" s="1">
        <v>46081</v>
      </c>
      <c r="N632" t="s">
        <v>27</v>
      </c>
      <c r="O632" t="s">
        <v>28</v>
      </c>
      <c r="Q632" t="s">
        <v>29</v>
      </c>
      <c r="R632" s="7" t="s">
        <v>182</v>
      </c>
      <c r="S632" s="7" t="s">
        <v>182</v>
      </c>
      <c r="T632" s="6">
        <v>0</v>
      </c>
    </row>
    <row r="633" spans="1:20" x14ac:dyDescent="0.3">
      <c r="A633">
        <v>37395</v>
      </c>
      <c r="B633" t="s">
        <v>21</v>
      </c>
      <c r="C633" s="3" t="s">
        <v>183</v>
      </c>
      <c r="D633" t="s">
        <v>184</v>
      </c>
      <c r="E633">
        <v>7868</v>
      </c>
      <c r="F633" t="s">
        <v>24</v>
      </c>
      <c r="H633" s="3" t="s">
        <v>185</v>
      </c>
      <c r="I633" s="3" t="s">
        <v>185</v>
      </c>
      <c r="J633" t="s">
        <v>21</v>
      </c>
      <c r="K633" t="s">
        <v>26</v>
      </c>
      <c r="L633" s="1">
        <v>46054</v>
      </c>
      <c r="M633" s="1">
        <v>46081</v>
      </c>
      <c r="N633" t="s">
        <v>27</v>
      </c>
      <c r="O633" t="s">
        <v>28</v>
      </c>
      <c r="Q633" t="s">
        <v>29</v>
      </c>
      <c r="R633" s="4" t="s">
        <v>186</v>
      </c>
      <c r="S633" s="4" t="s">
        <v>186</v>
      </c>
      <c r="T633" s="5">
        <v>0.20000000000002299</v>
      </c>
    </row>
    <row r="634" spans="1:20" x14ac:dyDescent="0.3">
      <c r="A634">
        <v>37395</v>
      </c>
      <c r="B634" t="s">
        <v>21</v>
      </c>
      <c r="C634" s="5" t="s">
        <v>22</v>
      </c>
      <c r="D634" t="s">
        <v>23</v>
      </c>
      <c r="E634">
        <v>7868</v>
      </c>
      <c r="F634" t="s">
        <v>24</v>
      </c>
      <c r="H634" s="3" t="s">
        <v>25</v>
      </c>
      <c r="I634" s="3" t="s">
        <v>25</v>
      </c>
      <c r="J634" t="s">
        <v>21</v>
      </c>
      <c r="K634" t="s">
        <v>26</v>
      </c>
      <c r="L634" s="28">
        <v>46082</v>
      </c>
      <c r="M634" s="28">
        <v>46112</v>
      </c>
      <c r="N634" t="s">
        <v>27</v>
      </c>
      <c r="O634" t="s">
        <v>28</v>
      </c>
      <c r="Q634" t="s">
        <v>29</v>
      </c>
      <c r="R634" s="4" t="s">
        <v>30</v>
      </c>
      <c r="S634" s="4" t="s">
        <v>30</v>
      </c>
      <c r="T634">
        <v>53.1</v>
      </c>
    </row>
    <row r="635" spans="1:20" x14ac:dyDescent="0.3">
      <c r="A635">
        <v>37395</v>
      </c>
      <c r="B635" t="s">
        <v>21</v>
      </c>
      <c r="C635" s="5" t="s">
        <v>22</v>
      </c>
      <c r="D635" t="s">
        <v>23</v>
      </c>
      <c r="E635">
        <v>7868</v>
      </c>
      <c r="F635" t="s">
        <v>24</v>
      </c>
      <c r="H635" s="3" t="s">
        <v>25</v>
      </c>
      <c r="I635" s="3" t="s">
        <v>25</v>
      </c>
      <c r="J635" t="s">
        <v>21</v>
      </c>
      <c r="K635" t="s">
        <v>26</v>
      </c>
      <c r="L635" s="28">
        <v>46082</v>
      </c>
      <c r="M635" s="28">
        <v>46112</v>
      </c>
      <c r="N635" t="s">
        <v>27</v>
      </c>
      <c r="O635" t="s">
        <v>28</v>
      </c>
      <c r="Q635" t="s">
        <v>29</v>
      </c>
      <c r="R635" s="4" t="s">
        <v>31</v>
      </c>
      <c r="S635" s="4" t="s">
        <v>31</v>
      </c>
      <c r="T635">
        <v>54.8</v>
      </c>
    </row>
    <row r="636" spans="1:20" x14ac:dyDescent="0.3">
      <c r="A636">
        <v>37395</v>
      </c>
      <c r="B636" t="s">
        <v>21</v>
      </c>
      <c r="C636" s="5" t="s">
        <v>22</v>
      </c>
      <c r="D636" t="s">
        <v>23</v>
      </c>
      <c r="E636">
        <v>7868</v>
      </c>
      <c r="F636" t="s">
        <v>24</v>
      </c>
      <c r="H636" s="3" t="s">
        <v>25</v>
      </c>
      <c r="I636" s="3" t="s">
        <v>25</v>
      </c>
      <c r="J636" t="s">
        <v>21</v>
      </c>
      <c r="K636" t="s">
        <v>26</v>
      </c>
      <c r="L636" s="28">
        <v>46082</v>
      </c>
      <c r="M636" s="28">
        <v>46112</v>
      </c>
      <c r="N636" t="s">
        <v>27</v>
      </c>
      <c r="O636" t="s">
        <v>28</v>
      </c>
      <c r="Q636" t="s">
        <v>29</v>
      </c>
      <c r="R636" s="4" t="s">
        <v>32</v>
      </c>
      <c r="S636" s="4" t="s">
        <v>32</v>
      </c>
      <c r="T636">
        <v>30.6</v>
      </c>
    </row>
    <row r="637" spans="1:20" x14ac:dyDescent="0.3">
      <c r="A637">
        <v>37395</v>
      </c>
      <c r="B637" t="s">
        <v>21</v>
      </c>
      <c r="C637" s="5" t="s">
        <v>22</v>
      </c>
      <c r="D637" t="s">
        <v>23</v>
      </c>
      <c r="E637">
        <v>7868</v>
      </c>
      <c r="F637" t="s">
        <v>24</v>
      </c>
      <c r="H637" s="3" t="s">
        <v>25</v>
      </c>
      <c r="I637" s="3" t="s">
        <v>25</v>
      </c>
      <c r="J637" t="s">
        <v>21</v>
      </c>
      <c r="K637" t="s">
        <v>26</v>
      </c>
      <c r="L637" s="28">
        <v>46082</v>
      </c>
      <c r="M637" s="28">
        <v>46112</v>
      </c>
      <c r="N637" t="s">
        <v>27</v>
      </c>
      <c r="O637" t="s">
        <v>28</v>
      </c>
      <c r="Q637" t="s">
        <v>29</v>
      </c>
      <c r="R637" s="4" t="s">
        <v>33</v>
      </c>
      <c r="S637" s="4" t="s">
        <v>33</v>
      </c>
      <c r="T637">
        <v>54.5</v>
      </c>
    </row>
    <row r="638" spans="1:20" x14ac:dyDescent="0.3">
      <c r="A638">
        <v>37395</v>
      </c>
      <c r="B638" t="s">
        <v>21</v>
      </c>
      <c r="C638" s="5" t="s">
        <v>22</v>
      </c>
      <c r="D638" t="s">
        <v>23</v>
      </c>
      <c r="E638">
        <v>7868</v>
      </c>
      <c r="F638" t="s">
        <v>24</v>
      </c>
      <c r="H638" s="3" t="s">
        <v>25</v>
      </c>
      <c r="I638" s="3" t="s">
        <v>25</v>
      </c>
      <c r="J638" t="s">
        <v>21</v>
      </c>
      <c r="K638" t="s">
        <v>26</v>
      </c>
      <c r="L638" s="28">
        <v>46082</v>
      </c>
      <c r="M638" s="28">
        <v>46112</v>
      </c>
      <c r="N638" t="s">
        <v>27</v>
      </c>
      <c r="O638" t="s">
        <v>28</v>
      </c>
      <c r="Q638" t="s">
        <v>29</v>
      </c>
      <c r="R638" s="4" t="s">
        <v>34</v>
      </c>
      <c r="S638" s="4" t="s">
        <v>34</v>
      </c>
      <c r="T638">
        <v>15.7</v>
      </c>
    </row>
    <row r="639" spans="1:20" x14ac:dyDescent="0.3">
      <c r="A639">
        <v>37395</v>
      </c>
      <c r="B639" t="s">
        <v>21</v>
      </c>
      <c r="C639" s="5" t="s">
        <v>22</v>
      </c>
      <c r="D639" t="s">
        <v>23</v>
      </c>
      <c r="E639">
        <v>7868</v>
      </c>
      <c r="F639" t="s">
        <v>24</v>
      </c>
      <c r="H639" s="3" t="s">
        <v>25</v>
      </c>
      <c r="I639" s="3" t="s">
        <v>25</v>
      </c>
      <c r="J639" t="s">
        <v>21</v>
      </c>
      <c r="K639" t="s">
        <v>26</v>
      </c>
      <c r="L639" s="28">
        <v>46082</v>
      </c>
      <c r="M639" s="28">
        <v>46112</v>
      </c>
      <c r="N639" t="s">
        <v>27</v>
      </c>
      <c r="O639" t="s">
        <v>28</v>
      </c>
      <c r="Q639" t="s">
        <v>29</v>
      </c>
      <c r="R639" s="4" t="s">
        <v>35</v>
      </c>
      <c r="S639" s="4" t="s">
        <v>35</v>
      </c>
      <c r="T639">
        <v>0.3</v>
      </c>
    </row>
    <row r="640" spans="1:20" x14ac:dyDescent="0.3">
      <c r="A640">
        <v>37395</v>
      </c>
      <c r="B640" t="s">
        <v>21</v>
      </c>
      <c r="C640" s="5" t="s">
        <v>37</v>
      </c>
      <c r="D640" t="s">
        <v>38</v>
      </c>
      <c r="E640">
        <v>7868</v>
      </c>
      <c r="F640" t="s">
        <v>24</v>
      </c>
      <c r="H640" s="3" t="s">
        <v>39</v>
      </c>
      <c r="I640" s="3" t="s">
        <v>39</v>
      </c>
      <c r="J640" t="s">
        <v>21</v>
      </c>
      <c r="K640" t="s">
        <v>26</v>
      </c>
      <c r="L640" s="28">
        <v>46082</v>
      </c>
      <c r="M640" s="28">
        <v>46112</v>
      </c>
      <c r="N640" t="s">
        <v>27</v>
      </c>
      <c r="O640" t="s">
        <v>28</v>
      </c>
      <c r="Q640" t="s">
        <v>29</v>
      </c>
      <c r="R640" s="4" t="s">
        <v>36</v>
      </c>
      <c r="S640" s="4" t="s">
        <v>36</v>
      </c>
      <c r="T640">
        <v>70.3</v>
      </c>
    </row>
    <row r="641" spans="1:20" x14ac:dyDescent="0.3">
      <c r="A641">
        <v>37395</v>
      </c>
      <c r="B641" t="s">
        <v>21</v>
      </c>
      <c r="C641" s="5" t="s">
        <v>37</v>
      </c>
      <c r="D641" t="s">
        <v>38</v>
      </c>
      <c r="E641">
        <v>7868</v>
      </c>
      <c r="F641" t="s">
        <v>24</v>
      </c>
      <c r="H641" s="3" t="s">
        <v>39</v>
      </c>
      <c r="I641" s="3" t="s">
        <v>39</v>
      </c>
      <c r="J641" t="s">
        <v>21</v>
      </c>
      <c r="K641" t="s">
        <v>26</v>
      </c>
      <c r="L641" s="28">
        <v>46082</v>
      </c>
      <c r="M641" s="28">
        <v>46112</v>
      </c>
      <c r="N641" t="s">
        <v>27</v>
      </c>
      <c r="O641" t="s">
        <v>28</v>
      </c>
      <c r="Q641" t="s">
        <v>29</v>
      </c>
      <c r="R641" s="4" t="s">
        <v>40</v>
      </c>
      <c r="S641" s="4" t="s">
        <v>40</v>
      </c>
      <c r="T641">
        <v>38.5</v>
      </c>
    </row>
    <row r="642" spans="1:20" x14ac:dyDescent="0.3">
      <c r="A642">
        <v>37395</v>
      </c>
      <c r="B642" t="s">
        <v>21</v>
      </c>
      <c r="C642" s="5" t="s">
        <v>37</v>
      </c>
      <c r="D642" t="s">
        <v>38</v>
      </c>
      <c r="E642">
        <v>7868</v>
      </c>
      <c r="F642" t="s">
        <v>24</v>
      </c>
      <c r="H642" s="3" t="s">
        <v>39</v>
      </c>
      <c r="I642" s="3" t="s">
        <v>39</v>
      </c>
      <c r="J642" t="s">
        <v>21</v>
      </c>
      <c r="K642" t="s">
        <v>26</v>
      </c>
      <c r="L642" s="28">
        <v>46082</v>
      </c>
      <c r="M642" s="28">
        <v>46112</v>
      </c>
      <c r="N642" t="s">
        <v>27</v>
      </c>
      <c r="O642" t="s">
        <v>28</v>
      </c>
      <c r="Q642" t="s">
        <v>29</v>
      </c>
      <c r="R642" s="4" t="s">
        <v>41</v>
      </c>
      <c r="S642" s="4" t="s">
        <v>41</v>
      </c>
      <c r="T642">
        <v>9.3000000000000007</v>
      </c>
    </row>
    <row r="643" spans="1:20" x14ac:dyDescent="0.3">
      <c r="A643">
        <v>37395</v>
      </c>
      <c r="B643" t="s">
        <v>21</v>
      </c>
      <c r="C643" s="5" t="s">
        <v>37</v>
      </c>
      <c r="D643" t="s">
        <v>38</v>
      </c>
      <c r="E643">
        <v>7868</v>
      </c>
      <c r="F643" t="s">
        <v>24</v>
      </c>
      <c r="H643" s="3" t="s">
        <v>39</v>
      </c>
      <c r="I643" s="3" t="s">
        <v>39</v>
      </c>
      <c r="J643" t="s">
        <v>21</v>
      </c>
      <c r="K643" t="s">
        <v>26</v>
      </c>
      <c r="L643" s="28">
        <v>46082</v>
      </c>
      <c r="M643" s="28">
        <v>46112</v>
      </c>
      <c r="N643" t="s">
        <v>27</v>
      </c>
      <c r="O643" t="s">
        <v>28</v>
      </c>
      <c r="Q643" t="s">
        <v>29</v>
      </c>
      <c r="R643" s="4" t="s">
        <v>42</v>
      </c>
      <c r="S643" s="4" t="s">
        <v>42</v>
      </c>
      <c r="T643">
        <v>3.7</v>
      </c>
    </row>
    <row r="644" spans="1:20" x14ac:dyDescent="0.3">
      <c r="A644">
        <v>37395</v>
      </c>
      <c r="B644" t="s">
        <v>21</v>
      </c>
      <c r="C644" s="5" t="s">
        <v>37</v>
      </c>
      <c r="D644" t="s">
        <v>38</v>
      </c>
      <c r="E644">
        <v>7868</v>
      </c>
      <c r="F644" t="s">
        <v>24</v>
      </c>
      <c r="H644" s="3" t="s">
        <v>39</v>
      </c>
      <c r="I644" s="3" t="s">
        <v>39</v>
      </c>
      <c r="J644" t="s">
        <v>21</v>
      </c>
      <c r="K644" t="s">
        <v>26</v>
      </c>
      <c r="L644" s="28">
        <v>46082</v>
      </c>
      <c r="M644" s="28">
        <v>46112</v>
      </c>
      <c r="N644" t="s">
        <v>27</v>
      </c>
      <c r="O644" t="s">
        <v>28</v>
      </c>
      <c r="Q644" t="s">
        <v>29</v>
      </c>
      <c r="R644" s="4" t="s">
        <v>43</v>
      </c>
      <c r="S644" s="4" t="s">
        <v>43</v>
      </c>
      <c r="T644">
        <v>37.200000000000003</v>
      </c>
    </row>
    <row r="645" spans="1:20" x14ac:dyDescent="0.3">
      <c r="A645">
        <v>37395</v>
      </c>
      <c r="B645" t="s">
        <v>21</v>
      </c>
      <c r="C645" s="5" t="s">
        <v>37</v>
      </c>
      <c r="D645" t="s">
        <v>38</v>
      </c>
      <c r="E645">
        <v>7868</v>
      </c>
      <c r="F645" t="s">
        <v>24</v>
      </c>
      <c r="H645" s="3" t="s">
        <v>39</v>
      </c>
      <c r="I645" s="3" t="s">
        <v>39</v>
      </c>
      <c r="J645" t="s">
        <v>21</v>
      </c>
      <c r="K645" t="s">
        <v>26</v>
      </c>
      <c r="L645" s="28">
        <v>46082</v>
      </c>
      <c r="M645" s="28">
        <v>46112</v>
      </c>
      <c r="N645" t="s">
        <v>27</v>
      </c>
      <c r="O645" t="s">
        <v>28</v>
      </c>
      <c r="Q645" t="s">
        <v>29</v>
      </c>
      <c r="R645" s="4" t="s">
        <v>44</v>
      </c>
      <c r="S645" s="4" t="s">
        <v>44</v>
      </c>
      <c r="T645">
        <v>5.8</v>
      </c>
    </row>
    <row r="646" spans="1:20" x14ac:dyDescent="0.3">
      <c r="A646">
        <v>37395</v>
      </c>
      <c r="B646" t="s">
        <v>21</v>
      </c>
      <c r="C646" s="5" t="s">
        <v>37</v>
      </c>
      <c r="D646" t="s">
        <v>38</v>
      </c>
      <c r="E646">
        <v>7868</v>
      </c>
      <c r="F646" t="s">
        <v>24</v>
      </c>
      <c r="H646" s="3" t="s">
        <v>39</v>
      </c>
      <c r="I646" s="3" t="s">
        <v>39</v>
      </c>
      <c r="J646" t="s">
        <v>21</v>
      </c>
      <c r="K646" t="s">
        <v>26</v>
      </c>
      <c r="L646" s="28">
        <v>46082</v>
      </c>
      <c r="M646" s="28">
        <v>46112</v>
      </c>
      <c r="N646" t="s">
        <v>27</v>
      </c>
      <c r="O646" t="s">
        <v>28</v>
      </c>
      <c r="Q646" t="s">
        <v>29</v>
      </c>
      <c r="R646" s="4" t="s">
        <v>45</v>
      </c>
      <c r="S646" s="4" t="s">
        <v>45</v>
      </c>
      <c r="T646">
        <v>0</v>
      </c>
    </row>
    <row r="647" spans="1:20" x14ac:dyDescent="0.3">
      <c r="A647">
        <v>37395</v>
      </c>
      <c r="B647" t="s">
        <v>21</v>
      </c>
      <c r="C647" s="5" t="s">
        <v>48</v>
      </c>
      <c r="D647" t="s">
        <v>49</v>
      </c>
      <c r="E647">
        <v>7868</v>
      </c>
      <c r="F647" t="s">
        <v>24</v>
      </c>
      <c r="H647" s="3" t="s">
        <v>50</v>
      </c>
      <c r="I647" s="3" t="s">
        <v>50</v>
      </c>
      <c r="J647" t="s">
        <v>21</v>
      </c>
      <c r="K647" t="s">
        <v>26</v>
      </c>
      <c r="L647" s="28">
        <v>46082</v>
      </c>
      <c r="M647" s="28">
        <v>46112</v>
      </c>
      <c r="N647" t="s">
        <v>27</v>
      </c>
      <c r="O647" t="s">
        <v>28</v>
      </c>
      <c r="Q647" t="s">
        <v>29</v>
      </c>
      <c r="R647" s="4" t="s">
        <v>46</v>
      </c>
      <c r="S647" s="4" t="s">
        <v>46</v>
      </c>
      <c r="T647">
        <v>0</v>
      </c>
    </row>
    <row r="648" spans="1:20" x14ac:dyDescent="0.3">
      <c r="A648">
        <v>37395</v>
      </c>
      <c r="B648" t="s">
        <v>21</v>
      </c>
      <c r="C648" s="5" t="s">
        <v>48</v>
      </c>
      <c r="D648" t="s">
        <v>49</v>
      </c>
      <c r="E648">
        <v>7868</v>
      </c>
      <c r="F648" t="s">
        <v>24</v>
      </c>
      <c r="H648" s="3" t="s">
        <v>50</v>
      </c>
      <c r="I648" s="3" t="s">
        <v>50</v>
      </c>
      <c r="J648" t="s">
        <v>21</v>
      </c>
      <c r="K648" t="s">
        <v>26</v>
      </c>
      <c r="L648" s="28">
        <v>46082</v>
      </c>
      <c r="M648" s="28">
        <v>46112</v>
      </c>
      <c r="N648" t="s">
        <v>27</v>
      </c>
      <c r="O648" t="s">
        <v>28</v>
      </c>
      <c r="Q648" t="s">
        <v>29</v>
      </c>
      <c r="R648" s="4" t="s">
        <v>47</v>
      </c>
      <c r="S648" s="4" t="s">
        <v>47</v>
      </c>
      <c r="T648">
        <v>0.2</v>
      </c>
    </row>
    <row r="649" spans="1:20" x14ac:dyDescent="0.3">
      <c r="A649">
        <v>37395</v>
      </c>
      <c r="B649" t="s">
        <v>21</v>
      </c>
      <c r="C649" s="5" t="s">
        <v>48</v>
      </c>
      <c r="D649" t="s">
        <v>49</v>
      </c>
      <c r="E649">
        <v>7868</v>
      </c>
      <c r="F649" t="s">
        <v>24</v>
      </c>
      <c r="H649" s="3" t="s">
        <v>50</v>
      </c>
      <c r="I649" s="3" t="s">
        <v>50</v>
      </c>
      <c r="J649" t="s">
        <v>21</v>
      </c>
      <c r="K649" t="s">
        <v>26</v>
      </c>
      <c r="L649" s="28">
        <v>46082</v>
      </c>
      <c r="M649" s="28">
        <v>46112</v>
      </c>
      <c r="N649" t="s">
        <v>27</v>
      </c>
      <c r="O649" t="s">
        <v>28</v>
      </c>
      <c r="Q649" t="s">
        <v>29</v>
      </c>
      <c r="R649" s="4" t="s">
        <v>51</v>
      </c>
      <c r="S649" s="4" t="s">
        <v>51</v>
      </c>
      <c r="T649">
        <v>0</v>
      </c>
    </row>
    <row r="650" spans="1:20" x14ac:dyDescent="0.3">
      <c r="A650">
        <v>37395</v>
      </c>
      <c r="B650" t="s">
        <v>21</v>
      </c>
      <c r="C650" s="5" t="s">
        <v>48</v>
      </c>
      <c r="D650" t="s">
        <v>49</v>
      </c>
      <c r="E650">
        <v>7868</v>
      </c>
      <c r="F650" t="s">
        <v>24</v>
      </c>
      <c r="H650" s="3" t="s">
        <v>50</v>
      </c>
      <c r="I650" s="3" t="s">
        <v>50</v>
      </c>
      <c r="J650" t="s">
        <v>21</v>
      </c>
      <c r="K650" t="s">
        <v>26</v>
      </c>
      <c r="L650" s="28">
        <v>46082</v>
      </c>
      <c r="M650" s="28">
        <v>46112</v>
      </c>
      <c r="N650" t="s">
        <v>27</v>
      </c>
      <c r="O650" t="s">
        <v>28</v>
      </c>
      <c r="Q650" t="s">
        <v>29</v>
      </c>
      <c r="R650" s="4" t="s">
        <v>52</v>
      </c>
      <c r="S650" s="4" t="s">
        <v>52</v>
      </c>
      <c r="T650">
        <v>0</v>
      </c>
    </row>
    <row r="651" spans="1:20" x14ac:dyDescent="0.3">
      <c r="A651">
        <v>37395</v>
      </c>
      <c r="B651" t="s">
        <v>21</v>
      </c>
      <c r="C651" s="5" t="s">
        <v>60</v>
      </c>
      <c r="D651" t="s">
        <v>61</v>
      </c>
      <c r="E651">
        <v>7868</v>
      </c>
      <c r="F651" t="s">
        <v>24</v>
      </c>
      <c r="H651" s="3" t="s">
        <v>62</v>
      </c>
      <c r="I651" s="3" t="s">
        <v>62</v>
      </c>
      <c r="J651" t="s">
        <v>21</v>
      </c>
      <c r="K651" t="s">
        <v>26</v>
      </c>
      <c r="L651" s="28">
        <v>46082</v>
      </c>
      <c r="M651" s="28">
        <v>46112</v>
      </c>
      <c r="N651" t="s">
        <v>27</v>
      </c>
      <c r="O651" t="s">
        <v>28</v>
      </c>
      <c r="Q651" t="s">
        <v>29</v>
      </c>
      <c r="R651" s="4" t="s">
        <v>53</v>
      </c>
      <c r="S651" s="4" t="s">
        <v>53</v>
      </c>
      <c r="T651">
        <v>22.3</v>
      </c>
    </row>
    <row r="652" spans="1:20" x14ac:dyDescent="0.3">
      <c r="A652">
        <v>37395</v>
      </c>
      <c r="B652" t="s">
        <v>21</v>
      </c>
      <c r="C652" s="5" t="s">
        <v>60</v>
      </c>
      <c r="D652" t="s">
        <v>61</v>
      </c>
      <c r="E652">
        <v>7868</v>
      </c>
      <c r="F652" t="s">
        <v>24</v>
      </c>
      <c r="H652" s="3" t="s">
        <v>62</v>
      </c>
      <c r="I652" s="3" t="s">
        <v>62</v>
      </c>
      <c r="J652" t="s">
        <v>21</v>
      </c>
      <c r="K652" t="s">
        <v>26</v>
      </c>
      <c r="L652" s="28">
        <v>46082</v>
      </c>
      <c r="M652" s="28">
        <v>46112</v>
      </c>
      <c r="N652" t="s">
        <v>27</v>
      </c>
      <c r="O652" t="s">
        <v>28</v>
      </c>
      <c r="Q652" t="s">
        <v>29</v>
      </c>
      <c r="R652" s="4" t="s">
        <v>54</v>
      </c>
      <c r="S652" s="4" t="s">
        <v>54</v>
      </c>
      <c r="T652">
        <v>12</v>
      </c>
    </row>
    <row r="653" spans="1:20" x14ac:dyDescent="0.3">
      <c r="A653">
        <v>37395</v>
      </c>
      <c r="B653" t="s">
        <v>21</v>
      </c>
      <c r="C653" s="5" t="s">
        <v>60</v>
      </c>
      <c r="D653" t="s">
        <v>61</v>
      </c>
      <c r="E653">
        <v>7868</v>
      </c>
      <c r="F653" t="s">
        <v>24</v>
      </c>
      <c r="H653" s="3" t="s">
        <v>62</v>
      </c>
      <c r="I653" s="3" t="s">
        <v>62</v>
      </c>
      <c r="J653" t="s">
        <v>21</v>
      </c>
      <c r="K653" t="s">
        <v>26</v>
      </c>
      <c r="L653" s="28">
        <v>46082</v>
      </c>
      <c r="M653" s="28">
        <v>46112</v>
      </c>
      <c r="N653" t="s">
        <v>27</v>
      </c>
      <c r="O653" t="s">
        <v>28</v>
      </c>
      <c r="Q653" t="s">
        <v>29</v>
      </c>
      <c r="R653" s="4" t="s">
        <v>58</v>
      </c>
      <c r="S653" s="4" t="s">
        <v>58</v>
      </c>
      <c r="T653">
        <v>13.3</v>
      </c>
    </row>
    <row r="654" spans="1:20" x14ac:dyDescent="0.3">
      <c r="A654">
        <v>37395</v>
      </c>
      <c r="B654" t="s">
        <v>21</v>
      </c>
      <c r="C654" s="5" t="s">
        <v>66</v>
      </c>
      <c r="D654" t="s">
        <v>67</v>
      </c>
      <c r="E654">
        <v>7868</v>
      </c>
      <c r="F654" t="s">
        <v>24</v>
      </c>
      <c r="H654" s="3" t="s">
        <v>68</v>
      </c>
      <c r="I654" s="3" t="s">
        <v>68</v>
      </c>
      <c r="J654" t="s">
        <v>21</v>
      </c>
      <c r="K654" t="s">
        <v>26</v>
      </c>
      <c r="L654" s="28">
        <v>46082</v>
      </c>
      <c r="M654" s="28">
        <v>46112</v>
      </c>
      <c r="N654" t="s">
        <v>27</v>
      </c>
      <c r="O654" t="s">
        <v>28</v>
      </c>
      <c r="Q654" t="s">
        <v>29</v>
      </c>
      <c r="R654" s="4" t="s">
        <v>59</v>
      </c>
      <c r="S654" s="4" t="s">
        <v>59</v>
      </c>
      <c r="T654">
        <v>0</v>
      </c>
    </row>
    <row r="655" spans="1:20" x14ac:dyDescent="0.3">
      <c r="A655">
        <v>37395</v>
      </c>
      <c r="B655" t="s">
        <v>21</v>
      </c>
      <c r="C655" s="5" t="s">
        <v>66</v>
      </c>
      <c r="D655" t="s">
        <v>67</v>
      </c>
      <c r="E655">
        <v>7868</v>
      </c>
      <c r="F655" t="s">
        <v>24</v>
      </c>
      <c r="H655" s="3" t="s">
        <v>68</v>
      </c>
      <c r="I655" s="3" t="s">
        <v>68</v>
      </c>
      <c r="J655" t="s">
        <v>21</v>
      </c>
      <c r="K655" t="s">
        <v>26</v>
      </c>
      <c r="L655" s="28">
        <v>46082</v>
      </c>
      <c r="M655" s="28">
        <v>46112</v>
      </c>
      <c r="N655" t="s">
        <v>27</v>
      </c>
      <c r="O655" t="s">
        <v>28</v>
      </c>
      <c r="Q655" t="s">
        <v>29</v>
      </c>
      <c r="R655" s="4" t="s">
        <v>63</v>
      </c>
      <c r="S655" s="4" t="s">
        <v>63</v>
      </c>
      <c r="T655">
        <v>0</v>
      </c>
    </row>
    <row r="656" spans="1:20" x14ac:dyDescent="0.3">
      <c r="A656">
        <v>37395</v>
      </c>
      <c r="B656" t="s">
        <v>21</v>
      </c>
      <c r="C656" s="5" t="s">
        <v>71</v>
      </c>
      <c r="D656" t="s">
        <v>72</v>
      </c>
      <c r="E656">
        <v>7868</v>
      </c>
      <c r="F656" t="s">
        <v>24</v>
      </c>
      <c r="H656" s="3" t="s">
        <v>73</v>
      </c>
      <c r="I656" s="3" t="s">
        <v>73</v>
      </c>
      <c r="J656" t="s">
        <v>21</v>
      </c>
      <c r="K656" t="s">
        <v>26</v>
      </c>
      <c r="L656" s="28">
        <v>46082</v>
      </c>
      <c r="M656" s="28">
        <v>46112</v>
      </c>
      <c r="N656" t="s">
        <v>27</v>
      </c>
      <c r="O656" t="s">
        <v>28</v>
      </c>
      <c r="Q656" t="s">
        <v>29</v>
      </c>
      <c r="R656" s="4" t="s">
        <v>64</v>
      </c>
      <c r="S656" s="4" t="s">
        <v>64</v>
      </c>
      <c r="T656">
        <v>53.5</v>
      </c>
    </row>
    <row r="657" spans="1:20" x14ac:dyDescent="0.3">
      <c r="A657">
        <v>37395</v>
      </c>
      <c r="B657" t="s">
        <v>21</v>
      </c>
      <c r="C657" s="5" t="s">
        <v>71</v>
      </c>
      <c r="D657" t="s">
        <v>72</v>
      </c>
      <c r="E657">
        <v>7868</v>
      </c>
      <c r="F657" t="s">
        <v>24</v>
      </c>
      <c r="H657" s="3" t="s">
        <v>73</v>
      </c>
      <c r="I657" s="3" t="s">
        <v>73</v>
      </c>
      <c r="J657" t="s">
        <v>21</v>
      </c>
      <c r="K657" t="s">
        <v>26</v>
      </c>
      <c r="L657" s="28">
        <v>46082</v>
      </c>
      <c r="M657" s="28">
        <v>46112</v>
      </c>
      <c r="N657" t="s">
        <v>27</v>
      </c>
      <c r="O657" t="s">
        <v>28</v>
      </c>
      <c r="Q657" t="s">
        <v>29</v>
      </c>
      <c r="R657" s="4" t="s">
        <v>65</v>
      </c>
      <c r="S657" s="4" t="s">
        <v>65</v>
      </c>
      <c r="T657">
        <v>16.8</v>
      </c>
    </row>
    <row r="658" spans="1:20" x14ac:dyDescent="0.3">
      <c r="A658">
        <v>37395</v>
      </c>
      <c r="B658" t="s">
        <v>21</v>
      </c>
      <c r="C658" s="5" t="s">
        <v>76</v>
      </c>
      <c r="D658" t="s">
        <v>77</v>
      </c>
      <c r="E658">
        <v>7868</v>
      </c>
      <c r="F658" t="s">
        <v>24</v>
      </c>
      <c r="H658" s="3" t="s">
        <v>78</v>
      </c>
      <c r="I658" s="3" t="s">
        <v>78</v>
      </c>
      <c r="J658" t="s">
        <v>21</v>
      </c>
      <c r="K658" t="s">
        <v>26</v>
      </c>
      <c r="L658" s="28">
        <v>46082</v>
      </c>
      <c r="M658" s="28">
        <v>46112</v>
      </c>
      <c r="N658" t="s">
        <v>27</v>
      </c>
      <c r="O658" t="s">
        <v>28</v>
      </c>
      <c r="Q658" t="s">
        <v>29</v>
      </c>
      <c r="R658" s="4" t="s">
        <v>69</v>
      </c>
      <c r="S658" s="4" t="s">
        <v>69</v>
      </c>
      <c r="T658">
        <v>21.4</v>
      </c>
    </row>
    <row r="659" spans="1:20" x14ac:dyDescent="0.3">
      <c r="A659">
        <v>37395</v>
      </c>
      <c r="B659" t="s">
        <v>21</v>
      </c>
      <c r="C659" s="5" t="s">
        <v>80</v>
      </c>
      <c r="D659" t="s">
        <v>81</v>
      </c>
      <c r="E659">
        <v>7868</v>
      </c>
      <c r="F659" t="s">
        <v>24</v>
      </c>
      <c r="H659" s="3" t="s">
        <v>82</v>
      </c>
      <c r="I659" s="3" t="s">
        <v>82</v>
      </c>
      <c r="J659" t="s">
        <v>21</v>
      </c>
      <c r="K659" t="s">
        <v>26</v>
      </c>
      <c r="L659" s="28">
        <v>46082</v>
      </c>
      <c r="M659" s="28">
        <v>46112</v>
      </c>
      <c r="N659" t="s">
        <v>27</v>
      </c>
      <c r="O659" t="s">
        <v>28</v>
      </c>
      <c r="Q659" t="s">
        <v>29</v>
      </c>
      <c r="R659" s="4" t="s">
        <v>70</v>
      </c>
      <c r="S659" s="4" t="s">
        <v>70</v>
      </c>
      <c r="T659">
        <v>10.5</v>
      </c>
    </row>
    <row r="660" spans="1:20" x14ac:dyDescent="0.3">
      <c r="A660">
        <v>37395</v>
      </c>
      <c r="B660" t="s">
        <v>21</v>
      </c>
      <c r="C660" s="5" t="s">
        <v>80</v>
      </c>
      <c r="D660" t="s">
        <v>81</v>
      </c>
      <c r="E660">
        <v>7868</v>
      </c>
      <c r="F660" t="s">
        <v>24</v>
      </c>
      <c r="H660" s="3" t="s">
        <v>82</v>
      </c>
      <c r="I660" s="3" t="s">
        <v>82</v>
      </c>
      <c r="J660" t="s">
        <v>21</v>
      </c>
      <c r="K660" t="s">
        <v>26</v>
      </c>
      <c r="L660" s="28">
        <v>46082</v>
      </c>
      <c r="M660" s="28">
        <v>46112</v>
      </c>
      <c r="N660" t="s">
        <v>27</v>
      </c>
      <c r="O660" t="s">
        <v>28</v>
      </c>
      <c r="Q660" t="s">
        <v>29</v>
      </c>
      <c r="R660" s="4" t="s">
        <v>74</v>
      </c>
      <c r="S660" s="4" t="s">
        <v>74</v>
      </c>
      <c r="T660">
        <v>13.7</v>
      </c>
    </row>
    <row r="661" spans="1:20" x14ac:dyDescent="0.3">
      <c r="A661">
        <v>37395</v>
      </c>
      <c r="B661" t="s">
        <v>21</v>
      </c>
      <c r="C661" s="5" t="s">
        <v>80</v>
      </c>
      <c r="D661" t="s">
        <v>81</v>
      </c>
      <c r="E661">
        <v>7868</v>
      </c>
      <c r="F661" t="s">
        <v>24</v>
      </c>
      <c r="H661" s="3" t="s">
        <v>82</v>
      </c>
      <c r="I661" s="3" t="s">
        <v>82</v>
      </c>
      <c r="J661" t="s">
        <v>21</v>
      </c>
      <c r="K661" t="s">
        <v>26</v>
      </c>
      <c r="L661" s="28">
        <v>46082</v>
      </c>
      <c r="M661" s="28">
        <v>46112</v>
      </c>
      <c r="N661" t="s">
        <v>27</v>
      </c>
      <c r="O661" t="s">
        <v>28</v>
      </c>
      <c r="Q661" t="s">
        <v>29</v>
      </c>
      <c r="R661" s="4" t="s">
        <v>75</v>
      </c>
      <c r="S661" s="4" t="s">
        <v>75</v>
      </c>
      <c r="T661">
        <v>9.6</v>
      </c>
    </row>
    <row r="662" spans="1:20" x14ac:dyDescent="0.3">
      <c r="A662">
        <v>37395</v>
      </c>
      <c r="B662" t="s">
        <v>21</v>
      </c>
      <c r="C662" s="5" t="s">
        <v>80</v>
      </c>
      <c r="D662" t="s">
        <v>81</v>
      </c>
      <c r="E662">
        <v>7868</v>
      </c>
      <c r="F662" t="s">
        <v>24</v>
      </c>
      <c r="H662" s="3" t="s">
        <v>82</v>
      </c>
      <c r="I662" s="3" t="s">
        <v>82</v>
      </c>
      <c r="J662" t="s">
        <v>21</v>
      </c>
      <c r="K662" t="s">
        <v>26</v>
      </c>
      <c r="L662" s="28">
        <v>46082</v>
      </c>
      <c r="M662" s="28">
        <v>46112</v>
      </c>
      <c r="N662" t="s">
        <v>27</v>
      </c>
      <c r="O662" t="s">
        <v>28</v>
      </c>
      <c r="Q662" t="s">
        <v>29</v>
      </c>
      <c r="R662" s="4" t="s">
        <v>79</v>
      </c>
      <c r="S662" s="4" t="s">
        <v>79</v>
      </c>
      <c r="T662">
        <v>15.4</v>
      </c>
    </row>
    <row r="663" spans="1:20" x14ac:dyDescent="0.3">
      <c r="A663">
        <v>37395</v>
      </c>
      <c r="B663" t="s">
        <v>21</v>
      </c>
      <c r="C663" s="5" t="s">
        <v>87</v>
      </c>
      <c r="D663" t="s">
        <v>88</v>
      </c>
      <c r="E663">
        <v>7868</v>
      </c>
      <c r="F663" t="s">
        <v>24</v>
      </c>
      <c r="H663" s="3" t="s">
        <v>89</v>
      </c>
      <c r="I663" s="3" t="s">
        <v>89</v>
      </c>
      <c r="J663" t="s">
        <v>21</v>
      </c>
      <c r="K663" t="s">
        <v>26</v>
      </c>
      <c r="L663" s="28">
        <v>46082</v>
      </c>
      <c r="M663" s="28">
        <v>46112</v>
      </c>
      <c r="N663" t="s">
        <v>27</v>
      </c>
      <c r="O663" t="s">
        <v>28</v>
      </c>
      <c r="Q663" t="s">
        <v>29</v>
      </c>
      <c r="R663" s="4" t="s">
        <v>83</v>
      </c>
      <c r="S663" s="4" t="s">
        <v>83</v>
      </c>
      <c r="T663">
        <v>0.1</v>
      </c>
    </row>
    <row r="664" spans="1:20" x14ac:dyDescent="0.3">
      <c r="A664">
        <v>37395</v>
      </c>
      <c r="B664" t="s">
        <v>21</v>
      </c>
      <c r="C664" s="5" t="s">
        <v>87</v>
      </c>
      <c r="D664" t="s">
        <v>88</v>
      </c>
      <c r="E664">
        <v>7868</v>
      </c>
      <c r="F664" t="s">
        <v>24</v>
      </c>
      <c r="H664" s="3" t="s">
        <v>89</v>
      </c>
      <c r="I664" s="3" t="s">
        <v>89</v>
      </c>
      <c r="J664" t="s">
        <v>21</v>
      </c>
      <c r="K664" t="s">
        <v>26</v>
      </c>
      <c r="L664" s="28">
        <v>46082</v>
      </c>
      <c r="M664" s="28">
        <v>46112</v>
      </c>
      <c r="N664" t="s">
        <v>27</v>
      </c>
      <c r="O664" t="s">
        <v>28</v>
      </c>
      <c r="Q664" t="s">
        <v>29</v>
      </c>
      <c r="R664" s="4" t="s">
        <v>84</v>
      </c>
      <c r="S664" s="4" t="s">
        <v>84</v>
      </c>
      <c r="T664">
        <v>8.5</v>
      </c>
    </row>
    <row r="665" spans="1:20" x14ac:dyDescent="0.3">
      <c r="A665">
        <v>37395</v>
      </c>
      <c r="B665" t="s">
        <v>21</v>
      </c>
      <c r="C665" s="5" t="s">
        <v>87</v>
      </c>
      <c r="D665" t="s">
        <v>88</v>
      </c>
      <c r="E665">
        <v>7868</v>
      </c>
      <c r="F665" t="s">
        <v>24</v>
      </c>
      <c r="H665" s="3" t="s">
        <v>89</v>
      </c>
      <c r="I665" s="3" t="s">
        <v>89</v>
      </c>
      <c r="J665" t="s">
        <v>21</v>
      </c>
      <c r="K665" t="s">
        <v>26</v>
      </c>
      <c r="L665" s="28">
        <v>46082</v>
      </c>
      <c r="M665" s="28">
        <v>46112</v>
      </c>
      <c r="N665" t="s">
        <v>27</v>
      </c>
      <c r="O665" t="s">
        <v>28</v>
      </c>
      <c r="Q665" t="s">
        <v>29</v>
      </c>
      <c r="R665" s="4" t="s">
        <v>85</v>
      </c>
      <c r="S665" s="4" t="s">
        <v>85</v>
      </c>
      <c r="T665">
        <v>1.8</v>
      </c>
    </row>
    <row r="666" spans="1:20" x14ac:dyDescent="0.3">
      <c r="A666">
        <v>37395</v>
      </c>
      <c r="B666" t="s">
        <v>21</v>
      </c>
      <c r="C666" s="5" t="s">
        <v>87</v>
      </c>
      <c r="D666" t="s">
        <v>88</v>
      </c>
      <c r="E666">
        <v>7868</v>
      </c>
      <c r="F666" t="s">
        <v>24</v>
      </c>
      <c r="H666" s="3" t="s">
        <v>89</v>
      </c>
      <c r="I666" s="3" t="s">
        <v>89</v>
      </c>
      <c r="J666" t="s">
        <v>21</v>
      </c>
      <c r="K666" t="s">
        <v>26</v>
      </c>
      <c r="L666" s="28">
        <v>46082</v>
      </c>
      <c r="M666" s="28">
        <v>46112</v>
      </c>
      <c r="N666" t="s">
        <v>27</v>
      </c>
      <c r="O666" t="s">
        <v>28</v>
      </c>
      <c r="Q666" t="s">
        <v>29</v>
      </c>
      <c r="R666" s="4" t="s">
        <v>86</v>
      </c>
      <c r="S666" s="4" t="s">
        <v>86</v>
      </c>
      <c r="T666">
        <v>0</v>
      </c>
    </row>
    <row r="667" spans="1:20" x14ac:dyDescent="0.3">
      <c r="A667">
        <v>37395</v>
      </c>
      <c r="B667" t="s">
        <v>21</v>
      </c>
      <c r="C667" s="5" t="s">
        <v>87</v>
      </c>
      <c r="D667" t="s">
        <v>88</v>
      </c>
      <c r="E667">
        <v>7868</v>
      </c>
      <c r="F667" t="s">
        <v>24</v>
      </c>
      <c r="H667" s="3" t="s">
        <v>89</v>
      </c>
      <c r="I667" s="3" t="s">
        <v>89</v>
      </c>
      <c r="J667" t="s">
        <v>21</v>
      </c>
      <c r="K667" t="s">
        <v>26</v>
      </c>
      <c r="L667" s="28">
        <v>46082</v>
      </c>
      <c r="M667" s="28">
        <v>46112</v>
      </c>
      <c r="N667" t="s">
        <v>27</v>
      </c>
      <c r="O667" t="s">
        <v>28</v>
      </c>
      <c r="Q667" t="s">
        <v>29</v>
      </c>
      <c r="R667" s="4" t="s">
        <v>90</v>
      </c>
      <c r="S667" s="4" t="s">
        <v>90</v>
      </c>
      <c r="T667">
        <v>0</v>
      </c>
    </row>
    <row r="668" spans="1:20" x14ac:dyDescent="0.3">
      <c r="A668">
        <v>37395</v>
      </c>
      <c r="B668" t="s">
        <v>21</v>
      </c>
      <c r="C668" s="5" t="s">
        <v>93</v>
      </c>
      <c r="D668" t="s">
        <v>94</v>
      </c>
      <c r="E668">
        <v>7868</v>
      </c>
      <c r="F668" t="s">
        <v>24</v>
      </c>
      <c r="H668" s="3" t="s">
        <v>95</v>
      </c>
      <c r="I668" s="3" t="s">
        <v>95</v>
      </c>
      <c r="J668" t="s">
        <v>21</v>
      </c>
      <c r="K668" t="s">
        <v>26</v>
      </c>
      <c r="L668" s="28">
        <v>46082</v>
      </c>
      <c r="M668" s="28">
        <v>46112</v>
      </c>
      <c r="N668" t="s">
        <v>27</v>
      </c>
      <c r="O668" t="s">
        <v>28</v>
      </c>
      <c r="Q668" t="s">
        <v>29</v>
      </c>
      <c r="R668" s="4" t="s">
        <v>91</v>
      </c>
      <c r="S668" s="4" t="s">
        <v>91</v>
      </c>
      <c r="T668">
        <v>0</v>
      </c>
    </row>
    <row r="669" spans="1:20" x14ac:dyDescent="0.3">
      <c r="A669">
        <v>37395</v>
      </c>
      <c r="B669" t="s">
        <v>21</v>
      </c>
      <c r="C669" s="5" t="s">
        <v>97</v>
      </c>
      <c r="D669" t="s">
        <v>98</v>
      </c>
      <c r="E669">
        <v>7868</v>
      </c>
      <c r="F669" t="s">
        <v>24</v>
      </c>
      <c r="H669" s="3" t="s">
        <v>99</v>
      </c>
      <c r="I669" s="3" t="s">
        <v>99</v>
      </c>
      <c r="J669" t="s">
        <v>21</v>
      </c>
      <c r="K669" t="s">
        <v>26</v>
      </c>
      <c r="L669" s="28">
        <v>46082</v>
      </c>
      <c r="M669" s="28">
        <v>46112</v>
      </c>
      <c r="N669" t="s">
        <v>27</v>
      </c>
      <c r="O669" t="s">
        <v>28</v>
      </c>
      <c r="Q669" t="s">
        <v>29</v>
      </c>
      <c r="R669" s="4" t="s">
        <v>92</v>
      </c>
      <c r="S669" s="4" t="s">
        <v>92</v>
      </c>
      <c r="T669">
        <v>1.1000000000000001</v>
      </c>
    </row>
    <row r="670" spans="1:20" x14ac:dyDescent="0.3">
      <c r="A670">
        <v>37395</v>
      </c>
      <c r="B670" t="s">
        <v>21</v>
      </c>
      <c r="C670" s="5" t="s">
        <v>97</v>
      </c>
      <c r="D670" t="s">
        <v>98</v>
      </c>
      <c r="E670">
        <v>7868</v>
      </c>
      <c r="F670" t="s">
        <v>24</v>
      </c>
      <c r="H670" s="3" t="s">
        <v>99</v>
      </c>
      <c r="I670" s="3" t="s">
        <v>99</v>
      </c>
      <c r="J670" t="s">
        <v>21</v>
      </c>
      <c r="K670" t="s">
        <v>26</v>
      </c>
      <c r="L670" s="28">
        <v>46082</v>
      </c>
      <c r="M670" s="28">
        <v>46112</v>
      </c>
      <c r="N670" t="s">
        <v>27</v>
      </c>
      <c r="O670" t="s">
        <v>28</v>
      </c>
      <c r="Q670" t="s">
        <v>29</v>
      </c>
      <c r="R670" s="4" t="s">
        <v>96</v>
      </c>
      <c r="S670" s="4" t="s">
        <v>96</v>
      </c>
      <c r="T670">
        <v>0</v>
      </c>
    </row>
    <row r="671" spans="1:20" x14ac:dyDescent="0.3">
      <c r="A671">
        <v>37395</v>
      </c>
      <c r="B671" t="s">
        <v>21</v>
      </c>
      <c r="C671" s="5" t="s">
        <v>5382</v>
      </c>
      <c r="D671" t="s">
        <v>5383</v>
      </c>
      <c r="E671">
        <v>7868</v>
      </c>
      <c r="F671" t="s">
        <v>24</v>
      </c>
      <c r="H671" s="3" t="s">
        <v>6649</v>
      </c>
      <c r="I671" s="3" t="s">
        <v>6649</v>
      </c>
      <c r="J671" t="s">
        <v>21</v>
      </c>
      <c r="K671" t="s">
        <v>26</v>
      </c>
      <c r="L671" s="28">
        <v>46082</v>
      </c>
      <c r="M671" s="28">
        <v>46112</v>
      </c>
      <c r="N671" t="s">
        <v>27</v>
      </c>
      <c r="O671" t="s">
        <v>28</v>
      </c>
      <c r="Q671" t="s">
        <v>29</v>
      </c>
      <c r="R671" s="4" t="s">
        <v>100</v>
      </c>
      <c r="S671" s="4" t="s">
        <v>100</v>
      </c>
      <c r="T671">
        <v>0</v>
      </c>
    </row>
    <row r="672" spans="1:20" x14ac:dyDescent="0.3">
      <c r="A672">
        <v>37395</v>
      </c>
      <c r="B672" t="s">
        <v>21</v>
      </c>
      <c r="C672" s="5" t="s">
        <v>102</v>
      </c>
      <c r="D672" t="s">
        <v>103</v>
      </c>
      <c r="E672">
        <v>7868</v>
      </c>
      <c r="F672" t="s">
        <v>24</v>
      </c>
      <c r="H672" s="3" t="s">
        <v>104</v>
      </c>
      <c r="I672" s="3" t="s">
        <v>104</v>
      </c>
      <c r="J672" t="s">
        <v>21</v>
      </c>
      <c r="K672" t="s">
        <v>26</v>
      </c>
      <c r="L672" s="28">
        <v>46082</v>
      </c>
      <c r="M672" s="28">
        <v>46112</v>
      </c>
      <c r="N672" t="s">
        <v>27</v>
      </c>
      <c r="O672" t="s">
        <v>28</v>
      </c>
      <c r="Q672" t="s">
        <v>29</v>
      </c>
      <c r="R672" s="4" t="s">
        <v>101</v>
      </c>
      <c r="S672" s="4" t="s">
        <v>101</v>
      </c>
      <c r="T672">
        <v>23.5</v>
      </c>
    </row>
    <row r="673" spans="1:20" x14ac:dyDescent="0.3">
      <c r="A673">
        <v>37395</v>
      </c>
      <c r="B673" t="s">
        <v>21</v>
      </c>
      <c r="C673" s="5" t="s">
        <v>106</v>
      </c>
      <c r="D673" t="s">
        <v>107</v>
      </c>
      <c r="E673">
        <v>7868</v>
      </c>
      <c r="F673" t="s">
        <v>24</v>
      </c>
      <c r="H673" s="3" t="s">
        <v>108</v>
      </c>
      <c r="I673" s="3" t="s">
        <v>108</v>
      </c>
      <c r="J673" t="s">
        <v>21</v>
      </c>
      <c r="K673" t="s">
        <v>26</v>
      </c>
      <c r="L673" s="28">
        <v>46082</v>
      </c>
      <c r="M673" s="28">
        <v>46112</v>
      </c>
      <c r="N673" t="s">
        <v>27</v>
      </c>
      <c r="O673" t="s">
        <v>28</v>
      </c>
      <c r="Q673" t="s">
        <v>29</v>
      </c>
      <c r="R673" s="4" t="s">
        <v>105</v>
      </c>
      <c r="S673" s="4" t="s">
        <v>105</v>
      </c>
      <c r="T673">
        <v>19.600000000000001</v>
      </c>
    </row>
    <row r="674" spans="1:20" x14ac:dyDescent="0.3">
      <c r="A674">
        <v>37395</v>
      </c>
      <c r="B674" t="s">
        <v>21</v>
      </c>
      <c r="C674" s="5" t="s">
        <v>106</v>
      </c>
      <c r="D674" t="s">
        <v>107</v>
      </c>
      <c r="E674">
        <v>7868</v>
      </c>
      <c r="F674" t="s">
        <v>24</v>
      </c>
      <c r="H674" s="3" t="s">
        <v>108</v>
      </c>
      <c r="I674" s="3" t="s">
        <v>108</v>
      </c>
      <c r="J674" t="s">
        <v>21</v>
      </c>
      <c r="K674" t="s">
        <v>26</v>
      </c>
      <c r="L674" s="28">
        <v>46082</v>
      </c>
      <c r="M674" s="28">
        <v>46112</v>
      </c>
      <c r="N674" t="s">
        <v>27</v>
      </c>
      <c r="O674" t="s">
        <v>28</v>
      </c>
      <c r="Q674" t="s">
        <v>29</v>
      </c>
      <c r="R674" s="4" t="s">
        <v>109</v>
      </c>
      <c r="S674" s="4" t="s">
        <v>109</v>
      </c>
      <c r="T674">
        <v>0.6</v>
      </c>
    </row>
    <row r="675" spans="1:20" x14ac:dyDescent="0.3">
      <c r="A675">
        <v>37395</v>
      </c>
      <c r="B675" t="s">
        <v>21</v>
      </c>
      <c r="C675" s="5" t="s">
        <v>106</v>
      </c>
      <c r="D675" t="s">
        <v>107</v>
      </c>
      <c r="E675">
        <v>7868</v>
      </c>
      <c r="F675" t="s">
        <v>24</v>
      </c>
      <c r="H675" s="3" t="s">
        <v>108</v>
      </c>
      <c r="I675" s="3" t="s">
        <v>108</v>
      </c>
      <c r="J675" t="s">
        <v>21</v>
      </c>
      <c r="K675" t="s">
        <v>26</v>
      </c>
      <c r="L675" s="28">
        <v>46082</v>
      </c>
      <c r="M675" s="28">
        <v>46112</v>
      </c>
      <c r="N675" t="s">
        <v>27</v>
      </c>
      <c r="O675" t="s">
        <v>28</v>
      </c>
      <c r="Q675" t="s">
        <v>29</v>
      </c>
      <c r="R675" s="4" t="s">
        <v>110</v>
      </c>
      <c r="S675" s="4" t="s">
        <v>110</v>
      </c>
      <c r="T675">
        <v>2.5</v>
      </c>
    </row>
    <row r="676" spans="1:20" x14ac:dyDescent="0.3">
      <c r="A676">
        <v>37395</v>
      </c>
      <c r="B676" t="s">
        <v>21</v>
      </c>
      <c r="C676" s="5" t="s">
        <v>106</v>
      </c>
      <c r="D676" t="s">
        <v>107</v>
      </c>
      <c r="E676">
        <v>7868</v>
      </c>
      <c r="F676" t="s">
        <v>24</v>
      </c>
      <c r="H676" s="3" t="s">
        <v>108</v>
      </c>
      <c r="I676" s="3" t="s">
        <v>108</v>
      </c>
      <c r="J676" t="s">
        <v>21</v>
      </c>
      <c r="K676" t="s">
        <v>26</v>
      </c>
      <c r="L676" s="28">
        <v>46082</v>
      </c>
      <c r="M676" s="28">
        <v>46112</v>
      </c>
      <c r="N676" t="s">
        <v>27</v>
      </c>
      <c r="O676" t="s">
        <v>28</v>
      </c>
      <c r="Q676" t="s">
        <v>29</v>
      </c>
      <c r="R676" s="4" t="s">
        <v>111</v>
      </c>
      <c r="S676" s="4" t="s">
        <v>111</v>
      </c>
      <c r="T676">
        <v>3.6</v>
      </c>
    </row>
    <row r="677" spans="1:20" x14ac:dyDescent="0.3">
      <c r="A677">
        <v>37395</v>
      </c>
      <c r="B677" t="s">
        <v>21</v>
      </c>
      <c r="C677" s="5" t="s">
        <v>106</v>
      </c>
      <c r="D677" t="s">
        <v>107</v>
      </c>
      <c r="E677">
        <v>7868</v>
      </c>
      <c r="F677" t="s">
        <v>24</v>
      </c>
      <c r="H677" s="3" t="s">
        <v>108</v>
      </c>
      <c r="I677" s="3" t="s">
        <v>108</v>
      </c>
      <c r="J677" t="s">
        <v>21</v>
      </c>
      <c r="K677" t="s">
        <v>26</v>
      </c>
      <c r="L677" s="28">
        <v>46082</v>
      </c>
      <c r="M677" s="28">
        <v>46112</v>
      </c>
      <c r="N677" t="s">
        <v>27</v>
      </c>
      <c r="O677" t="s">
        <v>28</v>
      </c>
      <c r="Q677" t="s">
        <v>29</v>
      </c>
      <c r="R677" s="4" t="s">
        <v>112</v>
      </c>
      <c r="S677" s="4" t="s">
        <v>112</v>
      </c>
      <c r="T677">
        <v>1.1000000000000001</v>
      </c>
    </row>
    <row r="678" spans="1:20" x14ac:dyDescent="0.3">
      <c r="A678">
        <v>37395</v>
      </c>
      <c r="B678" t="s">
        <v>21</v>
      </c>
      <c r="C678" s="5" t="s">
        <v>106</v>
      </c>
      <c r="D678" t="s">
        <v>107</v>
      </c>
      <c r="E678">
        <v>7868</v>
      </c>
      <c r="F678" t="s">
        <v>24</v>
      </c>
      <c r="H678" s="3" t="s">
        <v>108</v>
      </c>
      <c r="I678" s="3" t="s">
        <v>108</v>
      </c>
      <c r="J678" t="s">
        <v>21</v>
      </c>
      <c r="K678" t="s">
        <v>26</v>
      </c>
      <c r="L678" s="28">
        <v>46082</v>
      </c>
      <c r="M678" s="28">
        <v>46112</v>
      </c>
      <c r="N678" t="s">
        <v>27</v>
      </c>
      <c r="O678" t="s">
        <v>28</v>
      </c>
      <c r="Q678" t="s">
        <v>29</v>
      </c>
      <c r="R678" s="4" t="s">
        <v>113</v>
      </c>
      <c r="S678" s="4" t="s">
        <v>113</v>
      </c>
      <c r="T678">
        <v>0</v>
      </c>
    </row>
    <row r="679" spans="1:20" x14ac:dyDescent="0.3">
      <c r="A679">
        <v>37395</v>
      </c>
      <c r="B679" t="s">
        <v>21</v>
      </c>
      <c r="C679" s="5" t="s">
        <v>106</v>
      </c>
      <c r="D679" t="s">
        <v>107</v>
      </c>
      <c r="E679">
        <v>7868</v>
      </c>
      <c r="F679" t="s">
        <v>24</v>
      </c>
      <c r="H679" s="3" t="s">
        <v>108</v>
      </c>
      <c r="I679" s="3" t="s">
        <v>108</v>
      </c>
      <c r="J679" t="s">
        <v>21</v>
      </c>
      <c r="K679" t="s">
        <v>26</v>
      </c>
      <c r="L679" s="28">
        <v>46082</v>
      </c>
      <c r="M679" s="28">
        <v>46112</v>
      </c>
      <c r="N679" t="s">
        <v>27</v>
      </c>
      <c r="O679" t="s">
        <v>28</v>
      </c>
      <c r="Q679" t="s">
        <v>29</v>
      </c>
      <c r="R679" s="4" t="s">
        <v>114</v>
      </c>
      <c r="S679" s="4" t="s">
        <v>114</v>
      </c>
      <c r="T679">
        <v>0</v>
      </c>
    </row>
    <row r="680" spans="1:20" x14ac:dyDescent="0.3">
      <c r="A680">
        <v>37395</v>
      </c>
      <c r="B680" t="s">
        <v>21</v>
      </c>
      <c r="C680" s="5" t="s">
        <v>116</v>
      </c>
      <c r="D680" t="s">
        <v>117</v>
      </c>
      <c r="E680">
        <v>7868</v>
      </c>
      <c r="F680" t="s">
        <v>24</v>
      </c>
      <c r="H680" s="3" t="s">
        <v>118</v>
      </c>
      <c r="I680" s="3" t="s">
        <v>118</v>
      </c>
      <c r="J680" t="s">
        <v>21</v>
      </c>
      <c r="K680" t="s">
        <v>26</v>
      </c>
      <c r="L680" s="28">
        <v>46082</v>
      </c>
      <c r="M680" s="28">
        <v>46112</v>
      </c>
      <c r="N680" t="s">
        <v>27</v>
      </c>
      <c r="O680" t="s">
        <v>28</v>
      </c>
      <c r="Q680" t="s">
        <v>29</v>
      </c>
      <c r="R680" s="4" t="s">
        <v>115</v>
      </c>
      <c r="S680" s="4" t="s">
        <v>115</v>
      </c>
      <c r="T680">
        <v>0.1</v>
      </c>
    </row>
    <row r="681" spans="1:20" x14ac:dyDescent="0.3">
      <c r="A681">
        <v>37395</v>
      </c>
      <c r="B681" t="s">
        <v>21</v>
      </c>
      <c r="C681" s="5" t="s">
        <v>116</v>
      </c>
      <c r="D681" t="s">
        <v>117</v>
      </c>
      <c r="E681">
        <v>7868</v>
      </c>
      <c r="F681" t="s">
        <v>24</v>
      </c>
      <c r="H681" s="3" t="s">
        <v>118</v>
      </c>
      <c r="I681" s="3" t="s">
        <v>118</v>
      </c>
      <c r="J681" t="s">
        <v>21</v>
      </c>
      <c r="K681" t="s">
        <v>26</v>
      </c>
      <c r="L681" s="28">
        <v>46082</v>
      </c>
      <c r="M681" s="28">
        <v>46112</v>
      </c>
      <c r="N681" t="s">
        <v>27</v>
      </c>
      <c r="O681" t="s">
        <v>28</v>
      </c>
      <c r="Q681" t="s">
        <v>29</v>
      </c>
      <c r="R681" s="4" t="s">
        <v>119</v>
      </c>
      <c r="S681" s="4" t="s">
        <v>119</v>
      </c>
      <c r="T681">
        <v>1.5</v>
      </c>
    </row>
    <row r="682" spans="1:20" x14ac:dyDescent="0.3">
      <c r="A682">
        <v>37395</v>
      </c>
      <c r="B682" t="s">
        <v>21</v>
      </c>
      <c r="C682" s="5" t="s">
        <v>116</v>
      </c>
      <c r="D682" t="s">
        <v>117</v>
      </c>
      <c r="E682">
        <v>7868</v>
      </c>
      <c r="F682" t="s">
        <v>24</v>
      </c>
      <c r="H682" s="3" t="s">
        <v>118</v>
      </c>
      <c r="I682" s="3" t="s">
        <v>118</v>
      </c>
      <c r="J682" t="s">
        <v>21</v>
      </c>
      <c r="K682" t="s">
        <v>26</v>
      </c>
      <c r="L682" s="28">
        <v>46082</v>
      </c>
      <c r="M682" s="28">
        <v>46112</v>
      </c>
      <c r="N682" t="s">
        <v>27</v>
      </c>
      <c r="O682" t="s">
        <v>28</v>
      </c>
      <c r="Q682" t="s">
        <v>29</v>
      </c>
      <c r="R682" s="4" t="s">
        <v>120</v>
      </c>
      <c r="S682" s="4" t="s">
        <v>120</v>
      </c>
      <c r="T682">
        <v>0</v>
      </c>
    </row>
    <row r="683" spans="1:20" x14ac:dyDescent="0.3">
      <c r="A683">
        <v>37395</v>
      </c>
      <c r="B683" t="s">
        <v>21</v>
      </c>
      <c r="C683" s="5" t="s">
        <v>122</v>
      </c>
      <c r="D683" t="s">
        <v>123</v>
      </c>
      <c r="E683">
        <v>7868</v>
      </c>
      <c r="F683" t="s">
        <v>24</v>
      </c>
      <c r="H683" s="3" t="s">
        <v>124</v>
      </c>
      <c r="I683" s="3" t="s">
        <v>124</v>
      </c>
      <c r="J683" t="s">
        <v>21</v>
      </c>
      <c r="K683" t="s">
        <v>26</v>
      </c>
      <c r="L683" s="28">
        <v>46082</v>
      </c>
      <c r="M683" s="28">
        <v>46112</v>
      </c>
      <c r="N683" t="s">
        <v>27</v>
      </c>
      <c r="O683" t="s">
        <v>28</v>
      </c>
      <c r="Q683" t="s">
        <v>29</v>
      </c>
      <c r="R683" s="4" t="s">
        <v>121</v>
      </c>
      <c r="S683" s="4" t="s">
        <v>121</v>
      </c>
      <c r="T683">
        <v>7.8</v>
      </c>
    </row>
    <row r="684" spans="1:20" x14ac:dyDescent="0.3">
      <c r="A684">
        <v>37395</v>
      </c>
      <c r="B684" t="s">
        <v>21</v>
      </c>
      <c r="C684" s="5" t="s">
        <v>122</v>
      </c>
      <c r="D684" t="s">
        <v>123</v>
      </c>
      <c r="E684">
        <v>7868</v>
      </c>
      <c r="F684" t="s">
        <v>24</v>
      </c>
      <c r="H684" s="3" t="s">
        <v>124</v>
      </c>
      <c r="I684" s="3" t="s">
        <v>124</v>
      </c>
      <c r="J684" t="s">
        <v>21</v>
      </c>
      <c r="K684" t="s">
        <v>26</v>
      </c>
      <c r="L684" s="28">
        <v>46082</v>
      </c>
      <c r="M684" s="28">
        <v>46112</v>
      </c>
      <c r="N684" t="s">
        <v>27</v>
      </c>
      <c r="O684" t="s">
        <v>28</v>
      </c>
      <c r="Q684" t="s">
        <v>29</v>
      </c>
      <c r="R684" s="4" t="s">
        <v>125</v>
      </c>
      <c r="S684" s="4" t="s">
        <v>125</v>
      </c>
      <c r="T684">
        <v>23.8</v>
      </c>
    </row>
    <row r="685" spans="1:20" x14ac:dyDescent="0.3">
      <c r="A685">
        <v>37395</v>
      </c>
      <c r="B685" t="s">
        <v>21</v>
      </c>
      <c r="C685" s="5" t="s">
        <v>122</v>
      </c>
      <c r="D685" t="s">
        <v>123</v>
      </c>
      <c r="E685">
        <v>7868</v>
      </c>
      <c r="F685" t="s">
        <v>24</v>
      </c>
      <c r="H685" s="3" t="s">
        <v>124</v>
      </c>
      <c r="I685" s="3" t="s">
        <v>124</v>
      </c>
      <c r="J685" t="s">
        <v>21</v>
      </c>
      <c r="K685" t="s">
        <v>26</v>
      </c>
      <c r="L685" s="28">
        <v>46082</v>
      </c>
      <c r="M685" s="28">
        <v>46112</v>
      </c>
      <c r="N685" t="s">
        <v>27</v>
      </c>
      <c r="O685" t="s">
        <v>28</v>
      </c>
      <c r="Q685" t="s">
        <v>29</v>
      </c>
      <c r="R685" s="4" t="s">
        <v>126</v>
      </c>
      <c r="S685" s="4" t="s">
        <v>126</v>
      </c>
      <c r="T685">
        <v>0</v>
      </c>
    </row>
    <row r="686" spans="1:20" x14ac:dyDescent="0.3">
      <c r="A686">
        <v>37395</v>
      </c>
      <c r="B686" t="s">
        <v>21</v>
      </c>
      <c r="C686" s="5" t="s">
        <v>122</v>
      </c>
      <c r="D686" t="s">
        <v>123</v>
      </c>
      <c r="E686">
        <v>7868</v>
      </c>
      <c r="F686" t="s">
        <v>24</v>
      </c>
      <c r="H686" s="3" t="s">
        <v>124</v>
      </c>
      <c r="I686" s="3" t="s">
        <v>124</v>
      </c>
      <c r="J686" t="s">
        <v>21</v>
      </c>
      <c r="K686" t="s">
        <v>26</v>
      </c>
      <c r="L686" s="28">
        <v>46082</v>
      </c>
      <c r="M686" s="28">
        <v>46112</v>
      </c>
      <c r="N686" t="s">
        <v>27</v>
      </c>
      <c r="O686" t="s">
        <v>28</v>
      </c>
      <c r="Q686" t="s">
        <v>29</v>
      </c>
      <c r="R686" s="4" t="s">
        <v>127</v>
      </c>
      <c r="S686" s="4" t="s">
        <v>127</v>
      </c>
      <c r="T686">
        <v>0</v>
      </c>
    </row>
    <row r="687" spans="1:20" x14ac:dyDescent="0.3">
      <c r="A687">
        <v>37395</v>
      </c>
      <c r="B687" t="s">
        <v>21</v>
      </c>
      <c r="C687" s="5" t="s">
        <v>122</v>
      </c>
      <c r="D687" t="s">
        <v>123</v>
      </c>
      <c r="E687">
        <v>7868</v>
      </c>
      <c r="F687" t="s">
        <v>24</v>
      </c>
      <c r="H687" s="3" t="s">
        <v>124</v>
      </c>
      <c r="I687" s="3" t="s">
        <v>124</v>
      </c>
      <c r="J687" t="s">
        <v>21</v>
      </c>
      <c r="K687" t="s">
        <v>26</v>
      </c>
      <c r="L687" s="28">
        <v>46082</v>
      </c>
      <c r="M687" s="28">
        <v>46112</v>
      </c>
      <c r="N687" t="s">
        <v>27</v>
      </c>
      <c r="O687" t="s">
        <v>28</v>
      </c>
      <c r="Q687" t="s">
        <v>29</v>
      </c>
      <c r="R687" s="4" t="s">
        <v>128</v>
      </c>
      <c r="S687" s="4" t="s">
        <v>128</v>
      </c>
      <c r="T687">
        <v>25.5</v>
      </c>
    </row>
    <row r="688" spans="1:20" x14ac:dyDescent="0.3">
      <c r="A688">
        <v>37395</v>
      </c>
      <c r="B688" t="s">
        <v>21</v>
      </c>
      <c r="C688" s="5" t="s">
        <v>122</v>
      </c>
      <c r="D688" t="s">
        <v>123</v>
      </c>
      <c r="E688">
        <v>7868</v>
      </c>
      <c r="F688" t="s">
        <v>24</v>
      </c>
      <c r="H688" s="3" t="s">
        <v>124</v>
      </c>
      <c r="I688" s="3" t="s">
        <v>124</v>
      </c>
      <c r="J688" t="s">
        <v>21</v>
      </c>
      <c r="K688" t="s">
        <v>26</v>
      </c>
      <c r="L688" s="28">
        <v>46082</v>
      </c>
      <c r="M688" s="28">
        <v>46112</v>
      </c>
      <c r="N688" t="s">
        <v>27</v>
      </c>
      <c r="O688" t="s">
        <v>28</v>
      </c>
      <c r="Q688" t="s">
        <v>29</v>
      </c>
      <c r="R688" s="4" t="s">
        <v>129</v>
      </c>
      <c r="S688" s="4" t="s">
        <v>129</v>
      </c>
      <c r="T688">
        <v>11.2</v>
      </c>
    </row>
    <row r="689" spans="1:20" x14ac:dyDescent="0.3">
      <c r="A689">
        <v>37395</v>
      </c>
      <c r="B689" t="s">
        <v>21</v>
      </c>
      <c r="C689" s="5" t="s">
        <v>122</v>
      </c>
      <c r="D689" t="s">
        <v>123</v>
      </c>
      <c r="E689">
        <v>7868</v>
      </c>
      <c r="F689" t="s">
        <v>24</v>
      </c>
      <c r="H689" s="3" t="s">
        <v>124</v>
      </c>
      <c r="I689" s="3" t="s">
        <v>124</v>
      </c>
      <c r="J689" t="s">
        <v>21</v>
      </c>
      <c r="K689" t="s">
        <v>26</v>
      </c>
      <c r="L689" s="28">
        <v>46082</v>
      </c>
      <c r="M689" s="28">
        <v>46112</v>
      </c>
      <c r="N689" t="s">
        <v>27</v>
      </c>
      <c r="O689" t="s">
        <v>28</v>
      </c>
      <c r="Q689" t="s">
        <v>29</v>
      </c>
      <c r="R689" s="4" t="s">
        <v>130</v>
      </c>
      <c r="S689" s="4" t="s">
        <v>130</v>
      </c>
      <c r="T689">
        <v>0</v>
      </c>
    </row>
    <row r="690" spans="1:20" x14ac:dyDescent="0.3">
      <c r="A690">
        <v>37395</v>
      </c>
      <c r="B690" t="s">
        <v>21</v>
      </c>
      <c r="C690" s="5" t="s">
        <v>132</v>
      </c>
      <c r="D690" t="s">
        <v>133</v>
      </c>
      <c r="E690">
        <v>7868</v>
      </c>
      <c r="F690" t="s">
        <v>24</v>
      </c>
      <c r="H690" s="3" t="s">
        <v>134</v>
      </c>
      <c r="I690" s="3" t="s">
        <v>134</v>
      </c>
      <c r="J690" t="s">
        <v>21</v>
      </c>
      <c r="K690" t="s">
        <v>26</v>
      </c>
      <c r="L690" s="28">
        <v>46082</v>
      </c>
      <c r="M690" s="28">
        <v>46112</v>
      </c>
      <c r="N690" t="s">
        <v>27</v>
      </c>
      <c r="O690" t="s">
        <v>28</v>
      </c>
      <c r="Q690" t="s">
        <v>29</v>
      </c>
      <c r="R690" s="4" t="s">
        <v>131</v>
      </c>
      <c r="S690" s="4" t="s">
        <v>131</v>
      </c>
      <c r="T690">
        <v>11.3</v>
      </c>
    </row>
    <row r="691" spans="1:20" x14ac:dyDescent="0.3">
      <c r="A691">
        <v>37395</v>
      </c>
      <c r="B691" t="s">
        <v>21</v>
      </c>
      <c r="C691" s="5" t="s">
        <v>132</v>
      </c>
      <c r="D691" t="s">
        <v>133</v>
      </c>
      <c r="E691">
        <v>7868</v>
      </c>
      <c r="F691" t="s">
        <v>24</v>
      </c>
      <c r="H691" s="3" t="s">
        <v>134</v>
      </c>
      <c r="I691" s="3" t="s">
        <v>134</v>
      </c>
      <c r="J691" t="s">
        <v>21</v>
      </c>
      <c r="K691" t="s">
        <v>26</v>
      </c>
      <c r="L691" s="28">
        <v>46082</v>
      </c>
      <c r="M691" s="28">
        <v>46112</v>
      </c>
      <c r="N691" t="s">
        <v>27</v>
      </c>
      <c r="O691" t="s">
        <v>28</v>
      </c>
      <c r="Q691" t="s">
        <v>29</v>
      </c>
      <c r="R691" s="4" t="s">
        <v>135</v>
      </c>
      <c r="S691" s="4" t="s">
        <v>135</v>
      </c>
      <c r="T691">
        <v>3.4</v>
      </c>
    </row>
    <row r="692" spans="1:20" x14ac:dyDescent="0.3">
      <c r="A692">
        <v>37395</v>
      </c>
      <c r="B692" t="s">
        <v>21</v>
      </c>
      <c r="C692" s="5" t="s">
        <v>132</v>
      </c>
      <c r="D692" t="s">
        <v>133</v>
      </c>
      <c r="E692">
        <v>7868</v>
      </c>
      <c r="F692" t="s">
        <v>24</v>
      </c>
      <c r="H692" s="3" t="s">
        <v>134</v>
      </c>
      <c r="I692" s="3" t="s">
        <v>134</v>
      </c>
      <c r="J692" t="s">
        <v>21</v>
      </c>
      <c r="K692" t="s">
        <v>26</v>
      </c>
      <c r="L692" s="28">
        <v>46082</v>
      </c>
      <c r="M692" s="28">
        <v>46112</v>
      </c>
      <c r="N692" t="s">
        <v>27</v>
      </c>
      <c r="O692" t="s">
        <v>28</v>
      </c>
      <c r="Q692" t="s">
        <v>29</v>
      </c>
      <c r="R692" s="4" t="s">
        <v>136</v>
      </c>
      <c r="S692" s="4" t="s">
        <v>136</v>
      </c>
      <c r="T692">
        <v>29</v>
      </c>
    </row>
    <row r="693" spans="1:20" x14ac:dyDescent="0.3">
      <c r="A693">
        <v>37395</v>
      </c>
      <c r="B693" t="s">
        <v>21</v>
      </c>
      <c r="C693" s="5" t="s">
        <v>132</v>
      </c>
      <c r="D693" t="s">
        <v>133</v>
      </c>
      <c r="E693">
        <v>7868</v>
      </c>
      <c r="F693" t="s">
        <v>24</v>
      </c>
      <c r="H693" s="3" t="s">
        <v>134</v>
      </c>
      <c r="I693" s="3" t="s">
        <v>134</v>
      </c>
      <c r="J693" t="s">
        <v>21</v>
      </c>
      <c r="K693" t="s">
        <v>26</v>
      </c>
      <c r="L693" s="28">
        <v>46082</v>
      </c>
      <c r="M693" s="28">
        <v>46112</v>
      </c>
      <c r="N693" t="s">
        <v>27</v>
      </c>
      <c r="O693" t="s">
        <v>28</v>
      </c>
      <c r="Q693" t="s">
        <v>29</v>
      </c>
      <c r="R693" s="4" t="s">
        <v>137</v>
      </c>
      <c r="S693" s="4" t="s">
        <v>137</v>
      </c>
      <c r="T693">
        <v>0</v>
      </c>
    </row>
    <row r="694" spans="1:20" x14ac:dyDescent="0.3">
      <c r="A694">
        <v>37395</v>
      </c>
      <c r="B694" t="s">
        <v>21</v>
      </c>
      <c r="C694" s="5" t="s">
        <v>139</v>
      </c>
      <c r="D694" t="s">
        <v>140</v>
      </c>
      <c r="E694">
        <v>7868</v>
      </c>
      <c r="F694" t="s">
        <v>24</v>
      </c>
      <c r="H694" s="3" t="s">
        <v>141</v>
      </c>
      <c r="I694" s="3" t="s">
        <v>141</v>
      </c>
      <c r="J694" t="s">
        <v>21</v>
      </c>
      <c r="K694" t="s">
        <v>26</v>
      </c>
      <c r="L694" s="28">
        <v>46082</v>
      </c>
      <c r="M694" s="28">
        <v>46112</v>
      </c>
      <c r="N694" t="s">
        <v>27</v>
      </c>
      <c r="O694" t="s">
        <v>28</v>
      </c>
      <c r="Q694" t="s">
        <v>29</v>
      </c>
      <c r="R694" s="4" t="s">
        <v>138</v>
      </c>
      <c r="S694" s="4" t="s">
        <v>138</v>
      </c>
      <c r="T694">
        <v>0</v>
      </c>
    </row>
    <row r="695" spans="1:20" x14ac:dyDescent="0.3">
      <c r="A695">
        <v>37395</v>
      </c>
      <c r="B695" t="s">
        <v>21</v>
      </c>
      <c r="C695" s="5" t="s">
        <v>139</v>
      </c>
      <c r="D695" t="s">
        <v>140</v>
      </c>
      <c r="E695">
        <v>7868</v>
      </c>
      <c r="F695" t="s">
        <v>24</v>
      </c>
      <c r="H695" s="3" t="s">
        <v>141</v>
      </c>
      <c r="I695" s="3" t="s">
        <v>141</v>
      </c>
      <c r="J695" t="s">
        <v>21</v>
      </c>
      <c r="K695" t="s">
        <v>26</v>
      </c>
      <c r="L695" s="28">
        <v>46082</v>
      </c>
      <c r="M695" s="28">
        <v>46112</v>
      </c>
      <c r="N695" t="s">
        <v>27</v>
      </c>
      <c r="O695" t="s">
        <v>28</v>
      </c>
      <c r="Q695" t="s">
        <v>29</v>
      </c>
      <c r="R695" s="4" t="s">
        <v>142</v>
      </c>
      <c r="S695" s="4" t="s">
        <v>142</v>
      </c>
      <c r="T695">
        <v>0</v>
      </c>
    </row>
    <row r="696" spans="1:20" x14ac:dyDescent="0.3">
      <c r="A696">
        <v>37395</v>
      </c>
      <c r="B696" t="s">
        <v>21</v>
      </c>
      <c r="C696" s="5" t="s">
        <v>143</v>
      </c>
      <c r="D696" t="s">
        <v>144</v>
      </c>
      <c r="E696">
        <v>7868</v>
      </c>
      <c r="F696" t="s">
        <v>24</v>
      </c>
      <c r="H696" s="3" t="s">
        <v>145</v>
      </c>
      <c r="I696" s="3" t="s">
        <v>145</v>
      </c>
      <c r="J696" t="s">
        <v>21</v>
      </c>
      <c r="K696" t="s">
        <v>26</v>
      </c>
      <c r="L696" s="28">
        <v>46082</v>
      </c>
      <c r="M696" s="28">
        <v>46112</v>
      </c>
      <c r="N696" t="s">
        <v>27</v>
      </c>
      <c r="O696" t="s">
        <v>28</v>
      </c>
      <c r="Q696" t="s">
        <v>29</v>
      </c>
      <c r="R696" s="4" t="s">
        <v>146</v>
      </c>
      <c r="S696" s="4" t="s">
        <v>146</v>
      </c>
      <c r="T696">
        <v>71.8</v>
      </c>
    </row>
    <row r="697" spans="1:20" x14ac:dyDescent="0.3">
      <c r="A697">
        <v>37395</v>
      </c>
      <c r="B697" t="s">
        <v>21</v>
      </c>
      <c r="C697" s="5" t="s">
        <v>143</v>
      </c>
      <c r="D697" t="s">
        <v>144</v>
      </c>
      <c r="E697">
        <v>7868</v>
      </c>
      <c r="F697" t="s">
        <v>24</v>
      </c>
      <c r="H697" s="3" t="s">
        <v>145</v>
      </c>
      <c r="I697" s="3" t="s">
        <v>145</v>
      </c>
      <c r="J697" t="s">
        <v>21</v>
      </c>
      <c r="K697" t="s">
        <v>26</v>
      </c>
      <c r="L697" s="28">
        <v>46082</v>
      </c>
      <c r="M697" s="28">
        <v>46112</v>
      </c>
      <c r="N697" t="s">
        <v>27</v>
      </c>
      <c r="O697" t="s">
        <v>28</v>
      </c>
      <c r="Q697" t="s">
        <v>29</v>
      </c>
      <c r="R697" s="4" t="s">
        <v>147</v>
      </c>
      <c r="S697" s="4" t="s">
        <v>147</v>
      </c>
      <c r="T697">
        <v>24.7</v>
      </c>
    </row>
    <row r="698" spans="1:20" x14ac:dyDescent="0.3">
      <c r="A698">
        <v>37395</v>
      </c>
      <c r="B698" t="s">
        <v>21</v>
      </c>
      <c r="C698" s="5" t="s">
        <v>148</v>
      </c>
      <c r="D698" t="s">
        <v>149</v>
      </c>
      <c r="E698">
        <v>7868</v>
      </c>
      <c r="F698" t="s">
        <v>24</v>
      </c>
      <c r="H698" s="3" t="s">
        <v>150</v>
      </c>
      <c r="I698" s="3" t="s">
        <v>150</v>
      </c>
      <c r="J698" t="s">
        <v>21</v>
      </c>
      <c r="K698" t="s">
        <v>26</v>
      </c>
      <c r="L698" s="28">
        <v>46082</v>
      </c>
      <c r="M698" s="28">
        <v>46112</v>
      </c>
      <c r="N698" t="s">
        <v>27</v>
      </c>
      <c r="O698" t="s">
        <v>28</v>
      </c>
      <c r="Q698" t="s">
        <v>29</v>
      </c>
      <c r="R698" s="4" t="s">
        <v>151</v>
      </c>
      <c r="S698" s="4" t="s">
        <v>151</v>
      </c>
      <c r="T698">
        <v>7.3</v>
      </c>
    </row>
    <row r="699" spans="1:20" x14ac:dyDescent="0.3">
      <c r="A699">
        <v>37395</v>
      </c>
      <c r="B699" t="s">
        <v>21</v>
      </c>
      <c r="C699" s="5" t="s">
        <v>148</v>
      </c>
      <c r="D699" t="s">
        <v>149</v>
      </c>
      <c r="E699">
        <v>7868</v>
      </c>
      <c r="F699" t="s">
        <v>24</v>
      </c>
      <c r="H699" s="3" t="s">
        <v>150</v>
      </c>
      <c r="I699" s="3" t="s">
        <v>150</v>
      </c>
      <c r="J699" t="s">
        <v>21</v>
      </c>
      <c r="K699" t="s">
        <v>26</v>
      </c>
      <c r="L699" s="28">
        <v>46082</v>
      </c>
      <c r="M699" s="28">
        <v>46112</v>
      </c>
      <c r="N699" t="s">
        <v>27</v>
      </c>
      <c r="O699" t="s">
        <v>28</v>
      </c>
      <c r="Q699" t="s">
        <v>29</v>
      </c>
      <c r="R699" s="4" t="s">
        <v>152</v>
      </c>
      <c r="S699" s="4" t="s">
        <v>152</v>
      </c>
      <c r="T699">
        <v>2.2000000000000002</v>
      </c>
    </row>
    <row r="700" spans="1:20" x14ac:dyDescent="0.3">
      <c r="A700">
        <v>37395</v>
      </c>
      <c r="B700" t="s">
        <v>21</v>
      </c>
      <c r="C700" s="5" t="s">
        <v>148</v>
      </c>
      <c r="D700" t="s">
        <v>149</v>
      </c>
      <c r="E700">
        <v>7868</v>
      </c>
      <c r="F700" t="s">
        <v>24</v>
      </c>
      <c r="H700" s="3" t="s">
        <v>150</v>
      </c>
      <c r="I700" s="3" t="s">
        <v>150</v>
      </c>
      <c r="J700" t="s">
        <v>21</v>
      </c>
      <c r="K700" t="s">
        <v>26</v>
      </c>
      <c r="L700" s="28">
        <v>46082</v>
      </c>
      <c r="M700" s="28">
        <v>46112</v>
      </c>
      <c r="N700" t="s">
        <v>27</v>
      </c>
      <c r="O700" t="s">
        <v>28</v>
      </c>
      <c r="Q700" t="s">
        <v>29</v>
      </c>
      <c r="R700" s="4" t="s">
        <v>153</v>
      </c>
      <c r="S700" s="4" t="s">
        <v>153</v>
      </c>
      <c r="T700">
        <v>0</v>
      </c>
    </row>
    <row r="701" spans="1:20" x14ac:dyDescent="0.3">
      <c r="A701">
        <v>37395</v>
      </c>
      <c r="B701" t="s">
        <v>21</v>
      </c>
      <c r="C701" s="5" t="s">
        <v>154</v>
      </c>
      <c r="D701" t="s">
        <v>155</v>
      </c>
      <c r="E701">
        <v>7868</v>
      </c>
      <c r="F701" t="s">
        <v>24</v>
      </c>
      <c r="H701" s="3" t="s">
        <v>156</v>
      </c>
      <c r="I701" s="3" t="s">
        <v>156</v>
      </c>
      <c r="J701" t="s">
        <v>21</v>
      </c>
      <c r="K701" t="s">
        <v>26</v>
      </c>
      <c r="L701" s="28">
        <v>46082</v>
      </c>
      <c r="M701" s="28">
        <v>46112</v>
      </c>
      <c r="N701" t="s">
        <v>27</v>
      </c>
      <c r="O701" t="s">
        <v>28</v>
      </c>
      <c r="Q701" t="s">
        <v>29</v>
      </c>
      <c r="R701" s="4" t="s">
        <v>157</v>
      </c>
      <c r="S701" s="4" t="s">
        <v>157</v>
      </c>
      <c r="T701">
        <v>1.7</v>
      </c>
    </row>
    <row r="702" spans="1:20" x14ac:dyDescent="0.3">
      <c r="A702">
        <v>37395</v>
      </c>
      <c r="B702" t="s">
        <v>21</v>
      </c>
      <c r="C702" s="5" t="s">
        <v>158</v>
      </c>
      <c r="D702" t="s">
        <v>159</v>
      </c>
      <c r="E702">
        <v>7868</v>
      </c>
      <c r="F702" t="s">
        <v>24</v>
      </c>
      <c r="H702" s="3" t="s">
        <v>160</v>
      </c>
      <c r="I702" s="3" t="s">
        <v>160</v>
      </c>
      <c r="J702" t="s">
        <v>21</v>
      </c>
      <c r="K702" t="s">
        <v>26</v>
      </c>
      <c r="L702" s="28">
        <v>46082</v>
      </c>
      <c r="M702" s="28">
        <v>46112</v>
      </c>
      <c r="N702" t="s">
        <v>27</v>
      </c>
      <c r="O702" t="s">
        <v>28</v>
      </c>
      <c r="Q702" t="s">
        <v>29</v>
      </c>
      <c r="R702" s="4" t="s">
        <v>161</v>
      </c>
      <c r="S702" s="4" t="s">
        <v>161</v>
      </c>
      <c r="T702">
        <v>0</v>
      </c>
    </row>
    <row r="703" spans="1:20" x14ac:dyDescent="0.3">
      <c r="A703">
        <v>37395</v>
      </c>
      <c r="B703" t="s">
        <v>21</v>
      </c>
      <c r="C703" s="5" t="s">
        <v>162</v>
      </c>
      <c r="D703" t="s">
        <v>163</v>
      </c>
      <c r="E703">
        <v>7868</v>
      </c>
      <c r="F703" t="s">
        <v>24</v>
      </c>
      <c r="H703" s="3" t="s">
        <v>164</v>
      </c>
      <c r="I703" s="3" t="s">
        <v>164</v>
      </c>
      <c r="J703" t="s">
        <v>21</v>
      </c>
      <c r="K703" t="s">
        <v>26</v>
      </c>
      <c r="L703" s="28">
        <v>46082</v>
      </c>
      <c r="M703" s="28">
        <v>46112</v>
      </c>
      <c r="N703" t="s">
        <v>27</v>
      </c>
      <c r="O703" t="s">
        <v>28</v>
      </c>
      <c r="Q703" t="s">
        <v>29</v>
      </c>
      <c r="R703" s="4" t="s">
        <v>165</v>
      </c>
      <c r="S703" s="4" t="s">
        <v>165</v>
      </c>
      <c r="T703">
        <v>0</v>
      </c>
    </row>
    <row r="704" spans="1:20" x14ac:dyDescent="0.3">
      <c r="A704">
        <v>37395</v>
      </c>
      <c r="B704" t="s">
        <v>21</v>
      </c>
      <c r="C704" s="5" t="s">
        <v>166</v>
      </c>
      <c r="D704" t="s">
        <v>167</v>
      </c>
      <c r="E704">
        <v>7868</v>
      </c>
      <c r="F704" t="s">
        <v>24</v>
      </c>
      <c r="H704" s="3" t="s">
        <v>168</v>
      </c>
      <c r="I704" s="3" t="s">
        <v>168</v>
      </c>
      <c r="J704" t="s">
        <v>21</v>
      </c>
      <c r="K704" t="s">
        <v>26</v>
      </c>
      <c r="L704" s="28">
        <v>46082</v>
      </c>
      <c r="M704" s="28">
        <v>46112</v>
      </c>
      <c r="N704" t="s">
        <v>27</v>
      </c>
      <c r="O704" t="s">
        <v>28</v>
      </c>
      <c r="Q704" t="s">
        <v>29</v>
      </c>
      <c r="R704" s="4" t="s">
        <v>169</v>
      </c>
      <c r="S704" s="4" t="s">
        <v>169</v>
      </c>
      <c r="T704">
        <v>-0.1</v>
      </c>
    </row>
    <row r="705" spans="1:20" x14ac:dyDescent="0.3">
      <c r="A705">
        <v>37395</v>
      </c>
      <c r="B705" t="s">
        <v>21</v>
      </c>
      <c r="C705" s="5" t="s">
        <v>166</v>
      </c>
      <c r="D705" t="s">
        <v>167</v>
      </c>
      <c r="E705">
        <v>7868</v>
      </c>
      <c r="F705" t="s">
        <v>24</v>
      </c>
      <c r="H705" s="3" t="s">
        <v>168</v>
      </c>
      <c r="I705" s="3" t="s">
        <v>168</v>
      </c>
      <c r="J705" t="s">
        <v>21</v>
      </c>
      <c r="K705" t="s">
        <v>26</v>
      </c>
      <c r="L705" s="28">
        <v>46082</v>
      </c>
      <c r="M705" s="28">
        <v>46112</v>
      </c>
      <c r="N705" t="s">
        <v>27</v>
      </c>
      <c r="O705" t="s">
        <v>28</v>
      </c>
      <c r="Q705" t="s">
        <v>29</v>
      </c>
      <c r="R705" s="4" t="s">
        <v>170</v>
      </c>
      <c r="S705" s="4" t="s">
        <v>170</v>
      </c>
      <c r="T705">
        <v>-0.6</v>
      </c>
    </row>
    <row r="706" spans="1:20" x14ac:dyDescent="0.3">
      <c r="A706">
        <v>37395</v>
      </c>
      <c r="B706" t="s">
        <v>21</v>
      </c>
      <c r="C706" s="5" t="s">
        <v>166</v>
      </c>
      <c r="D706" t="s">
        <v>167</v>
      </c>
      <c r="E706">
        <v>7868</v>
      </c>
      <c r="F706" t="s">
        <v>24</v>
      </c>
      <c r="H706" s="3" t="s">
        <v>168</v>
      </c>
      <c r="I706" s="3" t="s">
        <v>168</v>
      </c>
      <c r="J706" t="s">
        <v>21</v>
      </c>
      <c r="K706" t="s">
        <v>26</v>
      </c>
      <c r="L706" s="28">
        <v>46082</v>
      </c>
      <c r="M706" s="28">
        <v>46112</v>
      </c>
      <c r="N706" t="s">
        <v>27</v>
      </c>
      <c r="O706" t="s">
        <v>28</v>
      </c>
      <c r="Q706" t="s">
        <v>29</v>
      </c>
      <c r="R706" s="4" t="s">
        <v>171</v>
      </c>
      <c r="S706" s="4" t="s">
        <v>171</v>
      </c>
      <c r="T706">
        <v>1.9</v>
      </c>
    </row>
    <row r="707" spans="1:20" x14ac:dyDescent="0.3">
      <c r="A707">
        <v>37395</v>
      </c>
      <c r="B707" t="s">
        <v>21</v>
      </c>
      <c r="C707" s="5" t="s">
        <v>166</v>
      </c>
      <c r="D707" t="s">
        <v>167</v>
      </c>
      <c r="E707">
        <v>7868</v>
      </c>
      <c r="F707" t="s">
        <v>24</v>
      </c>
      <c r="H707" s="3" t="s">
        <v>168</v>
      </c>
      <c r="I707" s="3" t="s">
        <v>168</v>
      </c>
      <c r="J707" t="s">
        <v>21</v>
      </c>
      <c r="K707" t="s">
        <v>26</v>
      </c>
      <c r="L707" s="28">
        <v>46082</v>
      </c>
      <c r="M707" s="28">
        <v>46112</v>
      </c>
      <c r="N707" t="s">
        <v>27</v>
      </c>
      <c r="O707" t="s">
        <v>28</v>
      </c>
      <c r="Q707" t="s">
        <v>29</v>
      </c>
      <c r="R707" s="4" t="s">
        <v>172</v>
      </c>
      <c r="S707" s="4" t="s">
        <v>172</v>
      </c>
      <c r="T707">
        <v>0</v>
      </c>
    </row>
    <row r="708" spans="1:20" x14ac:dyDescent="0.3">
      <c r="A708">
        <v>37395</v>
      </c>
      <c r="B708" t="s">
        <v>21</v>
      </c>
      <c r="C708" s="5" t="s">
        <v>166</v>
      </c>
      <c r="D708" t="s">
        <v>167</v>
      </c>
      <c r="E708">
        <v>7868</v>
      </c>
      <c r="F708" t="s">
        <v>24</v>
      </c>
      <c r="H708" s="3" t="s">
        <v>168</v>
      </c>
      <c r="I708" s="3" t="s">
        <v>168</v>
      </c>
      <c r="J708" t="s">
        <v>21</v>
      </c>
      <c r="K708" t="s">
        <v>26</v>
      </c>
      <c r="L708" s="28">
        <v>46082</v>
      </c>
      <c r="M708" s="28">
        <v>46112</v>
      </c>
      <c r="N708" t="s">
        <v>27</v>
      </c>
      <c r="O708" t="s">
        <v>28</v>
      </c>
      <c r="Q708" t="s">
        <v>29</v>
      </c>
      <c r="R708" s="4" t="s">
        <v>173</v>
      </c>
      <c r="S708" s="4" t="s">
        <v>173</v>
      </c>
      <c r="T708">
        <v>0</v>
      </c>
    </row>
    <row r="709" spans="1:20" x14ac:dyDescent="0.3">
      <c r="A709">
        <v>37395</v>
      </c>
      <c r="B709" t="s">
        <v>21</v>
      </c>
      <c r="C709" s="5" t="s">
        <v>174</v>
      </c>
      <c r="D709" t="s">
        <v>175</v>
      </c>
      <c r="E709">
        <v>7868</v>
      </c>
      <c r="F709" t="s">
        <v>24</v>
      </c>
      <c r="H709" s="3" t="s">
        <v>176</v>
      </c>
      <c r="I709" s="3" t="s">
        <v>176</v>
      </c>
      <c r="J709" t="s">
        <v>21</v>
      </c>
      <c r="K709" t="s">
        <v>26</v>
      </c>
      <c r="L709" s="28">
        <v>46082</v>
      </c>
      <c r="M709" s="28">
        <v>46112</v>
      </c>
      <c r="N709" t="s">
        <v>27</v>
      </c>
      <c r="O709" t="s">
        <v>28</v>
      </c>
      <c r="Q709" t="s">
        <v>29</v>
      </c>
      <c r="R709" s="4" t="s">
        <v>177</v>
      </c>
      <c r="S709" s="4" t="s">
        <v>177</v>
      </c>
      <c r="T709">
        <v>-1.7999999999999998</v>
      </c>
    </row>
    <row r="710" spans="1:20" x14ac:dyDescent="0.3">
      <c r="A710">
        <v>37395</v>
      </c>
      <c r="B710" t="s">
        <v>21</v>
      </c>
      <c r="C710" s="5" t="s">
        <v>5412</v>
      </c>
      <c r="D710" t="s">
        <v>5413</v>
      </c>
      <c r="E710">
        <v>7868</v>
      </c>
      <c r="F710" t="s">
        <v>24</v>
      </c>
      <c r="H710" s="3" t="s">
        <v>6650</v>
      </c>
      <c r="I710" s="3" t="s">
        <v>6650</v>
      </c>
      <c r="J710" t="s">
        <v>21</v>
      </c>
      <c r="K710" t="s">
        <v>26</v>
      </c>
      <c r="L710" s="28">
        <v>46082</v>
      </c>
      <c r="M710" s="28">
        <v>46112</v>
      </c>
      <c r="N710" t="s">
        <v>27</v>
      </c>
      <c r="O710" t="s">
        <v>28</v>
      </c>
      <c r="Q710" t="s">
        <v>29</v>
      </c>
      <c r="R710" s="4" t="s">
        <v>178</v>
      </c>
      <c r="S710" s="4" t="s">
        <v>178</v>
      </c>
      <c r="T710">
        <v>0</v>
      </c>
    </row>
    <row r="711" spans="1:20" x14ac:dyDescent="0.3">
      <c r="A711">
        <v>37395</v>
      </c>
      <c r="B711" t="s">
        <v>21</v>
      </c>
      <c r="C711" s="5" t="s">
        <v>179</v>
      </c>
      <c r="D711" t="s">
        <v>180</v>
      </c>
      <c r="E711">
        <v>7868</v>
      </c>
      <c r="F711" t="s">
        <v>24</v>
      </c>
      <c r="H711" s="3" t="s">
        <v>181</v>
      </c>
      <c r="I711" s="3" t="s">
        <v>181</v>
      </c>
      <c r="J711" t="s">
        <v>21</v>
      </c>
      <c r="K711" t="s">
        <v>26</v>
      </c>
      <c r="L711" s="28">
        <v>46082</v>
      </c>
      <c r="M711" s="28">
        <v>46112</v>
      </c>
      <c r="N711" t="s">
        <v>27</v>
      </c>
      <c r="O711" t="s">
        <v>28</v>
      </c>
      <c r="Q711" t="s">
        <v>29</v>
      </c>
      <c r="R711" s="4" t="s">
        <v>182</v>
      </c>
      <c r="S711" s="4" t="s">
        <v>182</v>
      </c>
      <c r="T711">
        <v>0.1</v>
      </c>
    </row>
    <row r="712" spans="1:20" x14ac:dyDescent="0.3">
      <c r="A712">
        <v>37395</v>
      </c>
      <c r="B712" t="s">
        <v>21</v>
      </c>
      <c r="C712" s="5" t="s">
        <v>183</v>
      </c>
      <c r="D712" t="s">
        <v>184</v>
      </c>
      <c r="E712">
        <v>7868</v>
      </c>
      <c r="F712" t="s">
        <v>24</v>
      </c>
      <c r="H712" s="3" t="s">
        <v>185</v>
      </c>
      <c r="I712" s="3" t="s">
        <v>185</v>
      </c>
      <c r="J712" t="s">
        <v>21</v>
      </c>
      <c r="K712" t="s">
        <v>26</v>
      </c>
      <c r="L712" s="28">
        <v>46082</v>
      </c>
      <c r="M712" s="28">
        <v>46112</v>
      </c>
      <c r="N712" t="s">
        <v>27</v>
      </c>
      <c r="O712" t="s">
        <v>28</v>
      </c>
      <c r="Q712" t="s">
        <v>29</v>
      </c>
      <c r="R712" s="4" t="s">
        <v>186</v>
      </c>
      <c r="S712" s="4" t="s">
        <v>186</v>
      </c>
      <c r="T712">
        <v>9.9999999999886319E-2</v>
      </c>
    </row>
    <row r="713" spans="1:20" x14ac:dyDescent="0.3">
      <c r="A713">
        <v>37395</v>
      </c>
      <c r="B713" t="s">
        <v>21</v>
      </c>
      <c r="C713" t="s">
        <v>22</v>
      </c>
      <c r="D713" t="s">
        <v>23</v>
      </c>
      <c r="E713">
        <v>7868</v>
      </c>
      <c r="F713" t="s">
        <v>24</v>
      </c>
      <c r="H713" t="s">
        <v>25</v>
      </c>
      <c r="I713" t="s">
        <v>25</v>
      </c>
      <c r="J713" t="s">
        <v>21</v>
      </c>
      <c r="K713" t="s">
        <v>26</v>
      </c>
      <c r="L713" s="1">
        <v>46113</v>
      </c>
      <c r="M713" s="1">
        <v>46142</v>
      </c>
      <c r="N713" t="s">
        <v>27</v>
      </c>
      <c r="O713" t="s">
        <v>28</v>
      </c>
      <c r="Q713" t="s">
        <v>29</v>
      </c>
      <c r="R713" t="s">
        <v>30</v>
      </c>
      <c r="S713" t="s">
        <v>30</v>
      </c>
      <c r="T713" s="2">
        <v>44.2</v>
      </c>
    </row>
    <row r="714" spans="1:20" x14ac:dyDescent="0.3">
      <c r="A714">
        <v>37395</v>
      </c>
      <c r="B714" t="s">
        <v>21</v>
      </c>
      <c r="C714" t="s">
        <v>22</v>
      </c>
      <c r="D714" t="s">
        <v>23</v>
      </c>
      <c r="E714">
        <v>7868</v>
      </c>
      <c r="F714" t="s">
        <v>24</v>
      </c>
      <c r="H714" t="s">
        <v>25</v>
      </c>
      <c r="I714" t="s">
        <v>25</v>
      </c>
      <c r="J714" t="s">
        <v>21</v>
      </c>
      <c r="K714" t="s">
        <v>26</v>
      </c>
      <c r="L714" s="1">
        <v>46113</v>
      </c>
      <c r="M714" s="1">
        <v>46142</v>
      </c>
      <c r="N714" t="s">
        <v>27</v>
      </c>
      <c r="O714" t="s">
        <v>28</v>
      </c>
      <c r="Q714" t="s">
        <v>29</v>
      </c>
      <c r="R714" t="s">
        <v>31</v>
      </c>
      <c r="S714" t="s">
        <v>31</v>
      </c>
      <c r="T714" s="2">
        <v>42.8</v>
      </c>
    </row>
    <row r="715" spans="1:20" x14ac:dyDescent="0.3">
      <c r="A715">
        <v>37395</v>
      </c>
      <c r="B715" t="s">
        <v>21</v>
      </c>
      <c r="C715" t="s">
        <v>22</v>
      </c>
      <c r="D715" t="s">
        <v>23</v>
      </c>
      <c r="E715">
        <v>7868</v>
      </c>
      <c r="F715" t="s">
        <v>24</v>
      </c>
      <c r="H715" t="s">
        <v>25</v>
      </c>
      <c r="I715" t="s">
        <v>25</v>
      </c>
      <c r="J715" t="s">
        <v>21</v>
      </c>
      <c r="K715" t="s">
        <v>26</v>
      </c>
      <c r="L715" s="1">
        <v>46113</v>
      </c>
      <c r="M715" s="1">
        <v>46142</v>
      </c>
      <c r="N715" t="s">
        <v>27</v>
      </c>
      <c r="O715" t="s">
        <v>28</v>
      </c>
      <c r="Q715" t="s">
        <v>29</v>
      </c>
      <c r="R715" t="s">
        <v>32</v>
      </c>
      <c r="S715" t="s">
        <v>32</v>
      </c>
      <c r="T715" s="2">
        <v>33.5</v>
      </c>
    </row>
    <row r="716" spans="1:20" x14ac:dyDescent="0.3">
      <c r="A716">
        <v>37395</v>
      </c>
      <c r="B716" t="s">
        <v>21</v>
      </c>
      <c r="C716" t="s">
        <v>22</v>
      </c>
      <c r="D716" t="s">
        <v>23</v>
      </c>
      <c r="E716">
        <v>7868</v>
      </c>
      <c r="F716" t="s">
        <v>24</v>
      </c>
      <c r="H716" t="s">
        <v>25</v>
      </c>
      <c r="I716" t="s">
        <v>25</v>
      </c>
      <c r="J716" t="s">
        <v>21</v>
      </c>
      <c r="K716" t="s">
        <v>26</v>
      </c>
      <c r="L716" s="1">
        <v>46113</v>
      </c>
      <c r="M716" s="1">
        <v>46142</v>
      </c>
      <c r="N716" t="s">
        <v>27</v>
      </c>
      <c r="O716" t="s">
        <v>28</v>
      </c>
      <c r="Q716" t="s">
        <v>29</v>
      </c>
      <c r="R716" t="s">
        <v>33</v>
      </c>
      <c r="S716" t="s">
        <v>33</v>
      </c>
      <c r="T716" s="2">
        <v>51</v>
      </c>
    </row>
    <row r="717" spans="1:20" x14ac:dyDescent="0.3">
      <c r="A717">
        <v>37395</v>
      </c>
      <c r="B717" t="s">
        <v>21</v>
      </c>
      <c r="C717" t="s">
        <v>22</v>
      </c>
      <c r="D717" t="s">
        <v>23</v>
      </c>
      <c r="E717">
        <v>7868</v>
      </c>
      <c r="F717" t="s">
        <v>24</v>
      </c>
      <c r="H717" t="s">
        <v>25</v>
      </c>
      <c r="I717" t="s">
        <v>25</v>
      </c>
      <c r="J717" t="s">
        <v>21</v>
      </c>
      <c r="K717" t="s">
        <v>26</v>
      </c>
      <c r="L717" s="1">
        <v>46113</v>
      </c>
      <c r="M717" s="1">
        <v>46142</v>
      </c>
      <c r="N717" t="s">
        <v>27</v>
      </c>
      <c r="O717" t="s">
        <v>28</v>
      </c>
      <c r="Q717" t="s">
        <v>29</v>
      </c>
      <c r="R717" t="s">
        <v>34</v>
      </c>
      <c r="S717" t="s">
        <v>34</v>
      </c>
      <c r="T717" s="2">
        <v>13</v>
      </c>
    </row>
    <row r="718" spans="1:20" x14ac:dyDescent="0.3">
      <c r="A718">
        <v>37395</v>
      </c>
      <c r="B718" t="s">
        <v>21</v>
      </c>
      <c r="C718" t="s">
        <v>22</v>
      </c>
      <c r="D718" t="s">
        <v>23</v>
      </c>
      <c r="E718">
        <v>7868</v>
      </c>
      <c r="F718" t="s">
        <v>24</v>
      </c>
      <c r="H718" t="s">
        <v>25</v>
      </c>
      <c r="I718" t="s">
        <v>25</v>
      </c>
      <c r="J718" t="s">
        <v>21</v>
      </c>
      <c r="K718" t="s">
        <v>26</v>
      </c>
      <c r="L718" s="1">
        <v>46113</v>
      </c>
      <c r="M718" s="1">
        <v>46142</v>
      </c>
      <c r="N718" t="s">
        <v>27</v>
      </c>
      <c r="O718" t="s">
        <v>28</v>
      </c>
      <c r="Q718" t="s">
        <v>29</v>
      </c>
      <c r="R718" t="s">
        <v>35</v>
      </c>
      <c r="S718" t="s">
        <v>35</v>
      </c>
      <c r="T718" s="2">
        <v>0.1</v>
      </c>
    </row>
    <row r="719" spans="1:20" x14ac:dyDescent="0.3">
      <c r="A719">
        <v>37395</v>
      </c>
      <c r="B719" t="s">
        <v>21</v>
      </c>
      <c r="C719" t="s">
        <v>37</v>
      </c>
      <c r="D719" t="s">
        <v>38</v>
      </c>
      <c r="E719">
        <v>7868</v>
      </c>
      <c r="F719" t="s">
        <v>24</v>
      </c>
      <c r="H719" t="s">
        <v>39</v>
      </c>
      <c r="I719" t="s">
        <v>39</v>
      </c>
      <c r="J719" t="s">
        <v>21</v>
      </c>
      <c r="K719" t="s">
        <v>26</v>
      </c>
      <c r="L719" s="1">
        <v>46113</v>
      </c>
      <c r="M719" s="1">
        <v>46142</v>
      </c>
      <c r="N719" t="s">
        <v>27</v>
      </c>
      <c r="O719" t="s">
        <v>28</v>
      </c>
      <c r="Q719" t="s">
        <v>29</v>
      </c>
      <c r="R719" t="s">
        <v>36</v>
      </c>
      <c r="S719" t="s">
        <v>36</v>
      </c>
      <c r="T719" s="2">
        <v>76.599999999999994</v>
      </c>
    </row>
    <row r="720" spans="1:20" x14ac:dyDescent="0.3">
      <c r="A720">
        <v>37395</v>
      </c>
      <c r="B720" t="s">
        <v>21</v>
      </c>
      <c r="C720" t="s">
        <v>37</v>
      </c>
      <c r="D720" t="s">
        <v>38</v>
      </c>
      <c r="E720">
        <v>7868</v>
      </c>
      <c r="F720" t="s">
        <v>24</v>
      </c>
      <c r="H720" t="s">
        <v>39</v>
      </c>
      <c r="I720" t="s">
        <v>39</v>
      </c>
      <c r="J720" t="s">
        <v>21</v>
      </c>
      <c r="K720" t="s">
        <v>26</v>
      </c>
      <c r="L720" s="1">
        <v>46113</v>
      </c>
      <c r="M720" s="1">
        <v>46142</v>
      </c>
      <c r="N720" t="s">
        <v>27</v>
      </c>
      <c r="O720" t="s">
        <v>28</v>
      </c>
      <c r="Q720" t="s">
        <v>29</v>
      </c>
      <c r="R720" t="s">
        <v>40</v>
      </c>
      <c r="S720" t="s">
        <v>40</v>
      </c>
      <c r="T720" s="2">
        <v>44.9</v>
      </c>
    </row>
    <row r="721" spans="1:20" x14ac:dyDescent="0.3">
      <c r="A721">
        <v>37395</v>
      </c>
      <c r="B721" t="s">
        <v>21</v>
      </c>
      <c r="C721" t="s">
        <v>37</v>
      </c>
      <c r="D721" t="s">
        <v>38</v>
      </c>
      <c r="E721">
        <v>7868</v>
      </c>
      <c r="F721" t="s">
        <v>24</v>
      </c>
      <c r="H721" t="s">
        <v>39</v>
      </c>
      <c r="I721" t="s">
        <v>39</v>
      </c>
      <c r="J721" t="s">
        <v>21</v>
      </c>
      <c r="K721" t="s">
        <v>26</v>
      </c>
      <c r="L721" s="1">
        <v>46113</v>
      </c>
      <c r="M721" s="1">
        <v>46142</v>
      </c>
      <c r="N721" t="s">
        <v>27</v>
      </c>
      <c r="O721" t="s">
        <v>28</v>
      </c>
      <c r="Q721" t="s">
        <v>29</v>
      </c>
      <c r="R721" t="s">
        <v>41</v>
      </c>
      <c r="S721" t="s">
        <v>41</v>
      </c>
      <c r="T721" s="2">
        <v>8.9</v>
      </c>
    </row>
    <row r="722" spans="1:20" x14ac:dyDescent="0.3">
      <c r="A722">
        <v>37395</v>
      </c>
      <c r="B722" t="s">
        <v>21</v>
      </c>
      <c r="C722" t="s">
        <v>37</v>
      </c>
      <c r="D722" t="s">
        <v>38</v>
      </c>
      <c r="E722">
        <v>7868</v>
      </c>
      <c r="F722" t="s">
        <v>24</v>
      </c>
      <c r="H722" t="s">
        <v>39</v>
      </c>
      <c r="I722" t="s">
        <v>39</v>
      </c>
      <c r="J722" t="s">
        <v>21</v>
      </c>
      <c r="K722" t="s">
        <v>26</v>
      </c>
      <c r="L722" s="1">
        <v>46113</v>
      </c>
      <c r="M722" s="1">
        <v>46142</v>
      </c>
      <c r="N722" t="s">
        <v>27</v>
      </c>
      <c r="O722" t="s">
        <v>28</v>
      </c>
      <c r="Q722" t="s">
        <v>29</v>
      </c>
      <c r="R722" t="s">
        <v>42</v>
      </c>
      <c r="S722" t="s">
        <v>42</v>
      </c>
      <c r="T722" s="2">
        <v>3.6</v>
      </c>
    </row>
    <row r="723" spans="1:20" x14ac:dyDescent="0.3">
      <c r="A723">
        <v>37395</v>
      </c>
      <c r="B723" t="s">
        <v>21</v>
      </c>
      <c r="C723" t="s">
        <v>37</v>
      </c>
      <c r="D723" t="s">
        <v>38</v>
      </c>
      <c r="E723">
        <v>7868</v>
      </c>
      <c r="F723" t="s">
        <v>24</v>
      </c>
      <c r="H723" t="s">
        <v>39</v>
      </c>
      <c r="I723" t="s">
        <v>39</v>
      </c>
      <c r="J723" t="s">
        <v>21</v>
      </c>
      <c r="K723" t="s">
        <v>26</v>
      </c>
      <c r="L723" s="1">
        <v>46113</v>
      </c>
      <c r="M723" s="1">
        <v>46142</v>
      </c>
      <c r="N723" t="s">
        <v>27</v>
      </c>
      <c r="O723" t="s">
        <v>28</v>
      </c>
      <c r="Q723" t="s">
        <v>29</v>
      </c>
      <c r="R723" t="s">
        <v>43</v>
      </c>
      <c r="S723" t="s">
        <v>43</v>
      </c>
      <c r="T723" s="2">
        <v>35.1</v>
      </c>
    </row>
    <row r="724" spans="1:20" x14ac:dyDescent="0.3">
      <c r="A724">
        <v>37395</v>
      </c>
      <c r="B724" t="s">
        <v>21</v>
      </c>
      <c r="C724" t="s">
        <v>37</v>
      </c>
      <c r="D724" t="s">
        <v>38</v>
      </c>
      <c r="E724">
        <v>7868</v>
      </c>
      <c r="F724" t="s">
        <v>24</v>
      </c>
      <c r="H724" t="s">
        <v>39</v>
      </c>
      <c r="I724" t="s">
        <v>39</v>
      </c>
      <c r="J724" t="s">
        <v>21</v>
      </c>
      <c r="K724" t="s">
        <v>26</v>
      </c>
      <c r="L724" s="1">
        <v>46113</v>
      </c>
      <c r="M724" s="1">
        <v>46142</v>
      </c>
      <c r="N724" t="s">
        <v>27</v>
      </c>
      <c r="O724" t="s">
        <v>28</v>
      </c>
      <c r="Q724" t="s">
        <v>29</v>
      </c>
      <c r="R724" t="s">
        <v>44</v>
      </c>
      <c r="S724" t="s">
        <v>44</v>
      </c>
      <c r="T724" s="2">
        <v>10.199999999999999</v>
      </c>
    </row>
    <row r="725" spans="1:20" x14ac:dyDescent="0.3">
      <c r="A725">
        <v>37395</v>
      </c>
      <c r="B725" t="s">
        <v>21</v>
      </c>
      <c r="C725" t="s">
        <v>37</v>
      </c>
      <c r="D725" t="s">
        <v>38</v>
      </c>
      <c r="E725">
        <v>7868</v>
      </c>
      <c r="F725" t="s">
        <v>24</v>
      </c>
      <c r="H725" t="s">
        <v>39</v>
      </c>
      <c r="I725" t="s">
        <v>39</v>
      </c>
      <c r="J725" t="s">
        <v>21</v>
      </c>
      <c r="K725" t="s">
        <v>26</v>
      </c>
      <c r="L725" s="1">
        <v>46113</v>
      </c>
      <c r="M725" s="1">
        <v>46142</v>
      </c>
      <c r="N725" t="s">
        <v>27</v>
      </c>
      <c r="O725" t="s">
        <v>28</v>
      </c>
      <c r="Q725" t="s">
        <v>29</v>
      </c>
      <c r="R725" t="s">
        <v>45</v>
      </c>
      <c r="S725" t="s">
        <v>45</v>
      </c>
      <c r="T725" s="2">
        <v>0</v>
      </c>
    </row>
    <row r="726" spans="1:20" x14ac:dyDescent="0.3">
      <c r="A726">
        <v>37395</v>
      </c>
      <c r="B726" t="s">
        <v>21</v>
      </c>
      <c r="C726" t="s">
        <v>48</v>
      </c>
      <c r="D726" t="s">
        <v>49</v>
      </c>
      <c r="E726">
        <v>7868</v>
      </c>
      <c r="F726" t="s">
        <v>24</v>
      </c>
      <c r="H726" t="s">
        <v>50</v>
      </c>
      <c r="I726" t="s">
        <v>50</v>
      </c>
      <c r="J726" t="s">
        <v>21</v>
      </c>
      <c r="K726" t="s">
        <v>26</v>
      </c>
      <c r="L726" s="1">
        <v>46113</v>
      </c>
      <c r="M726" s="1">
        <v>46142</v>
      </c>
      <c r="N726" t="s">
        <v>27</v>
      </c>
      <c r="O726" t="s">
        <v>28</v>
      </c>
      <c r="Q726" t="s">
        <v>29</v>
      </c>
      <c r="R726" t="s">
        <v>46</v>
      </c>
      <c r="S726" t="s">
        <v>46</v>
      </c>
      <c r="T726" s="2">
        <v>0</v>
      </c>
    </row>
    <row r="727" spans="1:20" x14ac:dyDescent="0.3">
      <c r="A727">
        <v>37395</v>
      </c>
      <c r="B727" t="s">
        <v>21</v>
      </c>
      <c r="C727" t="s">
        <v>48</v>
      </c>
      <c r="D727" t="s">
        <v>49</v>
      </c>
      <c r="E727">
        <v>7868</v>
      </c>
      <c r="F727" t="s">
        <v>24</v>
      </c>
      <c r="H727" t="s">
        <v>50</v>
      </c>
      <c r="I727" t="s">
        <v>50</v>
      </c>
      <c r="J727" t="s">
        <v>21</v>
      </c>
      <c r="K727" t="s">
        <v>26</v>
      </c>
      <c r="L727" s="1">
        <v>46113</v>
      </c>
      <c r="M727" s="1">
        <v>46142</v>
      </c>
      <c r="N727" t="s">
        <v>27</v>
      </c>
      <c r="O727" t="s">
        <v>28</v>
      </c>
      <c r="Q727" t="s">
        <v>29</v>
      </c>
      <c r="R727" t="s">
        <v>47</v>
      </c>
      <c r="S727" t="s">
        <v>47</v>
      </c>
      <c r="T727" s="2">
        <v>0.1</v>
      </c>
    </row>
    <row r="728" spans="1:20" x14ac:dyDescent="0.3">
      <c r="A728">
        <v>37395</v>
      </c>
      <c r="B728" t="s">
        <v>21</v>
      </c>
      <c r="C728" t="s">
        <v>48</v>
      </c>
      <c r="D728" t="s">
        <v>49</v>
      </c>
      <c r="E728">
        <v>7868</v>
      </c>
      <c r="F728" t="s">
        <v>24</v>
      </c>
      <c r="H728" t="s">
        <v>50</v>
      </c>
      <c r="I728" t="s">
        <v>50</v>
      </c>
      <c r="J728" t="s">
        <v>21</v>
      </c>
      <c r="K728" t="s">
        <v>26</v>
      </c>
      <c r="L728" s="1">
        <v>46113</v>
      </c>
      <c r="M728" s="1">
        <v>46142</v>
      </c>
      <c r="N728" t="s">
        <v>27</v>
      </c>
      <c r="O728" t="s">
        <v>28</v>
      </c>
      <c r="Q728" t="s">
        <v>29</v>
      </c>
      <c r="R728" t="s">
        <v>51</v>
      </c>
      <c r="S728" t="s">
        <v>51</v>
      </c>
      <c r="T728" s="2">
        <v>0</v>
      </c>
    </row>
    <row r="729" spans="1:20" x14ac:dyDescent="0.3">
      <c r="A729">
        <v>37395</v>
      </c>
      <c r="B729" t="s">
        <v>21</v>
      </c>
      <c r="C729" t="s">
        <v>48</v>
      </c>
      <c r="D729" t="s">
        <v>49</v>
      </c>
      <c r="E729">
        <v>7868</v>
      </c>
      <c r="F729" t="s">
        <v>24</v>
      </c>
      <c r="H729" t="s">
        <v>50</v>
      </c>
      <c r="I729" t="s">
        <v>50</v>
      </c>
      <c r="J729" t="s">
        <v>21</v>
      </c>
      <c r="K729" t="s">
        <v>26</v>
      </c>
      <c r="L729" s="1">
        <v>46113</v>
      </c>
      <c r="M729" s="1">
        <v>46142</v>
      </c>
      <c r="N729" t="s">
        <v>27</v>
      </c>
      <c r="O729" t="s">
        <v>28</v>
      </c>
      <c r="Q729" t="s">
        <v>29</v>
      </c>
      <c r="R729" t="s">
        <v>52</v>
      </c>
      <c r="S729" t="s">
        <v>52</v>
      </c>
      <c r="T729" s="2">
        <v>0.2</v>
      </c>
    </row>
    <row r="730" spans="1:20" x14ac:dyDescent="0.3">
      <c r="A730">
        <v>37395</v>
      </c>
      <c r="B730" t="s">
        <v>21</v>
      </c>
      <c r="C730" t="s">
        <v>60</v>
      </c>
      <c r="D730" t="s">
        <v>61</v>
      </c>
      <c r="E730">
        <v>7868</v>
      </c>
      <c r="F730" t="s">
        <v>24</v>
      </c>
      <c r="H730" t="s">
        <v>62</v>
      </c>
      <c r="I730" t="s">
        <v>62</v>
      </c>
      <c r="J730" t="s">
        <v>21</v>
      </c>
      <c r="K730" t="s">
        <v>26</v>
      </c>
      <c r="L730" s="1">
        <v>46113</v>
      </c>
      <c r="M730" s="1">
        <v>46142</v>
      </c>
      <c r="N730" t="s">
        <v>27</v>
      </c>
      <c r="O730" t="s">
        <v>28</v>
      </c>
      <c r="Q730" t="s">
        <v>29</v>
      </c>
      <c r="R730" t="s">
        <v>53</v>
      </c>
      <c r="S730" t="s">
        <v>53</v>
      </c>
      <c r="T730" s="2">
        <v>23.5</v>
      </c>
    </row>
    <row r="731" spans="1:20" x14ac:dyDescent="0.3">
      <c r="A731">
        <v>37395</v>
      </c>
      <c r="B731" t="s">
        <v>21</v>
      </c>
      <c r="C731" t="s">
        <v>60</v>
      </c>
      <c r="D731" t="s">
        <v>61</v>
      </c>
      <c r="E731">
        <v>7868</v>
      </c>
      <c r="F731" t="s">
        <v>24</v>
      </c>
      <c r="H731" t="s">
        <v>62</v>
      </c>
      <c r="I731" t="s">
        <v>62</v>
      </c>
      <c r="J731" t="s">
        <v>21</v>
      </c>
      <c r="K731" t="s">
        <v>26</v>
      </c>
      <c r="L731" s="1">
        <v>46113</v>
      </c>
      <c r="M731" s="1">
        <v>46142</v>
      </c>
      <c r="N731" t="s">
        <v>27</v>
      </c>
      <c r="O731" t="s">
        <v>28</v>
      </c>
      <c r="Q731" t="s">
        <v>29</v>
      </c>
      <c r="R731" t="s">
        <v>54</v>
      </c>
      <c r="S731" t="s">
        <v>54</v>
      </c>
      <c r="T731" s="2">
        <v>10.8</v>
      </c>
    </row>
    <row r="732" spans="1:20" x14ac:dyDescent="0.3">
      <c r="A732">
        <v>37395</v>
      </c>
      <c r="B732" t="s">
        <v>21</v>
      </c>
      <c r="C732" t="s">
        <v>60</v>
      </c>
      <c r="D732" t="s">
        <v>61</v>
      </c>
      <c r="E732">
        <v>7868</v>
      </c>
      <c r="F732" t="s">
        <v>24</v>
      </c>
      <c r="H732" t="s">
        <v>62</v>
      </c>
      <c r="I732" t="s">
        <v>62</v>
      </c>
      <c r="J732" t="s">
        <v>21</v>
      </c>
      <c r="K732" t="s">
        <v>26</v>
      </c>
      <c r="L732" s="1">
        <v>46113</v>
      </c>
      <c r="M732" s="1">
        <v>46142</v>
      </c>
      <c r="N732" t="s">
        <v>27</v>
      </c>
      <c r="O732" t="s">
        <v>28</v>
      </c>
      <c r="Q732" t="s">
        <v>29</v>
      </c>
      <c r="R732" t="s">
        <v>58</v>
      </c>
      <c r="S732" t="s">
        <v>58</v>
      </c>
      <c r="T732" s="2">
        <v>11.9</v>
      </c>
    </row>
    <row r="733" spans="1:20" x14ac:dyDescent="0.3">
      <c r="A733">
        <v>37395</v>
      </c>
      <c r="B733" t="s">
        <v>21</v>
      </c>
      <c r="C733" t="s">
        <v>66</v>
      </c>
      <c r="D733" t="s">
        <v>67</v>
      </c>
      <c r="E733">
        <v>7868</v>
      </c>
      <c r="F733" t="s">
        <v>24</v>
      </c>
      <c r="H733" t="s">
        <v>68</v>
      </c>
      <c r="I733" t="s">
        <v>68</v>
      </c>
      <c r="J733" t="s">
        <v>21</v>
      </c>
      <c r="K733" t="s">
        <v>26</v>
      </c>
      <c r="L733" s="1">
        <v>46113</v>
      </c>
      <c r="M733" s="1">
        <v>46142</v>
      </c>
      <c r="N733" t="s">
        <v>27</v>
      </c>
      <c r="O733" t="s">
        <v>28</v>
      </c>
      <c r="Q733" t="s">
        <v>29</v>
      </c>
      <c r="R733" t="s">
        <v>59</v>
      </c>
      <c r="S733" t="s">
        <v>59</v>
      </c>
      <c r="T733" s="2">
        <v>0</v>
      </c>
    </row>
    <row r="734" spans="1:20" x14ac:dyDescent="0.3">
      <c r="A734">
        <v>37395</v>
      </c>
      <c r="B734" t="s">
        <v>21</v>
      </c>
      <c r="C734" t="s">
        <v>66</v>
      </c>
      <c r="D734" t="s">
        <v>67</v>
      </c>
      <c r="E734">
        <v>7868</v>
      </c>
      <c r="F734" t="s">
        <v>24</v>
      </c>
      <c r="H734" t="s">
        <v>68</v>
      </c>
      <c r="I734" t="s">
        <v>68</v>
      </c>
      <c r="J734" t="s">
        <v>21</v>
      </c>
      <c r="K734" t="s">
        <v>26</v>
      </c>
      <c r="L734" s="1">
        <v>46113</v>
      </c>
      <c r="M734" s="1">
        <v>46142</v>
      </c>
      <c r="N734" t="s">
        <v>27</v>
      </c>
      <c r="O734" t="s">
        <v>28</v>
      </c>
      <c r="Q734" t="s">
        <v>29</v>
      </c>
      <c r="R734" t="s">
        <v>63</v>
      </c>
      <c r="S734" t="s">
        <v>63</v>
      </c>
      <c r="T734" s="2">
        <v>0</v>
      </c>
    </row>
    <row r="735" spans="1:20" x14ac:dyDescent="0.3">
      <c r="A735">
        <v>37395</v>
      </c>
      <c r="B735" t="s">
        <v>21</v>
      </c>
      <c r="C735" t="s">
        <v>71</v>
      </c>
      <c r="D735" t="s">
        <v>72</v>
      </c>
      <c r="E735">
        <v>7868</v>
      </c>
      <c r="F735" t="s">
        <v>24</v>
      </c>
      <c r="H735" t="s">
        <v>73</v>
      </c>
      <c r="I735" t="s">
        <v>73</v>
      </c>
      <c r="J735" t="s">
        <v>21</v>
      </c>
      <c r="K735" t="s">
        <v>26</v>
      </c>
      <c r="L735" s="1">
        <v>46113</v>
      </c>
      <c r="M735" s="1">
        <v>46142</v>
      </c>
      <c r="N735" t="s">
        <v>27</v>
      </c>
      <c r="O735" t="s">
        <v>28</v>
      </c>
      <c r="Q735" t="s">
        <v>29</v>
      </c>
      <c r="R735" t="s">
        <v>64</v>
      </c>
      <c r="S735" t="s">
        <v>64</v>
      </c>
      <c r="T735" s="2">
        <v>58.6</v>
      </c>
    </row>
    <row r="736" spans="1:20" x14ac:dyDescent="0.3">
      <c r="A736">
        <v>37395</v>
      </c>
      <c r="B736" t="s">
        <v>21</v>
      </c>
      <c r="C736" t="s">
        <v>71</v>
      </c>
      <c r="D736" t="s">
        <v>72</v>
      </c>
      <c r="E736">
        <v>7868</v>
      </c>
      <c r="F736" t="s">
        <v>24</v>
      </c>
      <c r="H736" t="s">
        <v>73</v>
      </c>
      <c r="I736" t="s">
        <v>73</v>
      </c>
      <c r="J736" t="s">
        <v>21</v>
      </c>
      <c r="K736" t="s">
        <v>26</v>
      </c>
      <c r="L736" s="1">
        <v>46113</v>
      </c>
      <c r="M736" s="1">
        <v>46142</v>
      </c>
      <c r="N736" t="s">
        <v>27</v>
      </c>
      <c r="O736" t="s">
        <v>28</v>
      </c>
      <c r="Q736" t="s">
        <v>29</v>
      </c>
      <c r="R736" t="s">
        <v>65</v>
      </c>
      <c r="S736" t="s">
        <v>65</v>
      </c>
      <c r="T736" s="2">
        <v>14.8</v>
      </c>
    </row>
    <row r="737" spans="1:20" x14ac:dyDescent="0.3">
      <c r="A737">
        <v>37395</v>
      </c>
      <c r="B737" t="s">
        <v>21</v>
      </c>
      <c r="C737" t="s">
        <v>76</v>
      </c>
      <c r="D737" t="s">
        <v>77</v>
      </c>
      <c r="E737">
        <v>7868</v>
      </c>
      <c r="F737" t="s">
        <v>24</v>
      </c>
      <c r="H737" t="s">
        <v>78</v>
      </c>
      <c r="I737" t="s">
        <v>78</v>
      </c>
      <c r="J737" t="s">
        <v>21</v>
      </c>
      <c r="K737" t="s">
        <v>26</v>
      </c>
      <c r="L737" s="1">
        <v>46113</v>
      </c>
      <c r="M737" s="1">
        <v>46142</v>
      </c>
      <c r="N737" t="s">
        <v>27</v>
      </c>
      <c r="O737" t="s">
        <v>28</v>
      </c>
      <c r="Q737" t="s">
        <v>29</v>
      </c>
      <c r="R737" t="s">
        <v>69</v>
      </c>
      <c r="S737" t="s">
        <v>69</v>
      </c>
      <c r="T737" s="2">
        <v>24.4</v>
      </c>
    </row>
    <row r="738" spans="1:20" x14ac:dyDescent="0.3">
      <c r="A738">
        <v>37395</v>
      </c>
      <c r="B738" t="s">
        <v>21</v>
      </c>
      <c r="C738" t="s">
        <v>80</v>
      </c>
      <c r="D738" t="s">
        <v>81</v>
      </c>
      <c r="E738">
        <v>7868</v>
      </c>
      <c r="F738" t="s">
        <v>24</v>
      </c>
      <c r="H738" t="s">
        <v>82</v>
      </c>
      <c r="I738" t="s">
        <v>82</v>
      </c>
      <c r="J738" t="s">
        <v>21</v>
      </c>
      <c r="K738" t="s">
        <v>26</v>
      </c>
      <c r="L738" s="1">
        <v>46113</v>
      </c>
      <c r="M738" s="1">
        <v>46142</v>
      </c>
      <c r="N738" t="s">
        <v>27</v>
      </c>
      <c r="O738" t="s">
        <v>28</v>
      </c>
      <c r="Q738" t="s">
        <v>29</v>
      </c>
      <c r="R738" t="s">
        <v>70</v>
      </c>
      <c r="S738" t="s">
        <v>70</v>
      </c>
      <c r="T738" s="2">
        <v>9.5</v>
      </c>
    </row>
    <row r="739" spans="1:20" x14ac:dyDescent="0.3">
      <c r="A739">
        <v>37395</v>
      </c>
      <c r="B739" t="s">
        <v>21</v>
      </c>
      <c r="C739" t="s">
        <v>80</v>
      </c>
      <c r="D739" t="s">
        <v>81</v>
      </c>
      <c r="E739">
        <v>7868</v>
      </c>
      <c r="F739" t="s">
        <v>24</v>
      </c>
      <c r="H739" t="s">
        <v>82</v>
      </c>
      <c r="I739" t="s">
        <v>82</v>
      </c>
      <c r="J739" t="s">
        <v>21</v>
      </c>
      <c r="K739" t="s">
        <v>26</v>
      </c>
      <c r="L739" s="1">
        <v>46113</v>
      </c>
      <c r="M739" s="1">
        <v>46142</v>
      </c>
      <c r="N739" t="s">
        <v>27</v>
      </c>
      <c r="O739" t="s">
        <v>28</v>
      </c>
      <c r="Q739" t="s">
        <v>29</v>
      </c>
      <c r="R739" t="s">
        <v>74</v>
      </c>
      <c r="S739" t="s">
        <v>74</v>
      </c>
      <c r="T739" s="2">
        <v>15.7</v>
      </c>
    </row>
    <row r="740" spans="1:20" x14ac:dyDescent="0.3">
      <c r="A740">
        <v>37395</v>
      </c>
      <c r="B740" t="s">
        <v>21</v>
      </c>
      <c r="C740" t="s">
        <v>80</v>
      </c>
      <c r="D740" t="s">
        <v>81</v>
      </c>
      <c r="E740">
        <v>7868</v>
      </c>
      <c r="F740" t="s">
        <v>24</v>
      </c>
      <c r="H740" t="s">
        <v>82</v>
      </c>
      <c r="I740" t="s">
        <v>82</v>
      </c>
      <c r="J740" t="s">
        <v>21</v>
      </c>
      <c r="K740" t="s">
        <v>26</v>
      </c>
      <c r="L740" s="1">
        <v>46113</v>
      </c>
      <c r="M740" s="1">
        <v>46142</v>
      </c>
      <c r="N740" t="s">
        <v>27</v>
      </c>
      <c r="O740" t="s">
        <v>28</v>
      </c>
      <c r="Q740" t="s">
        <v>29</v>
      </c>
      <c r="R740" t="s">
        <v>75</v>
      </c>
      <c r="S740" t="s">
        <v>75</v>
      </c>
      <c r="T740" s="2">
        <v>8.1</v>
      </c>
    </row>
    <row r="741" spans="1:20" x14ac:dyDescent="0.3">
      <c r="A741">
        <v>37395</v>
      </c>
      <c r="B741" t="s">
        <v>21</v>
      </c>
      <c r="C741" t="s">
        <v>80</v>
      </c>
      <c r="D741" t="s">
        <v>81</v>
      </c>
      <c r="E741">
        <v>7868</v>
      </c>
      <c r="F741" t="s">
        <v>24</v>
      </c>
      <c r="H741" t="s">
        <v>82</v>
      </c>
      <c r="I741" t="s">
        <v>82</v>
      </c>
      <c r="J741" t="s">
        <v>21</v>
      </c>
      <c r="K741" t="s">
        <v>26</v>
      </c>
      <c r="L741" s="1">
        <v>46113</v>
      </c>
      <c r="M741" s="1">
        <v>46142</v>
      </c>
      <c r="N741" t="s">
        <v>27</v>
      </c>
      <c r="O741" t="s">
        <v>28</v>
      </c>
      <c r="Q741" t="s">
        <v>29</v>
      </c>
      <c r="R741" t="s">
        <v>79</v>
      </c>
      <c r="S741" t="s">
        <v>79</v>
      </c>
      <c r="T741" s="2">
        <v>16.8</v>
      </c>
    </row>
    <row r="742" spans="1:20" x14ac:dyDescent="0.3">
      <c r="A742">
        <v>37395</v>
      </c>
      <c r="B742" t="s">
        <v>21</v>
      </c>
      <c r="C742" t="s">
        <v>87</v>
      </c>
      <c r="D742" t="s">
        <v>88</v>
      </c>
      <c r="E742">
        <v>7868</v>
      </c>
      <c r="F742" t="s">
        <v>24</v>
      </c>
      <c r="H742" t="s">
        <v>89</v>
      </c>
      <c r="I742" t="s">
        <v>89</v>
      </c>
      <c r="J742" t="s">
        <v>21</v>
      </c>
      <c r="K742" t="s">
        <v>26</v>
      </c>
      <c r="L742" s="1">
        <v>46113</v>
      </c>
      <c r="M742" s="1">
        <v>46142</v>
      </c>
      <c r="N742" t="s">
        <v>27</v>
      </c>
      <c r="O742" t="s">
        <v>28</v>
      </c>
      <c r="Q742" t="s">
        <v>29</v>
      </c>
      <c r="R742" t="s">
        <v>83</v>
      </c>
      <c r="S742" t="s">
        <v>83</v>
      </c>
      <c r="T742" s="2">
        <v>0.4</v>
      </c>
    </row>
    <row r="743" spans="1:20" x14ac:dyDescent="0.3">
      <c r="A743">
        <v>37395</v>
      </c>
      <c r="B743" t="s">
        <v>21</v>
      </c>
      <c r="C743" t="s">
        <v>87</v>
      </c>
      <c r="D743" t="s">
        <v>88</v>
      </c>
      <c r="E743">
        <v>7868</v>
      </c>
      <c r="F743" t="s">
        <v>24</v>
      </c>
      <c r="H743" t="s">
        <v>89</v>
      </c>
      <c r="I743" t="s">
        <v>89</v>
      </c>
      <c r="J743" t="s">
        <v>21</v>
      </c>
      <c r="K743" t="s">
        <v>26</v>
      </c>
      <c r="L743" s="1">
        <v>46113</v>
      </c>
      <c r="M743" s="1">
        <v>46142</v>
      </c>
      <c r="N743" t="s">
        <v>27</v>
      </c>
      <c r="O743" t="s">
        <v>28</v>
      </c>
      <c r="Q743" t="s">
        <v>29</v>
      </c>
      <c r="R743" t="s">
        <v>84</v>
      </c>
      <c r="S743" t="s">
        <v>84</v>
      </c>
      <c r="T743" s="2">
        <v>1.2</v>
      </c>
    </row>
    <row r="744" spans="1:20" x14ac:dyDescent="0.3">
      <c r="A744">
        <v>37395</v>
      </c>
      <c r="B744" t="s">
        <v>21</v>
      </c>
      <c r="C744" t="s">
        <v>87</v>
      </c>
      <c r="D744" t="s">
        <v>88</v>
      </c>
      <c r="E744">
        <v>7868</v>
      </c>
      <c r="F744" t="s">
        <v>24</v>
      </c>
      <c r="H744" t="s">
        <v>89</v>
      </c>
      <c r="I744" t="s">
        <v>89</v>
      </c>
      <c r="J744" t="s">
        <v>21</v>
      </c>
      <c r="K744" t="s">
        <v>26</v>
      </c>
      <c r="L744" s="1">
        <v>46113</v>
      </c>
      <c r="M744" s="1">
        <v>46142</v>
      </c>
      <c r="N744" t="s">
        <v>27</v>
      </c>
      <c r="O744" t="s">
        <v>28</v>
      </c>
      <c r="Q744" t="s">
        <v>29</v>
      </c>
      <c r="R744" t="s">
        <v>85</v>
      </c>
      <c r="S744" t="s">
        <v>85</v>
      </c>
      <c r="T744" s="2">
        <v>5.9</v>
      </c>
    </row>
    <row r="745" spans="1:20" x14ac:dyDescent="0.3">
      <c r="A745">
        <v>37395</v>
      </c>
      <c r="B745" t="s">
        <v>21</v>
      </c>
      <c r="C745" t="s">
        <v>87</v>
      </c>
      <c r="D745" t="s">
        <v>88</v>
      </c>
      <c r="E745">
        <v>7868</v>
      </c>
      <c r="F745" t="s">
        <v>24</v>
      </c>
      <c r="H745" t="s">
        <v>89</v>
      </c>
      <c r="I745" t="s">
        <v>89</v>
      </c>
      <c r="J745" t="s">
        <v>21</v>
      </c>
      <c r="K745" t="s">
        <v>26</v>
      </c>
      <c r="L745" s="1">
        <v>46113</v>
      </c>
      <c r="M745" s="1">
        <v>46142</v>
      </c>
      <c r="N745" t="s">
        <v>27</v>
      </c>
      <c r="O745" t="s">
        <v>28</v>
      </c>
      <c r="Q745" t="s">
        <v>29</v>
      </c>
      <c r="R745" t="s">
        <v>86</v>
      </c>
      <c r="S745" t="s">
        <v>86</v>
      </c>
      <c r="T745" s="2">
        <v>0</v>
      </c>
    </row>
    <row r="746" spans="1:20" x14ac:dyDescent="0.3">
      <c r="A746">
        <v>37395</v>
      </c>
      <c r="B746" t="s">
        <v>21</v>
      </c>
      <c r="C746" t="s">
        <v>87</v>
      </c>
      <c r="D746" t="s">
        <v>88</v>
      </c>
      <c r="E746">
        <v>7868</v>
      </c>
      <c r="F746" t="s">
        <v>24</v>
      </c>
      <c r="H746" t="s">
        <v>89</v>
      </c>
      <c r="I746" t="s">
        <v>89</v>
      </c>
      <c r="J746" t="s">
        <v>21</v>
      </c>
      <c r="K746" t="s">
        <v>26</v>
      </c>
      <c r="L746" s="1">
        <v>46113</v>
      </c>
      <c r="M746" s="1">
        <v>46142</v>
      </c>
      <c r="N746" t="s">
        <v>27</v>
      </c>
      <c r="O746" t="s">
        <v>28</v>
      </c>
      <c r="Q746" t="s">
        <v>29</v>
      </c>
      <c r="R746" t="s">
        <v>90</v>
      </c>
      <c r="S746" t="s">
        <v>90</v>
      </c>
      <c r="T746" s="2">
        <v>0</v>
      </c>
    </row>
    <row r="747" spans="1:20" x14ac:dyDescent="0.3">
      <c r="A747">
        <v>37395</v>
      </c>
      <c r="B747" t="s">
        <v>21</v>
      </c>
      <c r="C747" t="s">
        <v>93</v>
      </c>
      <c r="D747" t="s">
        <v>94</v>
      </c>
      <c r="E747">
        <v>7868</v>
      </c>
      <c r="F747" t="s">
        <v>24</v>
      </c>
      <c r="H747" t="s">
        <v>95</v>
      </c>
      <c r="I747" t="s">
        <v>95</v>
      </c>
      <c r="J747" t="s">
        <v>21</v>
      </c>
      <c r="K747" t="s">
        <v>26</v>
      </c>
      <c r="L747" s="1">
        <v>46113</v>
      </c>
      <c r="M747" s="1">
        <v>46142</v>
      </c>
      <c r="N747" t="s">
        <v>27</v>
      </c>
      <c r="O747" t="s">
        <v>28</v>
      </c>
      <c r="Q747" t="s">
        <v>29</v>
      </c>
      <c r="R747" t="s">
        <v>91</v>
      </c>
      <c r="S747" t="s">
        <v>91</v>
      </c>
      <c r="T747" s="2">
        <v>0</v>
      </c>
    </row>
    <row r="748" spans="1:20" x14ac:dyDescent="0.3">
      <c r="A748">
        <v>37395</v>
      </c>
      <c r="B748" t="s">
        <v>21</v>
      </c>
      <c r="C748" t="s">
        <v>97</v>
      </c>
      <c r="D748" t="s">
        <v>98</v>
      </c>
      <c r="E748">
        <v>7868</v>
      </c>
      <c r="F748" t="s">
        <v>24</v>
      </c>
      <c r="H748" t="s">
        <v>99</v>
      </c>
      <c r="I748" t="s">
        <v>99</v>
      </c>
      <c r="J748" t="s">
        <v>21</v>
      </c>
      <c r="K748" t="s">
        <v>26</v>
      </c>
      <c r="L748" s="1">
        <v>46113</v>
      </c>
      <c r="M748" s="1">
        <v>46142</v>
      </c>
      <c r="N748" t="s">
        <v>27</v>
      </c>
      <c r="O748" t="s">
        <v>28</v>
      </c>
      <c r="Q748" t="s">
        <v>29</v>
      </c>
      <c r="R748" t="s">
        <v>92</v>
      </c>
      <c r="S748" t="s">
        <v>92</v>
      </c>
      <c r="T748" s="2">
        <v>1</v>
      </c>
    </row>
    <row r="749" spans="1:20" x14ac:dyDescent="0.3">
      <c r="A749">
        <v>37395</v>
      </c>
      <c r="B749" t="s">
        <v>21</v>
      </c>
      <c r="C749" t="s">
        <v>97</v>
      </c>
      <c r="D749" t="s">
        <v>98</v>
      </c>
      <c r="E749">
        <v>7868</v>
      </c>
      <c r="F749" t="s">
        <v>24</v>
      </c>
      <c r="H749" t="s">
        <v>99</v>
      </c>
      <c r="I749" t="s">
        <v>99</v>
      </c>
      <c r="J749" t="s">
        <v>21</v>
      </c>
      <c r="K749" t="s">
        <v>26</v>
      </c>
      <c r="L749" s="1">
        <v>46113</v>
      </c>
      <c r="M749" s="1">
        <v>46142</v>
      </c>
      <c r="N749" t="s">
        <v>27</v>
      </c>
      <c r="O749" t="s">
        <v>28</v>
      </c>
      <c r="Q749" t="s">
        <v>29</v>
      </c>
      <c r="R749" t="s">
        <v>96</v>
      </c>
      <c r="S749" t="s">
        <v>96</v>
      </c>
      <c r="T749" s="2">
        <v>0</v>
      </c>
    </row>
    <row r="750" spans="1:20" x14ac:dyDescent="0.3">
      <c r="A750">
        <v>37395</v>
      </c>
      <c r="B750" t="s">
        <v>21</v>
      </c>
      <c r="C750" t="s">
        <v>5382</v>
      </c>
      <c r="D750" t="s">
        <v>5383</v>
      </c>
      <c r="E750">
        <v>7868</v>
      </c>
      <c r="F750" t="s">
        <v>24</v>
      </c>
      <c r="H750" t="s">
        <v>6649</v>
      </c>
      <c r="I750" t="s">
        <v>6649</v>
      </c>
      <c r="J750" t="s">
        <v>21</v>
      </c>
      <c r="K750" t="s">
        <v>26</v>
      </c>
      <c r="L750" s="1">
        <v>46113</v>
      </c>
      <c r="M750" s="1">
        <v>46142</v>
      </c>
      <c r="N750" t="s">
        <v>27</v>
      </c>
      <c r="O750" t="s">
        <v>28</v>
      </c>
      <c r="Q750" t="s">
        <v>29</v>
      </c>
      <c r="R750" t="s">
        <v>100</v>
      </c>
      <c r="S750" t="s">
        <v>100</v>
      </c>
      <c r="T750" s="2">
        <v>0</v>
      </c>
    </row>
    <row r="751" spans="1:20" x14ac:dyDescent="0.3">
      <c r="A751">
        <v>37395</v>
      </c>
      <c r="B751" t="s">
        <v>21</v>
      </c>
      <c r="C751" t="s">
        <v>102</v>
      </c>
      <c r="D751" t="s">
        <v>103</v>
      </c>
      <c r="E751">
        <v>7868</v>
      </c>
      <c r="F751" t="s">
        <v>24</v>
      </c>
      <c r="H751" t="s">
        <v>104</v>
      </c>
      <c r="I751" t="s">
        <v>104</v>
      </c>
      <c r="J751" t="s">
        <v>21</v>
      </c>
      <c r="K751" t="s">
        <v>26</v>
      </c>
      <c r="L751" s="1">
        <v>46113</v>
      </c>
      <c r="M751" s="1">
        <v>46142</v>
      </c>
      <c r="N751" t="s">
        <v>27</v>
      </c>
      <c r="O751" t="s">
        <v>28</v>
      </c>
      <c r="Q751" t="s">
        <v>29</v>
      </c>
      <c r="R751" t="s">
        <v>101</v>
      </c>
      <c r="S751" t="s">
        <v>101</v>
      </c>
      <c r="T751" s="2">
        <v>18.100000000000001</v>
      </c>
    </row>
    <row r="752" spans="1:20" x14ac:dyDescent="0.3">
      <c r="A752">
        <v>37395</v>
      </c>
      <c r="B752" t="s">
        <v>21</v>
      </c>
      <c r="C752" t="s">
        <v>106</v>
      </c>
      <c r="D752" t="s">
        <v>107</v>
      </c>
      <c r="E752">
        <v>7868</v>
      </c>
      <c r="F752" t="s">
        <v>24</v>
      </c>
      <c r="H752" t="s">
        <v>108</v>
      </c>
      <c r="I752" t="s">
        <v>108</v>
      </c>
      <c r="J752" t="s">
        <v>21</v>
      </c>
      <c r="K752" t="s">
        <v>26</v>
      </c>
      <c r="L752" s="1">
        <v>46113</v>
      </c>
      <c r="M752" s="1">
        <v>46142</v>
      </c>
      <c r="N752" t="s">
        <v>27</v>
      </c>
      <c r="O752" t="s">
        <v>28</v>
      </c>
      <c r="Q752" t="s">
        <v>29</v>
      </c>
      <c r="R752" t="s">
        <v>105</v>
      </c>
      <c r="S752" t="s">
        <v>105</v>
      </c>
      <c r="T752" s="2">
        <v>24.8</v>
      </c>
    </row>
    <row r="753" spans="1:20" x14ac:dyDescent="0.3">
      <c r="A753">
        <v>37395</v>
      </c>
      <c r="B753" t="s">
        <v>21</v>
      </c>
      <c r="C753" t="s">
        <v>106</v>
      </c>
      <c r="D753" t="s">
        <v>107</v>
      </c>
      <c r="E753">
        <v>7868</v>
      </c>
      <c r="F753" t="s">
        <v>24</v>
      </c>
      <c r="H753" t="s">
        <v>108</v>
      </c>
      <c r="I753" t="s">
        <v>108</v>
      </c>
      <c r="J753" t="s">
        <v>21</v>
      </c>
      <c r="K753" t="s">
        <v>26</v>
      </c>
      <c r="L753" s="1">
        <v>46113</v>
      </c>
      <c r="M753" s="1">
        <v>46142</v>
      </c>
      <c r="N753" t="s">
        <v>27</v>
      </c>
      <c r="O753" t="s">
        <v>28</v>
      </c>
      <c r="Q753" t="s">
        <v>29</v>
      </c>
      <c r="R753" t="s">
        <v>109</v>
      </c>
      <c r="S753" t="s">
        <v>109</v>
      </c>
      <c r="T753" s="2">
        <v>0.6</v>
      </c>
    </row>
    <row r="754" spans="1:20" x14ac:dyDescent="0.3">
      <c r="A754">
        <v>37395</v>
      </c>
      <c r="B754" t="s">
        <v>21</v>
      </c>
      <c r="C754" t="s">
        <v>106</v>
      </c>
      <c r="D754" t="s">
        <v>107</v>
      </c>
      <c r="E754">
        <v>7868</v>
      </c>
      <c r="F754" t="s">
        <v>24</v>
      </c>
      <c r="H754" t="s">
        <v>108</v>
      </c>
      <c r="I754" t="s">
        <v>108</v>
      </c>
      <c r="J754" t="s">
        <v>21</v>
      </c>
      <c r="K754" t="s">
        <v>26</v>
      </c>
      <c r="L754" s="1">
        <v>46113</v>
      </c>
      <c r="M754" s="1">
        <v>46142</v>
      </c>
      <c r="N754" t="s">
        <v>27</v>
      </c>
      <c r="O754" t="s">
        <v>28</v>
      </c>
      <c r="Q754" t="s">
        <v>29</v>
      </c>
      <c r="R754" t="s">
        <v>110</v>
      </c>
      <c r="S754" t="s">
        <v>110</v>
      </c>
      <c r="T754" s="2">
        <v>2.2999999999999998</v>
      </c>
    </row>
    <row r="755" spans="1:20" x14ac:dyDescent="0.3">
      <c r="A755">
        <v>37395</v>
      </c>
      <c r="B755" t="s">
        <v>21</v>
      </c>
      <c r="C755" t="s">
        <v>106</v>
      </c>
      <c r="D755" t="s">
        <v>107</v>
      </c>
      <c r="E755">
        <v>7868</v>
      </c>
      <c r="F755" t="s">
        <v>24</v>
      </c>
      <c r="H755" t="s">
        <v>108</v>
      </c>
      <c r="I755" t="s">
        <v>108</v>
      </c>
      <c r="J755" t="s">
        <v>21</v>
      </c>
      <c r="K755" t="s">
        <v>26</v>
      </c>
      <c r="L755" s="1">
        <v>46113</v>
      </c>
      <c r="M755" s="1">
        <v>46142</v>
      </c>
      <c r="N755" t="s">
        <v>27</v>
      </c>
      <c r="O755" t="s">
        <v>28</v>
      </c>
      <c r="Q755" t="s">
        <v>29</v>
      </c>
      <c r="R755" t="s">
        <v>111</v>
      </c>
      <c r="S755" t="s">
        <v>111</v>
      </c>
      <c r="T755" s="2">
        <v>4</v>
      </c>
    </row>
    <row r="756" spans="1:20" x14ac:dyDescent="0.3">
      <c r="A756">
        <v>37395</v>
      </c>
      <c r="B756" t="s">
        <v>21</v>
      </c>
      <c r="C756" t="s">
        <v>106</v>
      </c>
      <c r="D756" t="s">
        <v>107</v>
      </c>
      <c r="E756">
        <v>7868</v>
      </c>
      <c r="F756" t="s">
        <v>24</v>
      </c>
      <c r="H756" t="s">
        <v>108</v>
      </c>
      <c r="I756" t="s">
        <v>108</v>
      </c>
      <c r="J756" t="s">
        <v>21</v>
      </c>
      <c r="K756" t="s">
        <v>26</v>
      </c>
      <c r="L756" s="1">
        <v>46113</v>
      </c>
      <c r="M756" s="1">
        <v>46142</v>
      </c>
      <c r="N756" t="s">
        <v>27</v>
      </c>
      <c r="O756" t="s">
        <v>28</v>
      </c>
      <c r="Q756" t="s">
        <v>29</v>
      </c>
      <c r="R756" t="s">
        <v>112</v>
      </c>
      <c r="S756" t="s">
        <v>112</v>
      </c>
      <c r="T756" s="2">
        <v>0.8</v>
      </c>
    </row>
    <row r="757" spans="1:20" x14ac:dyDescent="0.3">
      <c r="A757">
        <v>37395</v>
      </c>
      <c r="B757" t="s">
        <v>21</v>
      </c>
      <c r="C757" t="s">
        <v>106</v>
      </c>
      <c r="D757" t="s">
        <v>107</v>
      </c>
      <c r="E757">
        <v>7868</v>
      </c>
      <c r="F757" t="s">
        <v>24</v>
      </c>
      <c r="H757" t="s">
        <v>108</v>
      </c>
      <c r="I757" t="s">
        <v>108</v>
      </c>
      <c r="J757" t="s">
        <v>21</v>
      </c>
      <c r="K757" t="s">
        <v>26</v>
      </c>
      <c r="L757" s="1">
        <v>46113</v>
      </c>
      <c r="M757" s="1">
        <v>46142</v>
      </c>
      <c r="N757" t="s">
        <v>27</v>
      </c>
      <c r="O757" t="s">
        <v>28</v>
      </c>
      <c r="Q757" t="s">
        <v>29</v>
      </c>
      <c r="R757" t="s">
        <v>113</v>
      </c>
      <c r="S757" t="s">
        <v>113</v>
      </c>
      <c r="T757" s="2">
        <v>0</v>
      </c>
    </row>
    <row r="758" spans="1:20" x14ac:dyDescent="0.3">
      <c r="A758">
        <v>37395</v>
      </c>
      <c r="B758" t="s">
        <v>21</v>
      </c>
      <c r="C758" t="s">
        <v>106</v>
      </c>
      <c r="D758" t="s">
        <v>107</v>
      </c>
      <c r="E758">
        <v>7868</v>
      </c>
      <c r="F758" t="s">
        <v>24</v>
      </c>
      <c r="H758" t="s">
        <v>108</v>
      </c>
      <c r="I758" t="s">
        <v>108</v>
      </c>
      <c r="J758" t="s">
        <v>21</v>
      </c>
      <c r="K758" t="s">
        <v>26</v>
      </c>
      <c r="L758" s="1">
        <v>46113</v>
      </c>
      <c r="M758" s="1">
        <v>46142</v>
      </c>
      <c r="N758" t="s">
        <v>27</v>
      </c>
      <c r="O758" t="s">
        <v>28</v>
      </c>
      <c r="Q758" t="s">
        <v>29</v>
      </c>
      <c r="R758" t="s">
        <v>114</v>
      </c>
      <c r="S758" t="s">
        <v>114</v>
      </c>
      <c r="T758" s="2">
        <v>0.3</v>
      </c>
    </row>
    <row r="759" spans="1:20" x14ac:dyDescent="0.3">
      <c r="A759">
        <v>37395</v>
      </c>
      <c r="B759" t="s">
        <v>21</v>
      </c>
      <c r="C759" t="s">
        <v>116</v>
      </c>
      <c r="D759" t="s">
        <v>117</v>
      </c>
      <c r="E759">
        <v>7868</v>
      </c>
      <c r="F759" t="s">
        <v>24</v>
      </c>
      <c r="H759" t="s">
        <v>118</v>
      </c>
      <c r="I759" t="s">
        <v>118</v>
      </c>
      <c r="J759" t="s">
        <v>21</v>
      </c>
      <c r="K759" t="s">
        <v>26</v>
      </c>
      <c r="L759" s="1">
        <v>46113</v>
      </c>
      <c r="M759" s="1">
        <v>46142</v>
      </c>
      <c r="N759" t="s">
        <v>27</v>
      </c>
      <c r="O759" t="s">
        <v>28</v>
      </c>
      <c r="Q759" t="s">
        <v>29</v>
      </c>
      <c r="R759" t="s">
        <v>115</v>
      </c>
      <c r="S759" t="s">
        <v>115</v>
      </c>
      <c r="T759" s="2">
        <v>0</v>
      </c>
    </row>
    <row r="760" spans="1:20" x14ac:dyDescent="0.3">
      <c r="A760">
        <v>37395</v>
      </c>
      <c r="B760" t="s">
        <v>21</v>
      </c>
      <c r="C760" t="s">
        <v>116</v>
      </c>
      <c r="D760" t="s">
        <v>117</v>
      </c>
      <c r="E760">
        <v>7868</v>
      </c>
      <c r="F760" t="s">
        <v>24</v>
      </c>
      <c r="H760" t="s">
        <v>118</v>
      </c>
      <c r="I760" t="s">
        <v>118</v>
      </c>
      <c r="J760" t="s">
        <v>21</v>
      </c>
      <c r="K760" t="s">
        <v>26</v>
      </c>
      <c r="L760" s="1">
        <v>46113</v>
      </c>
      <c r="M760" s="1">
        <v>46142</v>
      </c>
      <c r="N760" t="s">
        <v>27</v>
      </c>
      <c r="O760" t="s">
        <v>28</v>
      </c>
      <c r="Q760" t="s">
        <v>29</v>
      </c>
      <c r="R760" t="s">
        <v>119</v>
      </c>
      <c r="S760" t="s">
        <v>119</v>
      </c>
      <c r="T760" s="2">
        <v>1.2</v>
      </c>
    </row>
    <row r="761" spans="1:20" x14ac:dyDescent="0.3">
      <c r="A761">
        <v>37395</v>
      </c>
      <c r="B761" t="s">
        <v>21</v>
      </c>
      <c r="C761" t="s">
        <v>116</v>
      </c>
      <c r="D761" t="s">
        <v>117</v>
      </c>
      <c r="E761">
        <v>7868</v>
      </c>
      <c r="F761" t="s">
        <v>24</v>
      </c>
      <c r="H761" t="s">
        <v>118</v>
      </c>
      <c r="I761" t="s">
        <v>118</v>
      </c>
      <c r="J761" t="s">
        <v>21</v>
      </c>
      <c r="K761" t="s">
        <v>26</v>
      </c>
      <c r="L761" s="1">
        <v>46113</v>
      </c>
      <c r="M761" s="1">
        <v>46142</v>
      </c>
      <c r="N761" t="s">
        <v>27</v>
      </c>
      <c r="O761" t="s">
        <v>28</v>
      </c>
      <c r="Q761" t="s">
        <v>29</v>
      </c>
      <c r="R761" t="s">
        <v>120</v>
      </c>
      <c r="S761" t="s">
        <v>120</v>
      </c>
      <c r="T761" s="2">
        <v>0</v>
      </c>
    </row>
    <row r="762" spans="1:20" x14ac:dyDescent="0.3">
      <c r="A762">
        <v>37395</v>
      </c>
      <c r="B762" t="s">
        <v>21</v>
      </c>
      <c r="C762" t="s">
        <v>122</v>
      </c>
      <c r="D762" t="s">
        <v>123</v>
      </c>
      <c r="E762">
        <v>7868</v>
      </c>
      <c r="F762" t="s">
        <v>24</v>
      </c>
      <c r="H762" t="s">
        <v>124</v>
      </c>
      <c r="I762" t="s">
        <v>124</v>
      </c>
      <c r="J762" t="s">
        <v>21</v>
      </c>
      <c r="K762" t="s">
        <v>26</v>
      </c>
      <c r="L762" s="1">
        <v>46113</v>
      </c>
      <c r="M762" s="1">
        <v>46142</v>
      </c>
      <c r="N762" t="s">
        <v>27</v>
      </c>
      <c r="O762" t="s">
        <v>28</v>
      </c>
      <c r="Q762" t="s">
        <v>29</v>
      </c>
      <c r="R762" t="s">
        <v>121</v>
      </c>
      <c r="S762" t="s">
        <v>121</v>
      </c>
      <c r="T762" s="2">
        <v>8.8000000000000007</v>
      </c>
    </row>
    <row r="763" spans="1:20" x14ac:dyDescent="0.3">
      <c r="A763">
        <v>37395</v>
      </c>
      <c r="B763" t="s">
        <v>21</v>
      </c>
      <c r="C763" t="s">
        <v>122</v>
      </c>
      <c r="D763" t="s">
        <v>123</v>
      </c>
      <c r="E763">
        <v>7868</v>
      </c>
      <c r="F763" t="s">
        <v>24</v>
      </c>
      <c r="H763" t="s">
        <v>124</v>
      </c>
      <c r="I763" t="s">
        <v>124</v>
      </c>
      <c r="J763" t="s">
        <v>21</v>
      </c>
      <c r="K763" t="s">
        <v>26</v>
      </c>
      <c r="L763" s="1">
        <v>46113</v>
      </c>
      <c r="M763" s="1">
        <v>46142</v>
      </c>
      <c r="N763" t="s">
        <v>27</v>
      </c>
      <c r="O763" t="s">
        <v>28</v>
      </c>
      <c r="Q763" t="s">
        <v>29</v>
      </c>
      <c r="R763" t="s">
        <v>125</v>
      </c>
      <c r="S763" t="s">
        <v>125</v>
      </c>
      <c r="T763" s="2">
        <v>22</v>
      </c>
    </row>
    <row r="764" spans="1:20" x14ac:dyDescent="0.3">
      <c r="A764">
        <v>37395</v>
      </c>
      <c r="B764" t="s">
        <v>21</v>
      </c>
      <c r="C764" t="s">
        <v>122</v>
      </c>
      <c r="D764" t="s">
        <v>123</v>
      </c>
      <c r="E764">
        <v>7868</v>
      </c>
      <c r="F764" t="s">
        <v>24</v>
      </c>
      <c r="H764" t="s">
        <v>124</v>
      </c>
      <c r="I764" t="s">
        <v>124</v>
      </c>
      <c r="J764" t="s">
        <v>21</v>
      </c>
      <c r="K764" t="s">
        <v>26</v>
      </c>
      <c r="L764" s="1">
        <v>46113</v>
      </c>
      <c r="M764" s="1">
        <v>46142</v>
      </c>
      <c r="N764" t="s">
        <v>27</v>
      </c>
      <c r="O764" t="s">
        <v>28</v>
      </c>
      <c r="Q764" t="s">
        <v>29</v>
      </c>
      <c r="R764" t="s">
        <v>126</v>
      </c>
      <c r="S764" t="s">
        <v>126</v>
      </c>
      <c r="T764" s="2">
        <v>0</v>
      </c>
    </row>
    <row r="765" spans="1:20" x14ac:dyDescent="0.3">
      <c r="A765">
        <v>37395</v>
      </c>
      <c r="B765" t="s">
        <v>21</v>
      </c>
      <c r="C765" t="s">
        <v>122</v>
      </c>
      <c r="D765" t="s">
        <v>123</v>
      </c>
      <c r="E765">
        <v>7868</v>
      </c>
      <c r="F765" t="s">
        <v>24</v>
      </c>
      <c r="H765" t="s">
        <v>124</v>
      </c>
      <c r="I765" t="s">
        <v>124</v>
      </c>
      <c r="J765" t="s">
        <v>21</v>
      </c>
      <c r="K765" t="s">
        <v>26</v>
      </c>
      <c r="L765" s="1">
        <v>46113</v>
      </c>
      <c r="M765" s="1">
        <v>46142</v>
      </c>
      <c r="N765" t="s">
        <v>27</v>
      </c>
      <c r="O765" t="s">
        <v>28</v>
      </c>
      <c r="Q765" t="s">
        <v>29</v>
      </c>
      <c r="R765" t="s">
        <v>127</v>
      </c>
      <c r="S765" t="s">
        <v>127</v>
      </c>
      <c r="T765" s="2">
        <v>1.2</v>
      </c>
    </row>
    <row r="766" spans="1:20" x14ac:dyDescent="0.3">
      <c r="A766">
        <v>37395</v>
      </c>
      <c r="B766" t="s">
        <v>21</v>
      </c>
      <c r="C766" t="s">
        <v>122</v>
      </c>
      <c r="D766" t="s">
        <v>123</v>
      </c>
      <c r="E766">
        <v>7868</v>
      </c>
      <c r="F766" t="s">
        <v>24</v>
      </c>
      <c r="H766" t="s">
        <v>124</v>
      </c>
      <c r="I766" t="s">
        <v>124</v>
      </c>
      <c r="J766" t="s">
        <v>21</v>
      </c>
      <c r="K766" t="s">
        <v>26</v>
      </c>
      <c r="L766" s="1">
        <v>46113</v>
      </c>
      <c r="M766" s="1">
        <v>46142</v>
      </c>
      <c r="N766" t="s">
        <v>27</v>
      </c>
      <c r="O766" t="s">
        <v>28</v>
      </c>
      <c r="Q766" t="s">
        <v>29</v>
      </c>
      <c r="R766" t="s">
        <v>128</v>
      </c>
      <c r="S766" t="s">
        <v>128</v>
      </c>
      <c r="T766" s="2">
        <v>24.2</v>
      </c>
    </row>
    <row r="767" spans="1:20" x14ac:dyDescent="0.3">
      <c r="A767">
        <v>37395</v>
      </c>
      <c r="B767" t="s">
        <v>21</v>
      </c>
      <c r="C767" t="s">
        <v>122</v>
      </c>
      <c r="D767" t="s">
        <v>123</v>
      </c>
      <c r="E767">
        <v>7868</v>
      </c>
      <c r="F767" t="s">
        <v>24</v>
      </c>
      <c r="H767" t="s">
        <v>124</v>
      </c>
      <c r="I767" t="s">
        <v>124</v>
      </c>
      <c r="J767" t="s">
        <v>21</v>
      </c>
      <c r="K767" t="s">
        <v>26</v>
      </c>
      <c r="L767" s="1">
        <v>46113</v>
      </c>
      <c r="M767" s="1">
        <v>46142</v>
      </c>
      <c r="N767" t="s">
        <v>27</v>
      </c>
      <c r="O767" t="s">
        <v>28</v>
      </c>
      <c r="Q767" t="s">
        <v>29</v>
      </c>
      <c r="R767" t="s">
        <v>129</v>
      </c>
      <c r="S767" t="s">
        <v>129</v>
      </c>
      <c r="T767" s="2">
        <v>10.9</v>
      </c>
    </row>
    <row r="768" spans="1:20" x14ac:dyDescent="0.3">
      <c r="A768">
        <v>37395</v>
      </c>
      <c r="B768" t="s">
        <v>21</v>
      </c>
      <c r="C768" t="s">
        <v>122</v>
      </c>
      <c r="D768" t="s">
        <v>123</v>
      </c>
      <c r="E768">
        <v>7868</v>
      </c>
      <c r="F768" t="s">
        <v>24</v>
      </c>
      <c r="H768" t="s">
        <v>124</v>
      </c>
      <c r="I768" t="s">
        <v>124</v>
      </c>
      <c r="J768" t="s">
        <v>21</v>
      </c>
      <c r="K768" t="s">
        <v>26</v>
      </c>
      <c r="L768" s="1">
        <v>46113</v>
      </c>
      <c r="M768" s="1">
        <v>46142</v>
      </c>
      <c r="N768" t="s">
        <v>27</v>
      </c>
      <c r="O768" t="s">
        <v>28</v>
      </c>
      <c r="Q768" t="s">
        <v>29</v>
      </c>
      <c r="R768" t="s">
        <v>130</v>
      </c>
      <c r="S768" t="s">
        <v>130</v>
      </c>
      <c r="T768" s="2">
        <v>0</v>
      </c>
    </row>
    <row r="769" spans="1:20" x14ac:dyDescent="0.3">
      <c r="A769">
        <v>37395</v>
      </c>
      <c r="B769" t="s">
        <v>21</v>
      </c>
      <c r="C769" t="s">
        <v>132</v>
      </c>
      <c r="D769" t="s">
        <v>133</v>
      </c>
      <c r="E769">
        <v>7868</v>
      </c>
      <c r="F769" t="s">
        <v>24</v>
      </c>
      <c r="H769" t="s">
        <v>134</v>
      </c>
      <c r="I769" t="s">
        <v>134</v>
      </c>
      <c r="J769" t="s">
        <v>21</v>
      </c>
      <c r="K769" t="s">
        <v>26</v>
      </c>
      <c r="L769" s="1">
        <v>46113</v>
      </c>
      <c r="M769" s="1">
        <v>46142</v>
      </c>
      <c r="N769" t="s">
        <v>27</v>
      </c>
      <c r="O769" t="s">
        <v>28</v>
      </c>
      <c r="Q769" t="s">
        <v>29</v>
      </c>
      <c r="R769" t="s">
        <v>131</v>
      </c>
      <c r="S769" t="s">
        <v>131</v>
      </c>
      <c r="T769" s="2">
        <v>10.4</v>
      </c>
    </row>
    <row r="770" spans="1:20" x14ac:dyDescent="0.3">
      <c r="A770">
        <v>37395</v>
      </c>
      <c r="B770" t="s">
        <v>21</v>
      </c>
      <c r="C770" t="s">
        <v>132</v>
      </c>
      <c r="D770" t="s">
        <v>133</v>
      </c>
      <c r="E770">
        <v>7868</v>
      </c>
      <c r="F770" t="s">
        <v>24</v>
      </c>
      <c r="H770" t="s">
        <v>134</v>
      </c>
      <c r="I770" t="s">
        <v>134</v>
      </c>
      <c r="J770" t="s">
        <v>21</v>
      </c>
      <c r="K770" t="s">
        <v>26</v>
      </c>
      <c r="L770" s="1">
        <v>46113</v>
      </c>
      <c r="M770" s="1">
        <v>46142</v>
      </c>
      <c r="N770" t="s">
        <v>27</v>
      </c>
      <c r="O770" t="s">
        <v>28</v>
      </c>
      <c r="Q770" t="s">
        <v>29</v>
      </c>
      <c r="R770" t="s">
        <v>135</v>
      </c>
      <c r="S770" t="s">
        <v>135</v>
      </c>
      <c r="T770" s="2">
        <v>3.4</v>
      </c>
    </row>
    <row r="771" spans="1:20" x14ac:dyDescent="0.3">
      <c r="A771">
        <v>37395</v>
      </c>
      <c r="B771" t="s">
        <v>21</v>
      </c>
      <c r="C771" t="s">
        <v>132</v>
      </c>
      <c r="D771" t="s">
        <v>133</v>
      </c>
      <c r="E771">
        <v>7868</v>
      </c>
      <c r="F771" t="s">
        <v>24</v>
      </c>
      <c r="H771" t="s">
        <v>134</v>
      </c>
      <c r="I771" t="s">
        <v>134</v>
      </c>
      <c r="J771" t="s">
        <v>21</v>
      </c>
      <c r="K771" t="s">
        <v>26</v>
      </c>
      <c r="L771" s="1">
        <v>46113</v>
      </c>
      <c r="M771" s="1">
        <v>46142</v>
      </c>
      <c r="N771" t="s">
        <v>27</v>
      </c>
      <c r="O771" t="s">
        <v>28</v>
      </c>
      <c r="Q771" t="s">
        <v>29</v>
      </c>
      <c r="R771" t="s">
        <v>136</v>
      </c>
      <c r="S771" t="s">
        <v>136</v>
      </c>
      <c r="T771" s="2">
        <v>29.7</v>
      </c>
    </row>
    <row r="772" spans="1:20" x14ac:dyDescent="0.3">
      <c r="A772">
        <v>37395</v>
      </c>
      <c r="B772" t="s">
        <v>21</v>
      </c>
      <c r="C772" t="s">
        <v>132</v>
      </c>
      <c r="D772" t="s">
        <v>133</v>
      </c>
      <c r="E772">
        <v>7868</v>
      </c>
      <c r="F772" t="s">
        <v>24</v>
      </c>
      <c r="H772" t="s">
        <v>134</v>
      </c>
      <c r="I772" t="s">
        <v>134</v>
      </c>
      <c r="J772" t="s">
        <v>21</v>
      </c>
      <c r="K772" t="s">
        <v>26</v>
      </c>
      <c r="L772" s="1">
        <v>46113</v>
      </c>
      <c r="M772" s="1">
        <v>46142</v>
      </c>
      <c r="N772" t="s">
        <v>27</v>
      </c>
      <c r="O772" t="s">
        <v>28</v>
      </c>
      <c r="Q772" t="s">
        <v>29</v>
      </c>
      <c r="R772" t="s">
        <v>137</v>
      </c>
      <c r="S772" t="s">
        <v>137</v>
      </c>
      <c r="T772" s="2">
        <v>0</v>
      </c>
    </row>
    <row r="773" spans="1:20" x14ac:dyDescent="0.3">
      <c r="A773">
        <v>37395</v>
      </c>
      <c r="B773" t="s">
        <v>21</v>
      </c>
      <c r="C773" t="s">
        <v>139</v>
      </c>
      <c r="D773" t="s">
        <v>140</v>
      </c>
      <c r="E773">
        <v>7868</v>
      </c>
      <c r="F773" t="s">
        <v>24</v>
      </c>
      <c r="H773" t="s">
        <v>141</v>
      </c>
      <c r="I773" t="s">
        <v>141</v>
      </c>
      <c r="J773" t="s">
        <v>21</v>
      </c>
      <c r="K773" t="s">
        <v>26</v>
      </c>
      <c r="L773" s="1">
        <v>46113</v>
      </c>
      <c r="M773" s="1">
        <v>46142</v>
      </c>
      <c r="N773" t="s">
        <v>27</v>
      </c>
      <c r="O773" t="s">
        <v>28</v>
      </c>
      <c r="Q773" t="s">
        <v>29</v>
      </c>
      <c r="R773" t="s">
        <v>138</v>
      </c>
      <c r="S773" t="s">
        <v>138</v>
      </c>
      <c r="T773" s="2">
        <v>0</v>
      </c>
    </row>
    <row r="774" spans="1:20" x14ac:dyDescent="0.3">
      <c r="A774">
        <v>37395</v>
      </c>
      <c r="B774" t="s">
        <v>21</v>
      </c>
      <c r="C774" t="s">
        <v>139</v>
      </c>
      <c r="D774" t="s">
        <v>140</v>
      </c>
      <c r="E774">
        <v>7868</v>
      </c>
      <c r="F774" t="s">
        <v>24</v>
      </c>
      <c r="H774" t="s">
        <v>141</v>
      </c>
      <c r="I774" t="s">
        <v>141</v>
      </c>
      <c r="J774" t="s">
        <v>21</v>
      </c>
      <c r="K774" t="s">
        <v>26</v>
      </c>
      <c r="L774" s="1">
        <v>46113</v>
      </c>
      <c r="M774" s="1">
        <v>46142</v>
      </c>
      <c r="N774" t="s">
        <v>27</v>
      </c>
      <c r="O774" t="s">
        <v>28</v>
      </c>
      <c r="Q774" t="s">
        <v>29</v>
      </c>
      <c r="R774" t="s">
        <v>142</v>
      </c>
      <c r="S774" t="s">
        <v>142</v>
      </c>
      <c r="T774" s="2">
        <v>0</v>
      </c>
    </row>
    <row r="775" spans="1:20" x14ac:dyDescent="0.3">
      <c r="A775">
        <v>37395</v>
      </c>
      <c r="B775" t="s">
        <v>21</v>
      </c>
      <c r="C775" t="s">
        <v>143</v>
      </c>
      <c r="D775" t="s">
        <v>144</v>
      </c>
      <c r="E775">
        <v>7868</v>
      </c>
      <c r="F775" t="s">
        <v>24</v>
      </c>
      <c r="H775" t="s">
        <v>145</v>
      </c>
      <c r="I775" t="s">
        <v>145</v>
      </c>
      <c r="J775" t="s">
        <v>21</v>
      </c>
      <c r="K775" t="s">
        <v>26</v>
      </c>
      <c r="L775" s="1">
        <v>46113</v>
      </c>
      <c r="M775" s="1">
        <v>46142</v>
      </c>
      <c r="N775" t="s">
        <v>27</v>
      </c>
      <c r="O775" t="s">
        <v>28</v>
      </c>
      <c r="Q775" t="s">
        <v>29</v>
      </c>
      <c r="R775" t="s">
        <v>146</v>
      </c>
      <c r="S775" t="s">
        <v>146</v>
      </c>
      <c r="T775" s="2">
        <v>88.5</v>
      </c>
    </row>
    <row r="776" spans="1:20" x14ac:dyDescent="0.3">
      <c r="A776">
        <v>37395</v>
      </c>
      <c r="B776" t="s">
        <v>21</v>
      </c>
      <c r="C776" t="s">
        <v>143</v>
      </c>
      <c r="D776" t="s">
        <v>144</v>
      </c>
      <c r="E776">
        <v>7868</v>
      </c>
      <c r="F776" t="s">
        <v>24</v>
      </c>
      <c r="H776" t="s">
        <v>145</v>
      </c>
      <c r="I776" t="s">
        <v>145</v>
      </c>
      <c r="J776" t="s">
        <v>21</v>
      </c>
      <c r="K776" t="s">
        <v>26</v>
      </c>
      <c r="L776" s="1">
        <v>46113</v>
      </c>
      <c r="M776" s="1">
        <v>46142</v>
      </c>
      <c r="N776" t="s">
        <v>27</v>
      </c>
      <c r="O776" t="s">
        <v>28</v>
      </c>
      <c r="Q776" t="s">
        <v>29</v>
      </c>
      <c r="R776" t="s">
        <v>147</v>
      </c>
      <c r="S776" t="s">
        <v>147</v>
      </c>
      <c r="T776" s="2">
        <v>18</v>
      </c>
    </row>
    <row r="777" spans="1:20" x14ac:dyDescent="0.3">
      <c r="A777">
        <v>37395</v>
      </c>
      <c r="B777" t="s">
        <v>21</v>
      </c>
      <c r="C777" t="s">
        <v>148</v>
      </c>
      <c r="D777" t="s">
        <v>149</v>
      </c>
      <c r="E777">
        <v>7868</v>
      </c>
      <c r="F777" t="s">
        <v>24</v>
      </c>
      <c r="H777" t="s">
        <v>150</v>
      </c>
      <c r="I777" t="s">
        <v>150</v>
      </c>
      <c r="J777" t="s">
        <v>21</v>
      </c>
      <c r="K777" t="s">
        <v>26</v>
      </c>
      <c r="L777" s="1">
        <v>46113</v>
      </c>
      <c r="M777" s="1">
        <v>46142</v>
      </c>
      <c r="N777" t="s">
        <v>27</v>
      </c>
      <c r="O777" t="s">
        <v>28</v>
      </c>
      <c r="Q777" t="s">
        <v>29</v>
      </c>
      <c r="R777" t="s">
        <v>151</v>
      </c>
      <c r="S777" t="s">
        <v>151</v>
      </c>
      <c r="T777" s="2">
        <v>6.8</v>
      </c>
    </row>
    <row r="778" spans="1:20" x14ac:dyDescent="0.3">
      <c r="A778">
        <v>37395</v>
      </c>
      <c r="B778" t="s">
        <v>21</v>
      </c>
      <c r="C778" t="s">
        <v>148</v>
      </c>
      <c r="D778" t="s">
        <v>149</v>
      </c>
      <c r="E778">
        <v>7868</v>
      </c>
      <c r="F778" t="s">
        <v>24</v>
      </c>
      <c r="H778" t="s">
        <v>150</v>
      </c>
      <c r="I778" t="s">
        <v>150</v>
      </c>
      <c r="J778" t="s">
        <v>21</v>
      </c>
      <c r="K778" t="s">
        <v>26</v>
      </c>
      <c r="L778" s="1">
        <v>46113</v>
      </c>
      <c r="M778" s="1">
        <v>46142</v>
      </c>
      <c r="N778" t="s">
        <v>27</v>
      </c>
      <c r="O778" t="s">
        <v>28</v>
      </c>
      <c r="Q778" t="s">
        <v>29</v>
      </c>
      <c r="R778" t="s">
        <v>152</v>
      </c>
      <c r="S778" t="s">
        <v>152</v>
      </c>
      <c r="T778" s="2">
        <v>2.9</v>
      </c>
    </row>
    <row r="779" spans="1:20" x14ac:dyDescent="0.3">
      <c r="A779">
        <v>37395</v>
      </c>
      <c r="B779" t="s">
        <v>21</v>
      </c>
      <c r="C779" t="s">
        <v>148</v>
      </c>
      <c r="D779" t="s">
        <v>149</v>
      </c>
      <c r="E779">
        <v>7868</v>
      </c>
      <c r="F779" t="s">
        <v>24</v>
      </c>
      <c r="H779" t="s">
        <v>150</v>
      </c>
      <c r="I779" t="s">
        <v>150</v>
      </c>
      <c r="J779" t="s">
        <v>21</v>
      </c>
      <c r="K779" t="s">
        <v>26</v>
      </c>
      <c r="L779" s="1">
        <v>46113</v>
      </c>
      <c r="M779" s="1">
        <v>46142</v>
      </c>
      <c r="N779" t="s">
        <v>27</v>
      </c>
      <c r="O779" t="s">
        <v>28</v>
      </c>
      <c r="Q779" t="s">
        <v>29</v>
      </c>
      <c r="R779" t="s">
        <v>153</v>
      </c>
      <c r="S779" t="s">
        <v>153</v>
      </c>
      <c r="T779" s="2">
        <v>0</v>
      </c>
    </row>
    <row r="780" spans="1:20" x14ac:dyDescent="0.3">
      <c r="A780">
        <v>37395</v>
      </c>
      <c r="B780" t="s">
        <v>21</v>
      </c>
      <c r="C780" t="s">
        <v>154</v>
      </c>
      <c r="D780" t="s">
        <v>155</v>
      </c>
      <c r="E780">
        <v>7868</v>
      </c>
      <c r="F780" t="s">
        <v>24</v>
      </c>
      <c r="H780" t="s">
        <v>156</v>
      </c>
      <c r="I780" t="s">
        <v>156</v>
      </c>
      <c r="J780" t="s">
        <v>21</v>
      </c>
      <c r="K780" t="s">
        <v>26</v>
      </c>
      <c r="L780" s="1">
        <v>46113</v>
      </c>
      <c r="M780" s="1">
        <v>46142</v>
      </c>
      <c r="N780" t="s">
        <v>27</v>
      </c>
      <c r="O780" t="s">
        <v>28</v>
      </c>
      <c r="Q780" t="s">
        <v>29</v>
      </c>
      <c r="R780" t="s">
        <v>157</v>
      </c>
      <c r="S780" t="s">
        <v>157</v>
      </c>
      <c r="T780" s="2">
        <v>1.7</v>
      </c>
    </row>
    <row r="781" spans="1:20" x14ac:dyDescent="0.3">
      <c r="A781">
        <v>37395</v>
      </c>
      <c r="B781" t="s">
        <v>21</v>
      </c>
      <c r="C781" t="s">
        <v>158</v>
      </c>
      <c r="D781" t="s">
        <v>159</v>
      </c>
      <c r="E781">
        <v>7868</v>
      </c>
      <c r="F781" t="s">
        <v>24</v>
      </c>
      <c r="H781" t="s">
        <v>160</v>
      </c>
      <c r="I781" t="s">
        <v>160</v>
      </c>
      <c r="J781" t="s">
        <v>21</v>
      </c>
      <c r="K781" t="s">
        <v>26</v>
      </c>
      <c r="L781" s="1">
        <v>46113</v>
      </c>
      <c r="M781" s="1">
        <v>46142</v>
      </c>
      <c r="N781" t="s">
        <v>27</v>
      </c>
      <c r="O781" t="s">
        <v>28</v>
      </c>
      <c r="Q781" t="s">
        <v>29</v>
      </c>
      <c r="R781" t="s">
        <v>161</v>
      </c>
      <c r="S781" t="s">
        <v>161</v>
      </c>
      <c r="T781" s="2">
        <v>1.3</v>
      </c>
    </row>
    <row r="782" spans="1:20" x14ac:dyDescent="0.3">
      <c r="A782">
        <v>37395</v>
      </c>
      <c r="B782" t="s">
        <v>21</v>
      </c>
      <c r="C782" t="s">
        <v>162</v>
      </c>
      <c r="D782" t="s">
        <v>163</v>
      </c>
      <c r="E782">
        <v>7868</v>
      </c>
      <c r="F782" t="s">
        <v>24</v>
      </c>
      <c r="H782" t="s">
        <v>164</v>
      </c>
      <c r="I782" t="s">
        <v>164</v>
      </c>
      <c r="J782" t="s">
        <v>21</v>
      </c>
      <c r="K782" t="s">
        <v>26</v>
      </c>
      <c r="L782" s="1">
        <v>46113</v>
      </c>
      <c r="M782" s="1">
        <v>46142</v>
      </c>
      <c r="N782" t="s">
        <v>27</v>
      </c>
      <c r="O782" t="s">
        <v>28</v>
      </c>
      <c r="Q782" t="s">
        <v>29</v>
      </c>
      <c r="R782" t="s">
        <v>165</v>
      </c>
      <c r="S782" t="s">
        <v>165</v>
      </c>
      <c r="T782" s="2">
        <v>0</v>
      </c>
    </row>
    <row r="783" spans="1:20" x14ac:dyDescent="0.3">
      <c r="A783">
        <v>37395</v>
      </c>
      <c r="B783" t="s">
        <v>21</v>
      </c>
      <c r="C783" t="s">
        <v>166</v>
      </c>
      <c r="D783" t="s">
        <v>167</v>
      </c>
      <c r="E783">
        <v>7868</v>
      </c>
      <c r="F783" t="s">
        <v>24</v>
      </c>
      <c r="H783" t="s">
        <v>168</v>
      </c>
      <c r="I783" t="s">
        <v>168</v>
      </c>
      <c r="J783" t="s">
        <v>21</v>
      </c>
      <c r="K783" t="s">
        <v>26</v>
      </c>
      <c r="L783" s="1">
        <v>46113</v>
      </c>
      <c r="M783" s="1">
        <v>46142</v>
      </c>
      <c r="N783" t="s">
        <v>27</v>
      </c>
      <c r="O783" t="s">
        <v>28</v>
      </c>
      <c r="Q783" t="s">
        <v>29</v>
      </c>
      <c r="R783" t="s">
        <v>169</v>
      </c>
      <c r="S783" t="s">
        <v>169</v>
      </c>
      <c r="T783" s="2">
        <v>0</v>
      </c>
    </row>
    <row r="784" spans="1:20" x14ac:dyDescent="0.3">
      <c r="A784">
        <v>37395</v>
      </c>
      <c r="B784" t="s">
        <v>21</v>
      </c>
      <c r="C784" t="s">
        <v>166</v>
      </c>
      <c r="D784" t="s">
        <v>167</v>
      </c>
      <c r="E784">
        <v>7868</v>
      </c>
      <c r="F784" t="s">
        <v>24</v>
      </c>
      <c r="H784" t="s">
        <v>168</v>
      </c>
      <c r="I784" t="s">
        <v>168</v>
      </c>
      <c r="J784" t="s">
        <v>21</v>
      </c>
      <c r="K784" t="s">
        <v>26</v>
      </c>
      <c r="L784" s="1">
        <v>46113</v>
      </c>
      <c r="M784" s="1">
        <v>46142</v>
      </c>
      <c r="N784" t="s">
        <v>27</v>
      </c>
      <c r="O784" t="s">
        <v>28</v>
      </c>
      <c r="Q784" t="s">
        <v>29</v>
      </c>
      <c r="R784" t="s">
        <v>170</v>
      </c>
      <c r="S784" t="s">
        <v>170</v>
      </c>
      <c r="T784" s="2">
        <v>-0.8</v>
      </c>
    </row>
    <row r="785" spans="1:20" x14ac:dyDescent="0.3">
      <c r="A785">
        <v>37395</v>
      </c>
      <c r="B785" t="s">
        <v>21</v>
      </c>
      <c r="C785" t="s">
        <v>166</v>
      </c>
      <c r="D785" t="s">
        <v>167</v>
      </c>
      <c r="E785">
        <v>7868</v>
      </c>
      <c r="F785" t="s">
        <v>24</v>
      </c>
      <c r="H785" t="s">
        <v>168</v>
      </c>
      <c r="I785" t="s">
        <v>168</v>
      </c>
      <c r="J785" t="s">
        <v>21</v>
      </c>
      <c r="K785" t="s">
        <v>26</v>
      </c>
      <c r="L785" s="1">
        <v>46113</v>
      </c>
      <c r="M785" s="1">
        <v>46142</v>
      </c>
      <c r="N785" t="s">
        <v>27</v>
      </c>
      <c r="O785" t="s">
        <v>28</v>
      </c>
      <c r="Q785" t="s">
        <v>29</v>
      </c>
      <c r="R785" t="s">
        <v>171</v>
      </c>
      <c r="S785" t="s">
        <v>171</v>
      </c>
      <c r="T785" s="2">
        <v>1.7</v>
      </c>
    </row>
    <row r="786" spans="1:20" x14ac:dyDescent="0.3">
      <c r="A786">
        <v>37395</v>
      </c>
      <c r="B786" t="s">
        <v>21</v>
      </c>
      <c r="C786" t="s">
        <v>166</v>
      </c>
      <c r="D786" t="s">
        <v>167</v>
      </c>
      <c r="E786">
        <v>7868</v>
      </c>
      <c r="F786" t="s">
        <v>24</v>
      </c>
      <c r="H786" t="s">
        <v>168</v>
      </c>
      <c r="I786" t="s">
        <v>168</v>
      </c>
      <c r="J786" t="s">
        <v>21</v>
      </c>
      <c r="K786" t="s">
        <v>26</v>
      </c>
      <c r="L786" s="1">
        <v>46113</v>
      </c>
      <c r="M786" s="1">
        <v>46142</v>
      </c>
      <c r="N786" t="s">
        <v>27</v>
      </c>
      <c r="O786" t="s">
        <v>28</v>
      </c>
      <c r="Q786" t="s">
        <v>29</v>
      </c>
      <c r="R786" t="s">
        <v>172</v>
      </c>
      <c r="S786" t="s">
        <v>172</v>
      </c>
      <c r="T786" s="2">
        <v>0.4</v>
      </c>
    </row>
    <row r="787" spans="1:20" x14ac:dyDescent="0.3">
      <c r="A787">
        <v>37395</v>
      </c>
      <c r="B787" t="s">
        <v>21</v>
      </c>
      <c r="C787" t="s">
        <v>166</v>
      </c>
      <c r="D787" t="s">
        <v>167</v>
      </c>
      <c r="E787">
        <v>7868</v>
      </c>
      <c r="F787" t="s">
        <v>24</v>
      </c>
      <c r="H787" t="s">
        <v>168</v>
      </c>
      <c r="I787" t="s">
        <v>168</v>
      </c>
      <c r="J787" t="s">
        <v>21</v>
      </c>
      <c r="K787" t="s">
        <v>26</v>
      </c>
      <c r="L787" s="1">
        <v>46113</v>
      </c>
      <c r="M787" s="1">
        <v>46142</v>
      </c>
      <c r="N787" t="s">
        <v>27</v>
      </c>
      <c r="O787" t="s">
        <v>28</v>
      </c>
      <c r="Q787" t="s">
        <v>29</v>
      </c>
      <c r="R787" t="s">
        <v>173</v>
      </c>
      <c r="S787" t="s">
        <v>173</v>
      </c>
      <c r="T787" s="2">
        <v>0</v>
      </c>
    </row>
    <row r="788" spans="1:20" x14ac:dyDescent="0.3">
      <c r="A788">
        <v>37395</v>
      </c>
      <c r="B788" t="s">
        <v>21</v>
      </c>
      <c r="C788" t="s">
        <v>174</v>
      </c>
      <c r="D788" t="s">
        <v>175</v>
      </c>
      <c r="E788">
        <v>7868</v>
      </c>
      <c r="F788" t="s">
        <v>24</v>
      </c>
      <c r="H788" t="s">
        <v>176</v>
      </c>
      <c r="I788" t="s">
        <v>176</v>
      </c>
      <c r="J788" t="s">
        <v>21</v>
      </c>
      <c r="K788" t="s">
        <v>26</v>
      </c>
      <c r="L788" s="1">
        <v>46113</v>
      </c>
      <c r="M788" s="1">
        <v>46142</v>
      </c>
      <c r="N788" t="s">
        <v>27</v>
      </c>
      <c r="O788" t="s">
        <v>28</v>
      </c>
      <c r="Q788" t="s">
        <v>29</v>
      </c>
      <c r="R788" t="s">
        <v>177</v>
      </c>
      <c r="S788" t="s">
        <v>177</v>
      </c>
      <c r="T788" s="2">
        <v>-2.1</v>
      </c>
    </row>
    <row r="789" spans="1:20" x14ac:dyDescent="0.3">
      <c r="A789">
        <v>37395</v>
      </c>
      <c r="B789" t="s">
        <v>21</v>
      </c>
      <c r="C789" t="s">
        <v>5412</v>
      </c>
      <c r="D789" t="s">
        <v>5413</v>
      </c>
      <c r="E789">
        <v>7868</v>
      </c>
      <c r="F789" t="s">
        <v>24</v>
      </c>
      <c r="H789" t="s">
        <v>6650</v>
      </c>
      <c r="I789" t="s">
        <v>6650</v>
      </c>
      <c r="J789" t="s">
        <v>21</v>
      </c>
      <c r="K789" t="s">
        <v>26</v>
      </c>
      <c r="L789" s="1">
        <v>46113</v>
      </c>
      <c r="M789" s="1">
        <v>46142</v>
      </c>
      <c r="N789" t="s">
        <v>27</v>
      </c>
      <c r="O789" t="s">
        <v>28</v>
      </c>
      <c r="Q789" t="s">
        <v>29</v>
      </c>
      <c r="R789" t="s">
        <v>178</v>
      </c>
      <c r="S789" t="s">
        <v>178</v>
      </c>
      <c r="T789" s="2">
        <v>0.1</v>
      </c>
    </row>
    <row r="790" spans="1:20" x14ac:dyDescent="0.3">
      <c r="A790">
        <v>37395</v>
      </c>
      <c r="B790" t="s">
        <v>21</v>
      </c>
      <c r="C790" t="s">
        <v>179</v>
      </c>
      <c r="D790" t="s">
        <v>180</v>
      </c>
      <c r="E790">
        <v>7868</v>
      </c>
      <c r="F790" t="s">
        <v>24</v>
      </c>
      <c r="H790" t="s">
        <v>181</v>
      </c>
      <c r="I790" t="s">
        <v>181</v>
      </c>
      <c r="J790" t="s">
        <v>21</v>
      </c>
      <c r="K790" t="s">
        <v>26</v>
      </c>
      <c r="L790" s="1">
        <v>46113</v>
      </c>
      <c r="M790" s="1">
        <v>46142</v>
      </c>
      <c r="N790" t="s">
        <v>27</v>
      </c>
      <c r="O790" t="s">
        <v>28</v>
      </c>
      <c r="Q790" t="s">
        <v>29</v>
      </c>
      <c r="R790" t="s">
        <v>182</v>
      </c>
      <c r="S790" t="s">
        <v>182</v>
      </c>
      <c r="T790" s="2">
        <v>0</v>
      </c>
    </row>
    <row r="791" spans="1:20" x14ac:dyDescent="0.3">
      <c r="A791">
        <v>37395</v>
      </c>
      <c r="B791" t="s">
        <v>21</v>
      </c>
      <c r="C791" t="s">
        <v>183</v>
      </c>
      <c r="D791" t="s">
        <v>184</v>
      </c>
      <c r="E791">
        <v>7868</v>
      </c>
      <c r="F791" t="s">
        <v>24</v>
      </c>
      <c r="H791" t="s">
        <v>185</v>
      </c>
      <c r="I791" t="s">
        <v>185</v>
      </c>
      <c r="J791" t="s">
        <v>21</v>
      </c>
      <c r="K791" t="s">
        <v>26</v>
      </c>
      <c r="L791" s="1">
        <v>46113</v>
      </c>
      <c r="M791" s="1">
        <v>46142</v>
      </c>
      <c r="N791" t="s">
        <v>27</v>
      </c>
      <c r="O791" t="s">
        <v>28</v>
      </c>
      <c r="Q791" t="s">
        <v>29</v>
      </c>
      <c r="R791" t="s">
        <v>186</v>
      </c>
      <c r="S791" t="s">
        <v>186</v>
      </c>
      <c r="T791" s="2">
        <v>-0.1</v>
      </c>
    </row>
  </sheetData>
  <autoFilter ref="A1:U79"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0"/>
  <sheetViews>
    <sheetView zoomScaleNormal="100" workbookViewId="0">
      <selection activeCell="T2" sqref="A2:T80"/>
    </sheetView>
  </sheetViews>
  <sheetFormatPr defaultColWidth="8.5546875" defaultRowHeight="14.4" x14ac:dyDescent="0.3"/>
  <cols>
    <col min="1" max="1" width="16.5546875" customWidth="1"/>
    <col min="3" max="3" width="47.109375" customWidth="1"/>
    <col min="8" max="8" width="31.33203125" customWidth="1"/>
    <col min="9" max="9" width="30.33203125" customWidth="1"/>
    <col min="12" max="12" width="22.88671875" bestFit="1" customWidth="1"/>
    <col min="13" max="13" width="22.21875" bestFit="1" customWidth="1"/>
  </cols>
  <sheetData>
    <row r="1" spans="1:20" x14ac:dyDescent="0.3">
      <c r="A1" t="s">
        <v>0</v>
      </c>
      <c r="B1" t="s">
        <v>1</v>
      </c>
      <c r="C1" t="s">
        <v>2</v>
      </c>
      <c r="D1" t="s">
        <v>3</v>
      </c>
      <c r="E1" t="s">
        <v>4</v>
      </c>
      <c r="F1" t="s">
        <v>5</v>
      </c>
      <c r="G1" t="s">
        <v>6</v>
      </c>
      <c r="H1" t="s">
        <v>7</v>
      </c>
      <c r="I1" t="s">
        <v>8</v>
      </c>
      <c r="J1" t="s">
        <v>9</v>
      </c>
      <c r="K1" t="s">
        <v>10</v>
      </c>
      <c r="L1" s="1" t="s">
        <v>11</v>
      </c>
      <c r="M1" s="1" t="s">
        <v>12</v>
      </c>
      <c r="N1" t="s">
        <v>13</v>
      </c>
      <c r="O1" t="s">
        <v>14</v>
      </c>
      <c r="P1" t="s">
        <v>15</v>
      </c>
      <c r="Q1" t="s">
        <v>16</v>
      </c>
      <c r="R1" t="s">
        <v>17</v>
      </c>
      <c r="S1" t="s">
        <v>18</v>
      </c>
      <c r="T1" s="2" t="s">
        <v>19</v>
      </c>
    </row>
    <row r="2" spans="1:20" x14ac:dyDescent="0.3">
      <c r="A2">
        <v>37395</v>
      </c>
      <c r="B2" t="s">
        <v>21</v>
      </c>
      <c r="C2" s="5" t="str">
        <f>'FY26 Revenue'!N2</f>
        <v>REV_Transport &amp; Infrastructure NZ</v>
      </c>
      <c r="D2" t="str">
        <f>_xlfn.XLOOKUP(C2,'Extract_for_Locations 1 Oct 25'!B:B,'Extract_for_Locations 1 Oct 25'!E:E)</f>
        <v>L9.DNZJ.8134</v>
      </c>
      <c r="E2">
        <v>7868</v>
      </c>
      <c r="F2" t="s">
        <v>24</v>
      </c>
      <c r="H2" s="3" t="str">
        <f>CONCATENATE("FY26REV_",'FY26 Revenue'!B2)</f>
        <v>FY26REV_Transport &amp; Infrastructure NZ</v>
      </c>
      <c r="I2" s="3" t="str">
        <f>CONCATENATE("FY26REV_",'FY26 Revenue'!B2)</f>
        <v>FY26REV_Transport &amp; Infrastructure NZ</v>
      </c>
      <c r="J2" t="s">
        <v>21</v>
      </c>
      <c r="K2" t="s">
        <v>26</v>
      </c>
      <c r="L2" s="28">
        <v>46113</v>
      </c>
      <c r="M2" s="28">
        <v>46142</v>
      </c>
      <c r="N2" t="s">
        <v>27</v>
      </c>
      <c r="O2" t="s">
        <v>28</v>
      </c>
      <c r="Q2" t="s">
        <v>29</v>
      </c>
      <c r="R2" s="4" t="str">
        <f>'FY26 Revenue'!C2</f>
        <v>T&amp;I NZ North</v>
      </c>
      <c r="S2" s="4" t="str">
        <f>'FY26 Revenue'!C2</f>
        <v>T&amp;I NZ North</v>
      </c>
      <c r="T2">
        <f>'FY26 Revenue'!M2</f>
        <v>44.2</v>
      </c>
    </row>
    <row r="3" spans="1:20" x14ac:dyDescent="0.3">
      <c r="A3">
        <v>37395</v>
      </c>
      <c r="B3" t="s">
        <v>21</v>
      </c>
      <c r="C3" s="5" t="str">
        <f>'FY26 Revenue'!N3</f>
        <v>REV_Transport &amp; Infrastructure NZ</v>
      </c>
      <c r="D3" t="str">
        <f>_xlfn.XLOOKUP(C3,'Extract_for_Locations 1 Oct 25'!B:B,'Extract_for_Locations 1 Oct 25'!E:E)</f>
        <v>L9.DNZJ.8134</v>
      </c>
      <c r="E3">
        <v>7868</v>
      </c>
      <c r="F3" t="s">
        <v>24</v>
      </c>
      <c r="H3" s="3" t="str">
        <f>CONCATENATE("FY26REV_",'FY26 Revenue'!B3)</f>
        <v>FY26REV_Transport &amp; Infrastructure NZ</v>
      </c>
      <c r="I3" s="3" t="str">
        <f>CONCATENATE("FY26REV_",'FY26 Revenue'!B3)</f>
        <v>FY26REV_Transport &amp; Infrastructure NZ</v>
      </c>
      <c r="J3" t="s">
        <v>21</v>
      </c>
      <c r="K3" t="s">
        <v>26</v>
      </c>
      <c r="L3" s="28">
        <v>46113</v>
      </c>
      <c r="M3" s="28">
        <v>46142</v>
      </c>
      <c r="N3" t="s">
        <v>27</v>
      </c>
      <c r="O3" t="s">
        <v>28</v>
      </c>
      <c r="Q3" t="s">
        <v>29</v>
      </c>
      <c r="R3" s="4" t="str">
        <f>'FY26 Revenue'!C3</f>
        <v>T&amp;I NZ South</v>
      </c>
      <c r="S3" s="4" t="str">
        <f>'FY26 Revenue'!C3</f>
        <v>T&amp;I NZ South</v>
      </c>
      <c r="T3">
        <f>'FY26 Revenue'!M3</f>
        <v>42.8</v>
      </c>
    </row>
    <row r="4" spans="1:20" x14ac:dyDescent="0.3">
      <c r="A4">
        <v>37395</v>
      </c>
      <c r="B4" t="s">
        <v>21</v>
      </c>
      <c r="C4" s="5" t="str">
        <f>'FY26 Revenue'!N4</f>
        <v>REV_Transport &amp; Infrastructure NZ</v>
      </c>
      <c r="D4" t="str">
        <f>_xlfn.XLOOKUP(C4,'Extract_for_Locations 1 Oct 25'!B:B,'Extract_for_Locations 1 Oct 25'!E:E)</f>
        <v>L9.DNZJ.8134</v>
      </c>
      <c r="E4">
        <v>7868</v>
      </c>
      <c r="F4" t="s">
        <v>24</v>
      </c>
      <c r="H4" s="3" t="str">
        <f>CONCATENATE("FY26REV_",'FY26 Revenue'!B4)</f>
        <v>FY26REV_Transport &amp; Infrastructure NZ</v>
      </c>
      <c r="I4" s="3" t="str">
        <f>CONCATENATE("FY26REV_",'FY26 Revenue'!B4)</f>
        <v>FY26REV_Transport &amp; Infrastructure NZ</v>
      </c>
      <c r="J4" t="s">
        <v>21</v>
      </c>
      <c r="K4" t="s">
        <v>26</v>
      </c>
      <c r="L4" s="28">
        <v>46113</v>
      </c>
      <c r="M4" s="28">
        <v>46142</v>
      </c>
      <c r="N4" t="s">
        <v>27</v>
      </c>
      <c r="O4" t="s">
        <v>28</v>
      </c>
      <c r="Q4" t="s">
        <v>29</v>
      </c>
      <c r="R4" s="4" t="str">
        <f>'FY26 Revenue'!C4</f>
        <v>T&amp;I NZ Infrastructure Delivery</v>
      </c>
      <c r="S4" s="4" t="str">
        <f>'FY26 Revenue'!C4</f>
        <v>T&amp;I NZ Infrastructure Delivery</v>
      </c>
      <c r="T4">
        <f>'FY26 Revenue'!M4</f>
        <v>33.5</v>
      </c>
    </row>
    <row r="5" spans="1:20" x14ac:dyDescent="0.3">
      <c r="A5">
        <v>37395</v>
      </c>
      <c r="B5" t="s">
        <v>21</v>
      </c>
      <c r="C5" s="5" t="str">
        <f>'FY26 Revenue'!N5</f>
        <v>REV_Transport &amp; Infrastructure NZ</v>
      </c>
      <c r="D5" t="str">
        <f>_xlfn.XLOOKUP(C5,'Extract_for_Locations 1 Oct 25'!B:B,'Extract_for_Locations 1 Oct 25'!E:E)</f>
        <v>L9.DNZJ.8134</v>
      </c>
      <c r="E5">
        <v>7868</v>
      </c>
      <c r="F5" t="s">
        <v>24</v>
      </c>
      <c r="H5" s="3" t="str">
        <f>CONCATENATE("FY26REV_",'FY26 Revenue'!B5)</f>
        <v>FY26REV_Transport &amp; Infrastructure NZ</v>
      </c>
      <c r="I5" s="3" t="str">
        <f>CONCATENATE("FY26REV_",'FY26 Revenue'!B5)</f>
        <v>FY26REV_Transport &amp; Infrastructure NZ</v>
      </c>
      <c r="J5" t="s">
        <v>21</v>
      </c>
      <c r="K5" t="s">
        <v>26</v>
      </c>
      <c r="L5" s="28">
        <v>46113</v>
      </c>
      <c r="M5" s="28">
        <v>46142</v>
      </c>
      <c r="N5" t="s">
        <v>27</v>
      </c>
      <c r="O5" t="s">
        <v>28</v>
      </c>
      <c r="Q5" t="s">
        <v>29</v>
      </c>
      <c r="R5" s="4" t="str">
        <f>'FY26 Revenue'!C5</f>
        <v>T&amp;I NZ Hawkins</v>
      </c>
      <c r="S5" s="4" t="str">
        <f>'FY26 Revenue'!C5</f>
        <v>T&amp;I NZ Hawkins</v>
      </c>
      <c r="T5">
        <f>'FY26 Revenue'!M5</f>
        <v>51</v>
      </c>
    </row>
    <row r="6" spans="1:20" x14ac:dyDescent="0.3">
      <c r="A6">
        <v>37395</v>
      </c>
      <c r="B6" t="s">
        <v>21</v>
      </c>
      <c r="C6" s="5" t="str">
        <f>'FY26 Revenue'!N6</f>
        <v>REV_Transport &amp; Infrastructure NZ</v>
      </c>
      <c r="D6" t="str">
        <f>_xlfn.XLOOKUP(C6,'Extract_for_Locations 1 Oct 25'!B:B,'Extract_for_Locations 1 Oct 25'!E:E)</f>
        <v>L9.DNZJ.8134</v>
      </c>
      <c r="E6">
        <v>7868</v>
      </c>
      <c r="F6" t="s">
        <v>24</v>
      </c>
      <c r="H6" s="3" t="str">
        <f>CONCATENATE("FY26REV_",'FY26 Revenue'!B6)</f>
        <v>FY26REV_Transport &amp; Infrastructure NZ</v>
      </c>
      <c r="I6" s="3" t="str">
        <f>CONCATENATE("FY26REV_",'FY26 Revenue'!B6)</f>
        <v>FY26REV_Transport &amp; Infrastructure NZ</v>
      </c>
      <c r="J6" t="s">
        <v>21</v>
      </c>
      <c r="K6" t="s">
        <v>26</v>
      </c>
      <c r="L6" s="28">
        <v>46113</v>
      </c>
      <c r="M6" s="28">
        <v>46142</v>
      </c>
      <c r="N6" t="s">
        <v>27</v>
      </c>
      <c r="O6" t="s">
        <v>28</v>
      </c>
      <c r="Q6" t="s">
        <v>29</v>
      </c>
      <c r="R6" s="4" t="str">
        <f>'FY26 Revenue'!C6</f>
        <v>T&amp;I NZ National Operations</v>
      </c>
      <c r="S6" s="4" t="str">
        <f>'FY26 Revenue'!C6</f>
        <v>T&amp;I NZ National Operations</v>
      </c>
      <c r="T6">
        <f>'FY26 Revenue'!M6</f>
        <v>13</v>
      </c>
    </row>
    <row r="7" spans="1:20" x14ac:dyDescent="0.3">
      <c r="A7">
        <v>37395</v>
      </c>
      <c r="B7" t="s">
        <v>21</v>
      </c>
      <c r="C7" s="5" t="str">
        <f>'FY26 Revenue'!N7</f>
        <v>REV_Transport &amp; Infrastructure NZ</v>
      </c>
      <c r="D7" t="str">
        <f>_xlfn.XLOOKUP(C7,'Extract_for_Locations 1 Oct 25'!B:B,'Extract_for_Locations 1 Oct 25'!E:E)</f>
        <v>L9.DNZJ.8134</v>
      </c>
      <c r="E7">
        <v>7868</v>
      </c>
      <c r="F7" t="s">
        <v>24</v>
      </c>
      <c r="H7" s="3" t="str">
        <f>CONCATENATE("FY26REV_",'FY26 Revenue'!B7)</f>
        <v>FY26REV_Transport &amp; Infrastructure NZ</v>
      </c>
      <c r="I7" s="3" t="str">
        <f>CONCATENATE("FY26REV_",'FY26 Revenue'!B7)</f>
        <v>FY26REV_Transport &amp; Infrastructure NZ</v>
      </c>
      <c r="J7" t="s">
        <v>21</v>
      </c>
      <c r="K7" t="s">
        <v>26</v>
      </c>
      <c r="L7" s="28">
        <v>46113</v>
      </c>
      <c r="M7" s="28">
        <v>46142</v>
      </c>
      <c r="N7" t="s">
        <v>27</v>
      </c>
      <c r="O7" t="s">
        <v>28</v>
      </c>
      <c r="Q7" t="s">
        <v>29</v>
      </c>
      <c r="R7" s="4" t="str">
        <f>'FY26 Revenue'!C7</f>
        <v>T&amp;I NZ Overheads</v>
      </c>
      <c r="S7" s="4" t="str">
        <f>'FY26 Revenue'!C7</f>
        <v>T&amp;I NZ Overheads</v>
      </c>
      <c r="T7">
        <f>'FY26 Revenue'!M7</f>
        <v>0.1</v>
      </c>
    </row>
    <row r="8" spans="1:20" x14ac:dyDescent="0.3">
      <c r="A8">
        <v>37395</v>
      </c>
      <c r="B8" t="s">
        <v>21</v>
      </c>
      <c r="C8" s="5" t="str">
        <f>'FY26 Revenue'!N8</f>
        <v>REV_Transport &amp; Infrastructure AU</v>
      </c>
      <c r="D8" t="str">
        <f>_xlfn.XLOOKUP(C8,'Extract_for_Locations 1 Oct 25'!B:B,'Extract_for_Locations 1 Oct 25'!E:E)</f>
        <v>L9.J.170615</v>
      </c>
      <c r="E8">
        <v>7868</v>
      </c>
      <c r="F8" t="s">
        <v>24</v>
      </c>
      <c r="H8" s="3" t="str">
        <f>CONCATENATE("FY26REV_",'FY26 Revenue'!B8)</f>
        <v>FY26REV_Transport &amp; Infrastructure AU</v>
      </c>
      <c r="I8" s="3" t="str">
        <f>CONCATENATE("FY26REV_",'FY26 Revenue'!B8)</f>
        <v>FY26REV_Transport &amp; Infrastructure AU</v>
      </c>
      <c r="J8" t="s">
        <v>21</v>
      </c>
      <c r="K8" t="s">
        <v>26</v>
      </c>
      <c r="L8" s="28">
        <v>46113</v>
      </c>
      <c r="M8" s="28">
        <v>46142</v>
      </c>
      <c r="N8" t="s">
        <v>27</v>
      </c>
      <c r="O8" t="s">
        <v>28</v>
      </c>
      <c r="Q8" t="s">
        <v>29</v>
      </c>
      <c r="R8" s="4" t="str">
        <f>'FY26 Revenue'!C8</f>
        <v>T&amp;I AU Asphalt &amp; Products</v>
      </c>
      <c r="S8" s="4" t="str">
        <f>'FY26 Revenue'!C8</f>
        <v>T&amp;I AU Asphalt &amp; Products</v>
      </c>
      <c r="T8">
        <f>'FY26 Revenue'!M8</f>
        <v>76.599999999999994</v>
      </c>
    </row>
    <row r="9" spans="1:20" x14ac:dyDescent="0.3">
      <c r="A9">
        <v>37395</v>
      </c>
      <c r="B9" t="s">
        <v>21</v>
      </c>
      <c r="C9" s="5" t="str">
        <f>'FY26 Revenue'!N9</f>
        <v>REV_Transport &amp; Infrastructure AU</v>
      </c>
      <c r="D9" t="str">
        <f>_xlfn.XLOOKUP(C9,'Extract_for_Locations 1 Oct 25'!B:B,'Extract_for_Locations 1 Oct 25'!E:E)</f>
        <v>L9.J.170615</v>
      </c>
      <c r="E9">
        <v>7868</v>
      </c>
      <c r="F9" t="s">
        <v>24</v>
      </c>
      <c r="H9" s="3" t="str">
        <f>CONCATENATE("FY26REV_",'FY26 Revenue'!B9)</f>
        <v>FY26REV_Transport &amp; Infrastructure AU</v>
      </c>
      <c r="I9" s="3" t="str">
        <f>CONCATENATE("FY26REV_",'FY26 Revenue'!B9)</f>
        <v>FY26REV_Transport &amp; Infrastructure AU</v>
      </c>
      <c r="J9" t="s">
        <v>21</v>
      </c>
      <c r="K9" t="s">
        <v>26</v>
      </c>
      <c r="L9" s="28">
        <v>46113</v>
      </c>
      <c r="M9" s="28">
        <v>46142</v>
      </c>
      <c r="N9" t="s">
        <v>27</v>
      </c>
      <c r="O9" t="s">
        <v>28</v>
      </c>
      <c r="Q9" t="s">
        <v>29</v>
      </c>
      <c r="R9" s="4" t="str">
        <f>'FY26 Revenue'!C9</f>
        <v>Maintenance &amp; ITS</v>
      </c>
      <c r="S9" s="4" t="str">
        <f>'FY26 Revenue'!C9</f>
        <v>Maintenance &amp; ITS</v>
      </c>
      <c r="T9">
        <f>'FY26 Revenue'!M9</f>
        <v>44.9</v>
      </c>
    </row>
    <row r="10" spans="1:20" x14ac:dyDescent="0.3">
      <c r="A10">
        <v>37395</v>
      </c>
      <c r="B10" t="s">
        <v>21</v>
      </c>
      <c r="C10" s="5" t="str">
        <f>'FY26 Revenue'!N10</f>
        <v>REV_Transport &amp; Infrastructure AU</v>
      </c>
      <c r="D10" t="str">
        <f>_xlfn.XLOOKUP(C10,'Extract_for_Locations 1 Oct 25'!B:B,'Extract_for_Locations 1 Oct 25'!E:E)</f>
        <v>L9.J.170615</v>
      </c>
      <c r="E10">
        <v>7868</v>
      </c>
      <c r="F10" t="s">
        <v>24</v>
      </c>
      <c r="H10" s="3" t="str">
        <f>CONCATENATE("FY26REV_",'FY26 Revenue'!B10)</f>
        <v>FY26REV_Transport &amp; Infrastructure AU</v>
      </c>
      <c r="I10" s="3" t="str">
        <f>CONCATENATE("FY26REV_",'FY26 Revenue'!B10)</f>
        <v>FY26REV_Transport &amp; Infrastructure AU</v>
      </c>
      <c r="J10" t="s">
        <v>21</v>
      </c>
      <c r="K10" t="s">
        <v>26</v>
      </c>
      <c r="L10" s="28">
        <v>46113</v>
      </c>
      <c r="M10" s="28">
        <v>46142</v>
      </c>
      <c r="N10" t="s">
        <v>27</v>
      </c>
      <c r="O10" t="s">
        <v>28</v>
      </c>
      <c r="Q10" t="s">
        <v>29</v>
      </c>
      <c r="R10" s="4" t="str">
        <f>'FY26 Revenue'!C10</f>
        <v>Pavement Rehabilitation &amp; Civils</v>
      </c>
      <c r="S10" s="4" t="str">
        <f>'FY26 Revenue'!C10</f>
        <v>Pavement Rehabilitation &amp; Civils</v>
      </c>
      <c r="T10">
        <f>'FY26 Revenue'!M10</f>
        <v>8.9</v>
      </c>
    </row>
    <row r="11" spans="1:20" x14ac:dyDescent="0.3">
      <c r="A11">
        <v>37395</v>
      </c>
      <c r="B11" t="s">
        <v>21</v>
      </c>
      <c r="C11" s="5" t="str">
        <f>'FY26 Revenue'!N11</f>
        <v>REV_Transport &amp; Infrastructure AU</v>
      </c>
      <c r="D11" t="str">
        <f>_xlfn.XLOOKUP(C11,'Extract_for_Locations 1 Oct 25'!B:B,'Extract_for_Locations 1 Oct 25'!E:E)</f>
        <v>L9.J.170615</v>
      </c>
      <c r="E11">
        <v>7868</v>
      </c>
      <c r="F11" t="s">
        <v>24</v>
      </c>
      <c r="H11" s="3" t="str">
        <f>CONCATENATE("FY26REV_",'FY26 Revenue'!B11)</f>
        <v>FY26REV_Transport &amp; Infrastructure AU</v>
      </c>
      <c r="I11" s="3" t="str">
        <f>CONCATENATE("FY26REV_",'FY26 Revenue'!B11)</f>
        <v>FY26REV_Transport &amp; Infrastructure AU</v>
      </c>
      <c r="J11" t="s">
        <v>21</v>
      </c>
      <c r="K11" t="s">
        <v>26</v>
      </c>
      <c r="L11" s="28">
        <v>46113</v>
      </c>
      <c r="M11" s="28">
        <v>46142</v>
      </c>
      <c r="N11" t="s">
        <v>27</v>
      </c>
      <c r="O11" t="s">
        <v>28</v>
      </c>
      <c r="Q11" t="s">
        <v>29</v>
      </c>
      <c r="R11" s="4" t="str">
        <f>'FY26 Revenue'!C11</f>
        <v>Specialised Pavements &amp; Projects</v>
      </c>
      <c r="S11" s="4" t="str">
        <f>'FY26 Revenue'!C11</f>
        <v>Specialised Pavements &amp; Projects</v>
      </c>
      <c r="T11">
        <f>'FY26 Revenue'!M11</f>
        <v>3.6</v>
      </c>
    </row>
    <row r="12" spans="1:20" x14ac:dyDescent="0.3">
      <c r="A12">
        <v>37395</v>
      </c>
      <c r="B12" t="s">
        <v>21</v>
      </c>
      <c r="C12" s="5" t="str">
        <f>'FY26 Revenue'!N12</f>
        <v>REV_Transport &amp; Infrastructure AU</v>
      </c>
      <c r="D12" t="str">
        <f>_xlfn.XLOOKUP(C12,'Extract_for_Locations 1 Oct 25'!B:B,'Extract_for_Locations 1 Oct 25'!E:E)</f>
        <v>L9.J.170615</v>
      </c>
      <c r="E12">
        <v>7868</v>
      </c>
      <c r="F12" t="s">
        <v>24</v>
      </c>
      <c r="H12" s="3" t="str">
        <f>CONCATENATE("FY26REV_",'FY26 Revenue'!B12)</f>
        <v>FY26REV_Transport &amp; Infrastructure AU</v>
      </c>
      <c r="I12" s="3" t="str">
        <f>CONCATENATE("FY26REV_",'FY26 Revenue'!B12)</f>
        <v>FY26REV_Transport &amp; Infrastructure AU</v>
      </c>
      <c r="J12" t="s">
        <v>21</v>
      </c>
      <c r="K12" t="s">
        <v>26</v>
      </c>
      <c r="L12" s="28">
        <v>46113</v>
      </c>
      <c r="M12" s="28">
        <v>46142</v>
      </c>
      <c r="N12" t="s">
        <v>27</v>
      </c>
      <c r="O12" t="s">
        <v>28</v>
      </c>
      <c r="Q12" t="s">
        <v>29</v>
      </c>
      <c r="R12" s="4" t="str">
        <f>'FY26 Revenue'!C12</f>
        <v>Thin Surfacing</v>
      </c>
      <c r="S12" s="4" t="str">
        <f>'FY26 Revenue'!C12</f>
        <v>Thin Surfacing</v>
      </c>
      <c r="T12">
        <f>'FY26 Revenue'!M12</f>
        <v>35.1</v>
      </c>
    </row>
    <row r="13" spans="1:20" x14ac:dyDescent="0.3">
      <c r="A13">
        <v>37395</v>
      </c>
      <c r="B13" t="s">
        <v>21</v>
      </c>
      <c r="C13" s="5" t="str">
        <f>'FY26 Revenue'!N13</f>
        <v>REV_Transport &amp; Infrastructure AU</v>
      </c>
      <c r="D13" t="str">
        <f>_xlfn.XLOOKUP(C13,'Extract_for_Locations 1 Oct 25'!B:B,'Extract_for_Locations 1 Oct 25'!E:E)</f>
        <v>L9.J.170615</v>
      </c>
      <c r="E13">
        <v>7868</v>
      </c>
      <c r="F13" t="s">
        <v>24</v>
      </c>
      <c r="H13" s="3" t="str">
        <f>CONCATENATE("FY26REV_",'FY26 Revenue'!B13)</f>
        <v>FY26REV_Transport &amp; Infrastructure AU</v>
      </c>
      <c r="I13" s="3" t="str">
        <f>CONCATENATE("FY26REV_",'FY26 Revenue'!B13)</f>
        <v>FY26REV_Transport &amp; Infrastructure AU</v>
      </c>
      <c r="J13" t="s">
        <v>21</v>
      </c>
      <c r="K13" t="s">
        <v>26</v>
      </c>
      <c r="L13" s="28">
        <v>46113</v>
      </c>
      <c r="M13" s="28">
        <v>46142</v>
      </c>
      <c r="N13" t="s">
        <v>27</v>
      </c>
      <c r="O13" t="s">
        <v>28</v>
      </c>
      <c r="Q13" t="s">
        <v>29</v>
      </c>
      <c r="R13" s="4" t="str">
        <f>'FY26 Revenue'!C13</f>
        <v>BIA</v>
      </c>
      <c r="S13" s="4" t="str">
        <f>'FY26 Revenue'!C13</f>
        <v>BIA</v>
      </c>
      <c r="T13">
        <f>'FY26 Revenue'!M13</f>
        <v>10.199999999999999</v>
      </c>
    </row>
    <row r="14" spans="1:20" x14ac:dyDescent="0.3">
      <c r="A14">
        <v>37395</v>
      </c>
      <c r="B14" t="s">
        <v>21</v>
      </c>
      <c r="C14" s="5" t="str">
        <f>'FY26 Revenue'!N14</f>
        <v>REV_Transport &amp; Infrastructure AU</v>
      </c>
      <c r="D14" t="str">
        <f>_xlfn.XLOOKUP(C14,'Extract_for_Locations 1 Oct 25'!B:B,'Extract_for_Locations 1 Oct 25'!E:E)</f>
        <v>L9.J.170615</v>
      </c>
      <c r="E14">
        <v>7868</v>
      </c>
      <c r="F14" t="s">
        <v>24</v>
      </c>
      <c r="H14" s="3" t="str">
        <f>CONCATENATE("FY26REV_",'FY26 Revenue'!B14)</f>
        <v>FY26REV_Transport &amp; Infrastructure AU</v>
      </c>
      <c r="I14" s="3" t="str">
        <f>CONCATENATE("FY26REV_",'FY26 Revenue'!B14)</f>
        <v>FY26REV_Transport &amp; Infrastructure AU</v>
      </c>
      <c r="J14" t="s">
        <v>21</v>
      </c>
      <c r="K14" t="s">
        <v>26</v>
      </c>
      <c r="L14" s="28">
        <v>46113</v>
      </c>
      <c r="M14" s="28">
        <v>46142</v>
      </c>
      <c r="N14" t="s">
        <v>27</v>
      </c>
      <c r="O14" t="s">
        <v>28</v>
      </c>
      <c r="Q14" t="s">
        <v>29</v>
      </c>
      <c r="R14" s="4" t="str">
        <f>'FY26 Revenue'!C14</f>
        <v>T&amp;I AU Divested Operations</v>
      </c>
      <c r="S14" s="4" t="str">
        <f>'FY26 Revenue'!C14</f>
        <v>T&amp;I AU Divested Operations</v>
      </c>
      <c r="T14">
        <f>'FY26 Revenue'!M14</f>
        <v>0</v>
      </c>
    </row>
    <row r="15" spans="1:20" x14ac:dyDescent="0.3">
      <c r="A15">
        <v>37395</v>
      </c>
      <c r="B15" t="s">
        <v>21</v>
      </c>
      <c r="C15" s="5" t="str">
        <f>'FY26 Revenue'!N15</f>
        <v>REV_Fleet &amp; Assets</v>
      </c>
      <c r="D15" t="str">
        <f>_xlfn.XLOOKUP(C15,'Extract_for_Locations 1 Oct 25'!B:B,'Extract_for_Locations 1 Oct 25'!E:E)</f>
        <v>L9.DNZJ.1937</v>
      </c>
      <c r="E15">
        <v>7868</v>
      </c>
      <c r="F15" t="s">
        <v>24</v>
      </c>
      <c r="H15" s="3" t="str">
        <f>CONCATENATE("FY26REV_",'FY26 Revenue'!B15)</f>
        <v>FY26REV_Fleet &amp; Assets</v>
      </c>
      <c r="I15" s="3" t="str">
        <f>CONCATENATE("FY26REV_",'FY26 Revenue'!B15)</f>
        <v>FY26REV_Fleet &amp; Assets</v>
      </c>
      <c r="J15" t="s">
        <v>21</v>
      </c>
      <c r="K15" t="s">
        <v>26</v>
      </c>
      <c r="L15" s="28">
        <v>46113</v>
      </c>
      <c r="M15" s="28">
        <v>46142</v>
      </c>
      <c r="N15" t="s">
        <v>27</v>
      </c>
      <c r="O15" t="s">
        <v>28</v>
      </c>
      <c r="Q15" t="s">
        <v>29</v>
      </c>
      <c r="R15" s="4" t="str">
        <f>'FY26 Revenue'!C15</f>
        <v>AU Fleet T&amp;I Plant</v>
      </c>
      <c r="S15" s="4" t="str">
        <f>'FY26 Revenue'!C15</f>
        <v>AU Fleet T&amp;I Plant</v>
      </c>
      <c r="T15">
        <f>'FY26 Revenue'!M15</f>
        <v>0</v>
      </c>
    </row>
    <row r="16" spans="1:20" x14ac:dyDescent="0.3">
      <c r="A16">
        <v>37395</v>
      </c>
      <c r="B16" t="s">
        <v>21</v>
      </c>
      <c r="C16" s="5" t="str">
        <f>'FY26 Revenue'!N16</f>
        <v>REV_Fleet &amp; Assets</v>
      </c>
      <c r="D16" t="str">
        <f>_xlfn.XLOOKUP(C16,'Extract_for_Locations 1 Oct 25'!B:B,'Extract_for_Locations 1 Oct 25'!E:E)</f>
        <v>L9.DNZJ.1937</v>
      </c>
      <c r="E16">
        <v>7868</v>
      </c>
      <c r="F16" t="s">
        <v>24</v>
      </c>
      <c r="H16" s="3" t="str">
        <f>CONCATENATE("FY26REV_",'FY26 Revenue'!B16)</f>
        <v>FY26REV_Fleet &amp; Assets</v>
      </c>
      <c r="I16" s="3" t="str">
        <f>CONCATENATE("FY26REV_",'FY26 Revenue'!B16)</f>
        <v>FY26REV_Fleet &amp; Assets</v>
      </c>
      <c r="J16" t="s">
        <v>21</v>
      </c>
      <c r="K16" t="s">
        <v>26</v>
      </c>
      <c r="L16" s="28">
        <v>46113</v>
      </c>
      <c r="M16" s="28">
        <v>46142</v>
      </c>
      <c r="N16" t="s">
        <v>27</v>
      </c>
      <c r="O16" t="s">
        <v>28</v>
      </c>
      <c r="Q16" t="s">
        <v>29</v>
      </c>
      <c r="R16" s="4" t="str">
        <f>'FY26 Revenue'!C16</f>
        <v>AU Fleet Light Vehicles</v>
      </c>
      <c r="S16" s="4" t="str">
        <f>'FY26 Revenue'!C16</f>
        <v>AU Fleet Light Vehicles</v>
      </c>
      <c r="T16">
        <f>'FY26 Revenue'!M16</f>
        <v>0.1</v>
      </c>
    </row>
    <row r="17" spans="1:20" x14ac:dyDescent="0.3">
      <c r="A17">
        <v>37395</v>
      </c>
      <c r="B17" t="s">
        <v>21</v>
      </c>
      <c r="C17" s="5" t="str">
        <f>'FY26 Revenue'!N17</f>
        <v>REV_Fleet &amp; Assets</v>
      </c>
      <c r="D17" t="str">
        <f>_xlfn.XLOOKUP(C17,'Extract_for_Locations 1 Oct 25'!B:B,'Extract_for_Locations 1 Oct 25'!E:E)</f>
        <v>L9.DNZJ.1937</v>
      </c>
      <c r="E17">
        <v>7868</v>
      </c>
      <c r="F17" t="s">
        <v>24</v>
      </c>
      <c r="H17" s="3" t="str">
        <f>CONCATENATE("FY26REV_",'FY26 Revenue'!B17)</f>
        <v>FY26REV_Fleet &amp; Assets</v>
      </c>
      <c r="I17" s="3" t="str">
        <f>CONCATENATE("FY26REV_",'FY26 Revenue'!B17)</f>
        <v>FY26REV_Fleet &amp; Assets</v>
      </c>
      <c r="J17" t="s">
        <v>21</v>
      </c>
      <c r="K17" t="s">
        <v>26</v>
      </c>
      <c r="L17" s="28">
        <v>46113</v>
      </c>
      <c r="M17" s="28">
        <v>46142</v>
      </c>
      <c r="N17" t="s">
        <v>27</v>
      </c>
      <c r="O17" t="s">
        <v>28</v>
      </c>
      <c r="Q17" t="s">
        <v>29</v>
      </c>
      <c r="R17" s="4" t="str">
        <f>'FY26 Revenue'!C17</f>
        <v>AU Fleet Energy &amp; Utilities</v>
      </c>
      <c r="S17" s="4" t="str">
        <f>'FY26 Revenue'!C17</f>
        <v>AU Fleet Energy &amp; Utilities</v>
      </c>
      <c r="T17">
        <f>'FY26 Revenue'!M17</f>
        <v>0</v>
      </c>
    </row>
    <row r="18" spans="1:20" x14ac:dyDescent="0.3">
      <c r="A18">
        <v>37395</v>
      </c>
      <c r="B18" t="s">
        <v>21</v>
      </c>
      <c r="C18" s="5" t="str">
        <f>'FY26 Revenue'!N18</f>
        <v>REV_Fleet &amp; Assets</v>
      </c>
      <c r="D18" t="str">
        <f>_xlfn.XLOOKUP(C18,'Extract_for_Locations 1 Oct 25'!B:B,'Extract_for_Locations 1 Oct 25'!E:E)</f>
        <v>L9.DNZJ.1937</v>
      </c>
      <c r="E18">
        <v>7868</v>
      </c>
      <c r="F18" t="s">
        <v>24</v>
      </c>
      <c r="H18" s="3" t="str">
        <f>CONCATENATE("FY26REV_",'FY26 Revenue'!B18)</f>
        <v>FY26REV_Fleet &amp; Assets</v>
      </c>
      <c r="I18" s="3" t="str">
        <f>CONCATENATE("FY26REV_",'FY26 Revenue'!B18)</f>
        <v>FY26REV_Fleet &amp; Assets</v>
      </c>
      <c r="J18" t="s">
        <v>21</v>
      </c>
      <c r="K18" t="s">
        <v>26</v>
      </c>
      <c r="L18" s="28">
        <v>46113</v>
      </c>
      <c r="M18" s="28">
        <v>46142</v>
      </c>
      <c r="N18" t="s">
        <v>27</v>
      </c>
      <c r="O18" t="s">
        <v>28</v>
      </c>
      <c r="Q18" t="s">
        <v>29</v>
      </c>
      <c r="R18" s="4" t="str">
        <f>'FY26 Revenue'!C18</f>
        <v>NZ Fleet</v>
      </c>
      <c r="S18" s="4" t="str">
        <f>'FY26 Revenue'!C18</f>
        <v>NZ Fleet</v>
      </c>
      <c r="T18">
        <f>'FY26 Revenue'!M18</f>
        <v>0.2</v>
      </c>
    </row>
    <row r="19" spans="1:20" x14ac:dyDescent="0.3">
      <c r="A19">
        <v>37395</v>
      </c>
      <c r="B19" t="s">
        <v>21</v>
      </c>
      <c r="C19" s="5" t="str">
        <f>'FY26 Revenue'!N19</f>
        <v>REV_Telecommunications &amp; Networks</v>
      </c>
      <c r="D19" t="str">
        <f>_xlfn.XLOOKUP(C19,'Extract_for_Locations 1 Oct 25'!B:B,'Extract_for_Locations 1 Oct 25'!E:E)</f>
        <v>L9.J.234</v>
      </c>
      <c r="E19">
        <v>7868</v>
      </c>
      <c r="F19" t="s">
        <v>24</v>
      </c>
      <c r="H19" s="3" t="str">
        <f>CONCATENATE("FY26REV_",'FY26 Revenue'!B19)</f>
        <v>FY26REV_Telecommunications &amp; Networks</v>
      </c>
      <c r="I19" s="3" t="str">
        <f>CONCATENATE("FY26REV_",'FY26 Revenue'!B19)</f>
        <v>FY26REV_Telecommunications &amp; Networks</v>
      </c>
      <c r="J19" t="s">
        <v>21</v>
      </c>
      <c r="K19" t="s">
        <v>26</v>
      </c>
      <c r="L19" s="28">
        <v>46113</v>
      </c>
      <c r="M19" s="28">
        <v>46142</v>
      </c>
      <c r="N19" t="s">
        <v>27</v>
      </c>
      <c r="O19" t="s">
        <v>28</v>
      </c>
      <c r="Q19" t="s">
        <v>29</v>
      </c>
      <c r="R19" s="4" t="str">
        <f>'FY26 Revenue'!C19</f>
        <v>Telco Incl. MS</v>
      </c>
      <c r="S19" s="4" t="str">
        <f>'FY26 Revenue'!C19</f>
        <v>Telco Incl. MS</v>
      </c>
      <c r="T19">
        <f>'FY26 Revenue'!M19</f>
        <v>23.5</v>
      </c>
    </row>
    <row r="20" spans="1:20" x14ac:dyDescent="0.3">
      <c r="A20">
        <v>37395</v>
      </c>
      <c r="B20" t="s">
        <v>21</v>
      </c>
      <c r="C20" s="5" t="str">
        <f>'FY26 Revenue'!N20</f>
        <v>REV_Telecommunications &amp; Networks</v>
      </c>
      <c r="D20" t="str">
        <f>_xlfn.XLOOKUP(C20,'Extract_for_Locations 1 Oct 25'!B:B,'Extract_for_Locations 1 Oct 25'!E:E)</f>
        <v>L9.J.234</v>
      </c>
      <c r="E20">
        <v>7868</v>
      </c>
      <c r="F20" t="s">
        <v>24</v>
      </c>
      <c r="H20" s="3" t="str">
        <f>CONCATENATE("FY26REV_",'FY26 Revenue'!B20)</f>
        <v>FY26REV_Telecommunications &amp; Networks</v>
      </c>
      <c r="I20" s="3" t="str">
        <f>CONCATENATE("FY26REV_",'FY26 Revenue'!B20)</f>
        <v>FY26REV_Telecommunications &amp; Networks</v>
      </c>
      <c r="J20" t="s">
        <v>21</v>
      </c>
      <c r="K20" t="s">
        <v>26</v>
      </c>
      <c r="L20" s="28">
        <v>46113</v>
      </c>
      <c r="M20" s="28">
        <v>46142</v>
      </c>
      <c r="N20" t="s">
        <v>27</v>
      </c>
      <c r="O20" t="s">
        <v>28</v>
      </c>
      <c r="Q20" t="s">
        <v>29</v>
      </c>
      <c r="R20" s="4" t="str">
        <f>'FY26 Revenue'!C20</f>
        <v>Network Services</v>
      </c>
      <c r="S20" s="4" t="str">
        <f>'FY26 Revenue'!C20</f>
        <v>Network Services</v>
      </c>
      <c r="T20">
        <f>'FY26 Revenue'!M20</f>
        <v>10.8</v>
      </c>
    </row>
    <row r="21" spans="1:20" x14ac:dyDescent="0.3">
      <c r="A21">
        <v>37395</v>
      </c>
      <c r="B21" t="s">
        <v>21</v>
      </c>
      <c r="C21" s="5" t="str">
        <f>'FY26 Revenue'!N21</f>
        <v>REV_Telecommunications &amp; Networks</v>
      </c>
      <c r="D21" t="str">
        <f>_xlfn.XLOOKUP(C21,'Extract_for_Locations 1 Oct 25'!B:B,'Extract_for_Locations 1 Oct 25'!E:E)</f>
        <v>L9.J.234</v>
      </c>
      <c r="E21">
        <v>7868</v>
      </c>
      <c r="F21" t="s">
        <v>24</v>
      </c>
      <c r="H21" s="3" t="str">
        <f>CONCATENATE("FY26REV_",'FY26 Revenue'!B21)</f>
        <v>FY26REV_Telecommunications &amp; Networks</v>
      </c>
      <c r="I21" s="3" t="str">
        <f>CONCATENATE("FY26REV_",'FY26 Revenue'!B21)</f>
        <v>FY26REV_Telecommunications &amp; Networks</v>
      </c>
      <c r="J21" t="s">
        <v>21</v>
      </c>
      <c r="K21" t="s">
        <v>26</v>
      </c>
      <c r="L21" s="28">
        <v>46113</v>
      </c>
      <c r="M21" s="28">
        <v>46142</v>
      </c>
      <c r="N21" t="s">
        <v>27</v>
      </c>
      <c r="O21" t="s">
        <v>28</v>
      </c>
      <c r="Q21" t="s">
        <v>29</v>
      </c>
      <c r="R21" s="4" t="str">
        <f>'FY26 Revenue'!C21</f>
        <v>Telco</v>
      </c>
      <c r="S21" s="4" t="str">
        <f>'FY26 Revenue'!C21</f>
        <v>Telco</v>
      </c>
      <c r="T21">
        <f>'FY26 Revenue'!M21</f>
        <v>11.9</v>
      </c>
    </row>
    <row r="22" spans="1:20" x14ac:dyDescent="0.3">
      <c r="A22">
        <v>37395</v>
      </c>
      <c r="B22" t="s">
        <v>21</v>
      </c>
      <c r="C22" s="5" t="str">
        <f>'FY26 Revenue'!N22</f>
        <v>REV_Network Services</v>
      </c>
      <c r="D22" t="str">
        <f>_xlfn.XLOOKUP(C22,'Extract_for_Locations 1 Oct 25'!B:B,'Extract_for_Locations 1 Oct 25'!E:E)</f>
        <v>L9.S.WPSTLSTH00</v>
      </c>
      <c r="E22">
        <v>7868</v>
      </c>
      <c r="F22" t="s">
        <v>24</v>
      </c>
      <c r="H22" s="3" t="str">
        <f>CONCATENATE("FY26REV_",'FY26 Revenue'!B22)</f>
        <v>FY26REV_Network Services</v>
      </c>
      <c r="I22" s="3" t="str">
        <f>CONCATENATE("FY26REV_",'FY26 Revenue'!B22)</f>
        <v>FY26REV_Network Services</v>
      </c>
      <c r="J22" t="s">
        <v>21</v>
      </c>
      <c r="K22" t="s">
        <v>26</v>
      </c>
      <c r="L22" s="28">
        <v>46113</v>
      </c>
      <c r="M22" s="28">
        <v>46142</v>
      </c>
      <c r="N22" t="s">
        <v>27</v>
      </c>
      <c r="O22" t="s">
        <v>28</v>
      </c>
      <c r="Q22" t="s">
        <v>29</v>
      </c>
      <c r="R22" s="4" t="str">
        <f>'FY26 Revenue'!C22</f>
        <v>Network Services - OMSA&amp;ESC</v>
      </c>
      <c r="S22" s="4" t="str">
        <f>'FY26 Revenue'!C22</f>
        <v>Network Services - OMSA&amp;ESC</v>
      </c>
      <c r="T22">
        <f>'FY26 Revenue'!M22</f>
        <v>0</v>
      </c>
    </row>
    <row r="23" spans="1:20" x14ac:dyDescent="0.3">
      <c r="A23">
        <v>37395</v>
      </c>
      <c r="B23" t="s">
        <v>21</v>
      </c>
      <c r="C23" s="5" t="str">
        <f>'FY26 Revenue'!N23</f>
        <v>REV_Network Services</v>
      </c>
      <c r="D23" t="str">
        <f>_xlfn.XLOOKUP(C23,'Extract_for_Locations 1 Oct 25'!B:B,'Extract_for_Locations 1 Oct 25'!E:E)</f>
        <v>L9.S.WPSTLSTH00</v>
      </c>
      <c r="E23">
        <v>7868</v>
      </c>
      <c r="F23" t="s">
        <v>24</v>
      </c>
      <c r="H23" s="3" t="str">
        <f>CONCATENATE("FY26REV_",'FY26 Revenue'!B23)</f>
        <v>FY26REV_Network Services</v>
      </c>
      <c r="I23" s="3" t="str">
        <f>CONCATENATE("FY26REV_",'FY26 Revenue'!B23)</f>
        <v>FY26REV_Network Services</v>
      </c>
      <c r="J23" t="s">
        <v>21</v>
      </c>
      <c r="K23" t="s">
        <v>26</v>
      </c>
      <c r="L23" s="28">
        <v>46113</v>
      </c>
      <c r="M23" s="28">
        <v>46142</v>
      </c>
      <c r="N23" t="s">
        <v>27</v>
      </c>
      <c r="O23" t="s">
        <v>28</v>
      </c>
      <c r="Q23" t="s">
        <v>29</v>
      </c>
      <c r="R23" s="4" t="str">
        <f>'FY26 Revenue'!C23</f>
        <v>Network Services - Logistics</v>
      </c>
      <c r="S23" s="4" t="str">
        <f>'FY26 Revenue'!C23</f>
        <v>Network Services - Logistics</v>
      </c>
      <c r="T23">
        <f>'FY26 Revenue'!M23</f>
        <v>0</v>
      </c>
    </row>
    <row r="24" spans="1:20" x14ac:dyDescent="0.3">
      <c r="A24">
        <v>37395</v>
      </c>
      <c r="B24" t="s">
        <v>21</v>
      </c>
      <c r="C24" s="5" t="str">
        <f>'FY26 Revenue'!N24</f>
        <v>REV_Water</v>
      </c>
      <c r="D24" t="str">
        <f>_xlfn.XLOOKUP(C24,'Extract_for_Locations 1 Oct 25'!B:B,'Extract_for_Locations 1 Oct 25'!E:E)</f>
        <v>L9.J.39220126</v>
      </c>
      <c r="E24">
        <v>7868</v>
      </c>
      <c r="F24" t="s">
        <v>24</v>
      </c>
      <c r="H24" s="3" t="str">
        <f>CONCATENATE("FY26REV_",'FY26 Revenue'!B24)</f>
        <v>FY26REV_Water</v>
      </c>
      <c r="I24" s="3" t="str">
        <f>CONCATENATE("FY26REV_",'FY26 Revenue'!B24)</f>
        <v>FY26REV_Water</v>
      </c>
      <c r="J24" t="s">
        <v>21</v>
      </c>
      <c r="K24" t="s">
        <v>26</v>
      </c>
      <c r="L24" s="28">
        <v>46113</v>
      </c>
      <c r="M24" s="28">
        <v>46142</v>
      </c>
      <c r="N24" t="s">
        <v>27</v>
      </c>
      <c r="O24" t="s">
        <v>28</v>
      </c>
      <c r="Q24" t="s">
        <v>29</v>
      </c>
      <c r="R24" s="4" t="str">
        <f>'FY26 Revenue'!C24</f>
        <v>Water Services</v>
      </c>
      <c r="S24" s="4" t="str">
        <f>'FY26 Revenue'!C24</f>
        <v>Water Services</v>
      </c>
      <c r="T24">
        <f>'FY26 Revenue'!M24</f>
        <v>58.6</v>
      </c>
    </row>
    <row r="25" spans="1:20" x14ac:dyDescent="0.3">
      <c r="A25">
        <v>37395</v>
      </c>
      <c r="B25" t="s">
        <v>21</v>
      </c>
      <c r="C25" s="5" t="str">
        <f>'FY26 Revenue'!N25</f>
        <v>REV_Water</v>
      </c>
      <c r="D25" t="str">
        <f>_xlfn.XLOOKUP(C25,'Extract_for_Locations 1 Oct 25'!B:B,'Extract_for_Locations 1 Oct 25'!E:E)</f>
        <v>L9.J.39220126</v>
      </c>
      <c r="E25">
        <v>7868</v>
      </c>
      <c r="F25" t="s">
        <v>24</v>
      </c>
      <c r="H25" s="3" t="str">
        <f>CONCATENATE("FY26REV_",'FY26 Revenue'!B25)</f>
        <v>FY26REV_Water</v>
      </c>
      <c r="I25" s="3" t="str">
        <f>CONCATENATE("FY26REV_",'FY26 Revenue'!B25)</f>
        <v>FY26REV_Water</v>
      </c>
      <c r="J25" t="s">
        <v>21</v>
      </c>
      <c r="K25" t="s">
        <v>26</v>
      </c>
      <c r="L25" s="28">
        <v>46113</v>
      </c>
      <c r="M25" s="28">
        <v>46142</v>
      </c>
      <c r="N25" t="s">
        <v>27</v>
      </c>
      <c r="O25" t="s">
        <v>28</v>
      </c>
      <c r="Q25" t="s">
        <v>29</v>
      </c>
      <c r="R25" s="4" t="str">
        <f>'FY26 Revenue'!C25</f>
        <v>Water NZ</v>
      </c>
      <c r="S25" s="4" t="str">
        <f>'FY26 Revenue'!C25</f>
        <v>Water NZ</v>
      </c>
      <c r="T25">
        <f>'FY26 Revenue'!M25</f>
        <v>14.8</v>
      </c>
    </row>
    <row r="26" spans="1:20" x14ac:dyDescent="0.3">
      <c r="A26">
        <v>37395</v>
      </c>
      <c r="B26" t="s">
        <v>21</v>
      </c>
      <c r="C26" s="5" t="str">
        <f>'FY26 Revenue'!N26</f>
        <v>REV_Power Projects</v>
      </c>
      <c r="D26" t="str">
        <f>_xlfn.XLOOKUP(C26,'Extract_for_Locations 1 Oct 25'!B:B,'Extract_for_Locations 1 Oct 25'!E:E)</f>
        <v>RPP</v>
      </c>
      <c r="E26">
        <v>7868</v>
      </c>
      <c r="F26" t="s">
        <v>24</v>
      </c>
      <c r="H26" s="3" t="str">
        <f>CONCATENATE("FY26REV_",'FY26 Revenue'!B26)</f>
        <v>FY26REV_Power Projects</v>
      </c>
      <c r="I26" s="3" t="str">
        <f>CONCATENATE("FY26REV_",'FY26 Revenue'!B26)</f>
        <v>FY26REV_Power Projects</v>
      </c>
      <c r="J26" t="s">
        <v>21</v>
      </c>
      <c r="K26" t="s">
        <v>26</v>
      </c>
      <c r="L26" s="28">
        <v>46113</v>
      </c>
      <c r="M26" s="28">
        <v>46142</v>
      </c>
      <c r="N26" t="s">
        <v>27</v>
      </c>
      <c r="O26" t="s">
        <v>28</v>
      </c>
      <c r="Q26" t="s">
        <v>29</v>
      </c>
      <c r="R26" s="4" t="str">
        <f>'FY26 Revenue'!C26</f>
        <v>Power Projects</v>
      </c>
      <c r="S26" s="4" t="str">
        <f>'FY26 Revenue'!C26</f>
        <v>Power Projects</v>
      </c>
      <c r="T26">
        <f>'FY26 Revenue'!M26</f>
        <v>24.4</v>
      </c>
    </row>
    <row r="27" spans="1:20" x14ac:dyDescent="0.3">
      <c r="A27">
        <v>37395</v>
      </c>
      <c r="B27" t="s">
        <v>21</v>
      </c>
      <c r="C27" s="5" t="str">
        <f>'FY26 Revenue'!N27</f>
        <v>REV_Energy &amp; Industrial</v>
      </c>
      <c r="D27" t="str">
        <f>_xlfn.XLOOKUP(C27,'Extract_for_Locations 1 Oct 25'!B:B,'Extract_for_Locations 1 Oct 25'!E:E)</f>
        <v>L9.J.381</v>
      </c>
      <c r="E27">
        <v>7868</v>
      </c>
      <c r="F27" t="s">
        <v>24</v>
      </c>
      <c r="H27" s="3" t="str">
        <f>CONCATENATE("FY26REV_",'FY26 Revenue'!B27)</f>
        <v>FY26REV_Energy &amp; Industrial</v>
      </c>
      <c r="I27" s="3" t="str">
        <f>CONCATENATE("FY26REV_",'FY26 Revenue'!B27)</f>
        <v>FY26REV_Energy &amp; Industrial</v>
      </c>
      <c r="J27" t="s">
        <v>21</v>
      </c>
      <c r="K27" t="s">
        <v>26</v>
      </c>
      <c r="L27" s="28">
        <v>46113</v>
      </c>
      <c r="M27" s="28">
        <v>46142</v>
      </c>
      <c r="N27" t="s">
        <v>27</v>
      </c>
      <c r="O27" t="s">
        <v>28</v>
      </c>
      <c r="Q27" t="s">
        <v>29</v>
      </c>
      <c r="R27" s="4" t="str">
        <f>'FY26 Revenue'!C27</f>
        <v>Energy &amp; Industrial West</v>
      </c>
      <c r="S27" s="4" t="str">
        <f>'FY26 Revenue'!C27</f>
        <v>Energy &amp; Industrial West</v>
      </c>
      <c r="T27">
        <f>'FY26 Revenue'!M27</f>
        <v>9.5</v>
      </c>
    </row>
    <row r="28" spans="1:20" x14ac:dyDescent="0.3">
      <c r="A28">
        <v>37395</v>
      </c>
      <c r="B28" t="s">
        <v>21</v>
      </c>
      <c r="C28" s="5" t="str">
        <f>'FY26 Revenue'!N28</f>
        <v>REV_Energy &amp; Industrial</v>
      </c>
      <c r="D28" t="str">
        <f>_xlfn.XLOOKUP(C28,'Extract_for_Locations 1 Oct 25'!B:B,'Extract_for_Locations 1 Oct 25'!E:E)</f>
        <v>L9.J.381</v>
      </c>
      <c r="E28">
        <v>7868</v>
      </c>
      <c r="F28" t="s">
        <v>24</v>
      </c>
      <c r="H28" s="3" t="str">
        <f>CONCATENATE("FY26REV_",'FY26 Revenue'!B28)</f>
        <v>FY26REV_Energy &amp; Industrial</v>
      </c>
      <c r="I28" s="3" t="str">
        <f>CONCATENATE("FY26REV_",'FY26 Revenue'!B28)</f>
        <v>FY26REV_Energy &amp; Industrial</v>
      </c>
      <c r="J28" t="s">
        <v>21</v>
      </c>
      <c r="K28" t="s">
        <v>26</v>
      </c>
      <c r="L28" s="28">
        <v>46113</v>
      </c>
      <c r="M28" s="28">
        <v>46142</v>
      </c>
      <c r="N28" t="s">
        <v>27</v>
      </c>
      <c r="O28" t="s">
        <v>28</v>
      </c>
      <c r="Q28" t="s">
        <v>29</v>
      </c>
      <c r="R28" s="4" t="str">
        <f>'FY26 Revenue'!C28</f>
        <v>Energy &amp; Industrial East</v>
      </c>
      <c r="S28" s="4" t="str">
        <f>'FY26 Revenue'!C28</f>
        <v>Energy &amp; Industrial East</v>
      </c>
      <c r="T28">
        <f>'FY26 Revenue'!M28</f>
        <v>15.7</v>
      </c>
    </row>
    <row r="29" spans="1:20" x14ac:dyDescent="0.3">
      <c r="A29">
        <v>37395</v>
      </c>
      <c r="B29" t="s">
        <v>21</v>
      </c>
      <c r="C29" s="5" t="str">
        <f>'FY26 Revenue'!N29</f>
        <v>REV_Energy &amp; Industrial</v>
      </c>
      <c r="D29" t="str">
        <f>_xlfn.XLOOKUP(C29,'Extract_for_Locations 1 Oct 25'!B:B,'Extract_for_Locations 1 Oct 25'!E:E)</f>
        <v>L9.J.381</v>
      </c>
      <c r="E29">
        <v>7868</v>
      </c>
      <c r="F29" t="s">
        <v>24</v>
      </c>
      <c r="H29" s="3" t="str">
        <f>CONCATENATE("FY26REV_",'FY26 Revenue'!B29)</f>
        <v>FY26REV_Energy &amp; Industrial</v>
      </c>
      <c r="I29" s="3" t="str">
        <f>CONCATENATE("FY26REV_",'FY26 Revenue'!B29)</f>
        <v>FY26REV_Energy &amp; Industrial</v>
      </c>
      <c r="J29" t="s">
        <v>21</v>
      </c>
      <c r="K29" t="s">
        <v>26</v>
      </c>
      <c r="L29" s="28">
        <v>46113</v>
      </c>
      <c r="M29" s="28">
        <v>46142</v>
      </c>
      <c r="N29" t="s">
        <v>27</v>
      </c>
      <c r="O29" t="s">
        <v>28</v>
      </c>
      <c r="Q29" t="s">
        <v>29</v>
      </c>
      <c r="R29" s="4" t="str">
        <f>'FY26 Revenue'!C29</f>
        <v>Energy Solutions</v>
      </c>
      <c r="S29" s="4" t="str">
        <f>'FY26 Revenue'!C29</f>
        <v>Energy Solutions</v>
      </c>
      <c r="T29">
        <f>'FY26 Revenue'!M29</f>
        <v>8.1</v>
      </c>
    </row>
    <row r="30" spans="1:20" x14ac:dyDescent="0.3">
      <c r="A30">
        <v>37395</v>
      </c>
      <c r="B30" t="s">
        <v>21</v>
      </c>
      <c r="C30" s="5" t="str">
        <f>'FY26 Revenue'!N30</f>
        <v>REV_Energy &amp; Industrial</v>
      </c>
      <c r="D30" t="str">
        <f>_xlfn.XLOOKUP(C30,'Extract_for_Locations 1 Oct 25'!B:B,'Extract_for_Locations 1 Oct 25'!E:E)</f>
        <v>L9.J.381</v>
      </c>
      <c r="E30">
        <v>7868</v>
      </c>
      <c r="F30" t="s">
        <v>24</v>
      </c>
      <c r="H30" s="3" t="str">
        <f>CONCATENATE("FY26REV_",'FY26 Revenue'!B30)</f>
        <v>FY26REV_Energy &amp; Industrial</v>
      </c>
      <c r="I30" s="3" t="str">
        <f>CONCATENATE("FY26REV_",'FY26 Revenue'!B30)</f>
        <v>FY26REV_Energy &amp; Industrial</v>
      </c>
      <c r="J30" t="s">
        <v>21</v>
      </c>
      <c r="K30" t="s">
        <v>26</v>
      </c>
      <c r="L30" s="28">
        <v>46113</v>
      </c>
      <c r="M30" s="28">
        <v>46142</v>
      </c>
      <c r="N30" t="s">
        <v>27</v>
      </c>
      <c r="O30" t="s">
        <v>28</v>
      </c>
      <c r="Q30" t="s">
        <v>29</v>
      </c>
      <c r="R30" s="4" t="str">
        <f>'FY26 Revenue'!C30</f>
        <v>Energy Networks</v>
      </c>
      <c r="S30" s="4" t="str">
        <f>'FY26 Revenue'!C30</f>
        <v>Energy Networks</v>
      </c>
      <c r="T30">
        <f>'FY26 Revenue'!M30</f>
        <v>16.8</v>
      </c>
    </row>
    <row r="31" spans="1:20" x14ac:dyDescent="0.3">
      <c r="A31">
        <v>37395</v>
      </c>
      <c r="B31" t="s">
        <v>21</v>
      </c>
      <c r="C31" s="5" t="str">
        <f>'FY26 Revenue'!N31</f>
        <v>REV_Mineral Technologies</v>
      </c>
      <c r="D31" t="str">
        <f>_xlfn.XLOOKUP(C31,'Extract_for_Locations 1 Oct 25'!B:B,'Extract_for_Locations 1 Oct 25'!E:E)</f>
        <v>IEMT</v>
      </c>
      <c r="E31">
        <v>7868</v>
      </c>
      <c r="F31" t="s">
        <v>24</v>
      </c>
      <c r="H31" s="3" t="str">
        <f>CONCATENATE("FY26REV_",'FY26 Revenue'!B31)</f>
        <v>FY26REV_Mineral Technologies</v>
      </c>
      <c r="I31" s="3" t="str">
        <f>CONCATENATE("FY26REV_",'FY26 Revenue'!B31)</f>
        <v>FY26REV_Mineral Technologies</v>
      </c>
      <c r="J31" t="s">
        <v>21</v>
      </c>
      <c r="K31" t="s">
        <v>26</v>
      </c>
      <c r="L31" s="28">
        <v>46113</v>
      </c>
      <c r="M31" s="28">
        <v>46142</v>
      </c>
      <c r="N31" t="s">
        <v>27</v>
      </c>
      <c r="O31" t="s">
        <v>28</v>
      </c>
      <c r="Q31" t="s">
        <v>29</v>
      </c>
      <c r="R31" s="4" t="str">
        <f>'FY26 Revenue'!C31</f>
        <v>Metallurgical Lab</v>
      </c>
      <c r="S31" s="4" t="str">
        <f>'FY26 Revenue'!C31</f>
        <v>Metallurgical Lab</v>
      </c>
      <c r="T31">
        <f>'FY26 Revenue'!M31</f>
        <v>0.4</v>
      </c>
    </row>
    <row r="32" spans="1:20" x14ac:dyDescent="0.3">
      <c r="A32">
        <v>37395</v>
      </c>
      <c r="B32" t="s">
        <v>21</v>
      </c>
      <c r="C32" s="5" t="str">
        <f>'FY26 Revenue'!N32</f>
        <v>REV_Mineral Technologies</v>
      </c>
      <c r="D32" t="str">
        <f>_xlfn.XLOOKUP(C32,'Extract_for_Locations 1 Oct 25'!B:B,'Extract_for_Locations 1 Oct 25'!E:E)</f>
        <v>IEMT</v>
      </c>
      <c r="E32">
        <v>7868</v>
      </c>
      <c r="F32" t="s">
        <v>24</v>
      </c>
      <c r="H32" s="3" t="str">
        <f>CONCATENATE("FY26REV_",'FY26 Revenue'!B32)</f>
        <v>FY26REV_Mineral Technologies</v>
      </c>
      <c r="I32" s="3" t="str">
        <f>CONCATENATE("FY26REV_",'FY26 Revenue'!B32)</f>
        <v>FY26REV_Mineral Technologies</v>
      </c>
      <c r="J32" t="s">
        <v>21</v>
      </c>
      <c r="K32" t="s">
        <v>26</v>
      </c>
      <c r="L32" s="28">
        <v>46113</v>
      </c>
      <c r="M32" s="28">
        <v>46142</v>
      </c>
      <c r="N32" t="s">
        <v>27</v>
      </c>
      <c r="O32" t="s">
        <v>28</v>
      </c>
      <c r="Q32" t="s">
        <v>29</v>
      </c>
      <c r="R32" s="4" t="str">
        <f>'FY26 Revenue'!C32</f>
        <v>MT Equipment and R&amp;D Aus</v>
      </c>
      <c r="S32" s="4" t="str">
        <f>'FY26 Revenue'!C32</f>
        <v>MT Equipment and R&amp;D Aus</v>
      </c>
      <c r="T32">
        <f>'FY26 Revenue'!M32</f>
        <v>1.2</v>
      </c>
    </row>
    <row r="33" spans="1:20" x14ac:dyDescent="0.3">
      <c r="A33">
        <v>37395</v>
      </c>
      <c r="B33" t="s">
        <v>21</v>
      </c>
      <c r="C33" s="5" t="str">
        <f>'FY26 Revenue'!N33</f>
        <v>REV_Mineral Technologies</v>
      </c>
      <c r="D33" t="str">
        <f>_xlfn.XLOOKUP(C33,'Extract_for_Locations 1 Oct 25'!B:B,'Extract_for_Locations 1 Oct 25'!E:E)</f>
        <v>IEMT</v>
      </c>
      <c r="E33">
        <v>7868</v>
      </c>
      <c r="F33" t="s">
        <v>24</v>
      </c>
      <c r="H33" s="3" t="str">
        <f>CONCATENATE("FY26REV_",'FY26 Revenue'!B33)</f>
        <v>FY26REV_Mineral Technologies</v>
      </c>
      <c r="I33" s="3" t="str">
        <f>CONCATENATE("FY26REV_",'FY26 Revenue'!B33)</f>
        <v>FY26REV_Mineral Technologies</v>
      </c>
      <c r="J33" t="s">
        <v>21</v>
      </c>
      <c r="K33" t="s">
        <v>26</v>
      </c>
      <c r="L33" s="28">
        <v>46113</v>
      </c>
      <c r="M33" s="28">
        <v>46142</v>
      </c>
      <c r="N33" t="s">
        <v>27</v>
      </c>
      <c r="O33" t="s">
        <v>28</v>
      </c>
      <c r="Q33" t="s">
        <v>29</v>
      </c>
      <c r="R33" s="4" t="str">
        <f>'FY26 Revenue'!C33</f>
        <v>MT Engineering Services Aus</v>
      </c>
      <c r="S33" s="4" t="str">
        <f>'FY26 Revenue'!C33</f>
        <v>MT Engineering Services Aus</v>
      </c>
      <c r="T33">
        <f>'FY26 Revenue'!M33</f>
        <v>5.9</v>
      </c>
    </row>
    <row r="34" spans="1:20" x14ac:dyDescent="0.3">
      <c r="A34">
        <v>37395</v>
      </c>
      <c r="B34" t="s">
        <v>21</v>
      </c>
      <c r="C34" s="5" t="str">
        <f>'FY26 Revenue'!N34</f>
        <v>REV_Mineral Technologies</v>
      </c>
      <c r="D34" t="str">
        <f>_xlfn.XLOOKUP(C34,'Extract_for_Locations 1 Oct 25'!B:B,'Extract_for_Locations 1 Oct 25'!E:E)</f>
        <v>IEMT</v>
      </c>
      <c r="E34">
        <v>7868</v>
      </c>
      <c r="F34" t="s">
        <v>24</v>
      </c>
      <c r="H34" s="3" t="str">
        <f>CONCATENATE("FY26REV_",'FY26 Revenue'!B34)</f>
        <v>FY26REV_Mineral Technologies</v>
      </c>
      <c r="I34" s="3" t="str">
        <f>CONCATENATE("FY26REV_",'FY26 Revenue'!B34)</f>
        <v>FY26REV_Mineral Technologies</v>
      </c>
      <c r="J34" t="s">
        <v>21</v>
      </c>
      <c r="K34" t="s">
        <v>26</v>
      </c>
      <c r="L34" s="28">
        <v>46113</v>
      </c>
      <c r="M34" s="28">
        <v>46142</v>
      </c>
      <c r="N34" t="s">
        <v>27</v>
      </c>
      <c r="O34" t="s">
        <v>28</v>
      </c>
      <c r="Q34" t="s">
        <v>29</v>
      </c>
      <c r="R34" s="4" t="str">
        <f>'FY26 Revenue'!C34</f>
        <v>MT Geology</v>
      </c>
      <c r="S34" s="4" t="str">
        <f>'FY26 Revenue'!C34</f>
        <v>MT Geology</v>
      </c>
      <c r="T34">
        <f>'FY26 Revenue'!M34</f>
        <v>0</v>
      </c>
    </row>
    <row r="35" spans="1:20" x14ac:dyDescent="0.3">
      <c r="A35">
        <v>37395</v>
      </c>
      <c r="B35" t="s">
        <v>21</v>
      </c>
      <c r="C35" s="5" t="str">
        <f>'FY26 Revenue'!N35</f>
        <v>REV_Mineral Technologies</v>
      </c>
      <c r="D35" t="str">
        <f>_xlfn.XLOOKUP(C35,'Extract_for_Locations 1 Oct 25'!B:B,'Extract_for_Locations 1 Oct 25'!E:E)</f>
        <v>IEMT</v>
      </c>
      <c r="E35">
        <v>7868</v>
      </c>
      <c r="F35" t="s">
        <v>24</v>
      </c>
      <c r="H35" s="3" t="str">
        <f>CONCATENATE("FY26REV_",'FY26 Revenue'!B35)</f>
        <v>FY26REV_Mineral Technologies</v>
      </c>
      <c r="I35" s="3" t="str">
        <f>CONCATENATE("FY26REV_",'FY26 Revenue'!B35)</f>
        <v>FY26REV_Mineral Technologies</v>
      </c>
      <c r="J35" t="s">
        <v>21</v>
      </c>
      <c r="K35" t="s">
        <v>26</v>
      </c>
      <c r="L35" s="28">
        <v>46113</v>
      </c>
      <c r="M35" s="28">
        <v>46142</v>
      </c>
      <c r="N35" t="s">
        <v>27</v>
      </c>
      <c r="O35" t="s">
        <v>28</v>
      </c>
      <c r="Q35" t="s">
        <v>29</v>
      </c>
      <c r="R35" s="4" t="str">
        <f>'FY26 Revenue'!C35</f>
        <v>MT Overheads</v>
      </c>
      <c r="S35" s="4" t="str">
        <f>'FY26 Revenue'!C35</f>
        <v>MT Overheads</v>
      </c>
      <c r="T35">
        <f>'FY26 Revenue'!M35</f>
        <v>0</v>
      </c>
    </row>
    <row r="36" spans="1:20" x14ac:dyDescent="0.3">
      <c r="A36">
        <v>37395</v>
      </c>
      <c r="B36" t="s">
        <v>21</v>
      </c>
      <c r="C36" s="5" t="str">
        <f>'FY26 Revenue'!N36</f>
        <v>REV_Utilities Legacy &amp; Other</v>
      </c>
      <c r="D36" t="str">
        <f>_xlfn.XLOOKUP(C36,'Extract_for_Locations 1 Oct 25'!B:B,'Extract_for_Locations 1 Oct 25'!E:E)</f>
        <v>UTLLEGO</v>
      </c>
      <c r="E36">
        <v>7868</v>
      </c>
      <c r="F36" t="s">
        <v>24</v>
      </c>
      <c r="H36" s="3" t="str">
        <f>CONCATENATE("FY26REV_",'FY26 Revenue'!B36)</f>
        <v>FY26REV_Utilities Legacy &amp; Other</v>
      </c>
      <c r="I36" s="3" t="str">
        <f>CONCATENATE("FY26REV_",'FY26 Revenue'!B36)</f>
        <v>FY26REV_Utilities Legacy &amp; Other</v>
      </c>
      <c r="J36" t="s">
        <v>21</v>
      </c>
      <c r="K36" t="s">
        <v>26</v>
      </c>
      <c r="L36" s="28">
        <v>46113</v>
      </c>
      <c r="M36" s="28">
        <v>46142</v>
      </c>
      <c r="N36" t="s">
        <v>27</v>
      </c>
      <c r="O36" t="s">
        <v>28</v>
      </c>
      <c r="Q36" t="s">
        <v>29</v>
      </c>
      <c r="R36" s="4" t="str">
        <f>'FY26 Revenue'!C36</f>
        <v>Utilities Legacy &amp; Other AU</v>
      </c>
      <c r="S36" s="4" t="str">
        <f>'FY26 Revenue'!C36</f>
        <v>Utilities Legacy &amp; Other AU</v>
      </c>
      <c r="T36">
        <f>'FY26 Revenue'!M36</f>
        <v>0</v>
      </c>
    </row>
    <row r="37" spans="1:20" x14ac:dyDescent="0.3">
      <c r="A37">
        <v>37395</v>
      </c>
      <c r="B37" t="s">
        <v>21</v>
      </c>
      <c r="C37" s="5" t="str">
        <f>'FY26 Revenue'!N37</f>
        <v>REV_EU Support</v>
      </c>
      <c r="D37" t="str">
        <f>_xlfn.XLOOKUP(C37,'Extract_for_Locations 1 Oct 25'!B:B,'Extract_for_Locations 1 Oct 25'!E:E)</f>
        <v>L9.DUA.30172800</v>
      </c>
      <c r="E37">
        <v>7868</v>
      </c>
      <c r="F37" t="s">
        <v>24</v>
      </c>
      <c r="H37" s="3" t="str">
        <f>CONCATENATE("FY26REV_",'FY26 Revenue'!B37)</f>
        <v>FY26REV_EU Support</v>
      </c>
      <c r="I37" s="3" t="str">
        <f>CONCATENATE("FY26REV_",'FY26 Revenue'!B37)</f>
        <v>FY26REV_EU Support</v>
      </c>
      <c r="J37" t="s">
        <v>21</v>
      </c>
      <c r="K37" t="s">
        <v>26</v>
      </c>
      <c r="L37" s="28">
        <v>46113</v>
      </c>
      <c r="M37" s="28">
        <v>46142</v>
      </c>
      <c r="N37" t="s">
        <v>27</v>
      </c>
      <c r="O37" t="s">
        <v>28</v>
      </c>
      <c r="Q37" t="s">
        <v>29</v>
      </c>
      <c r="R37" s="4" t="str">
        <f>'FY26 Revenue'!C37</f>
        <v>EU Growth</v>
      </c>
      <c r="S37" s="4" t="str">
        <f>'FY26 Revenue'!C37</f>
        <v>EU Growth</v>
      </c>
      <c r="T37">
        <f>'FY26 Revenue'!M37</f>
        <v>1</v>
      </c>
    </row>
    <row r="38" spans="1:20" x14ac:dyDescent="0.3">
      <c r="A38">
        <v>37395</v>
      </c>
      <c r="B38" t="s">
        <v>21</v>
      </c>
      <c r="C38" s="5" t="str">
        <f>'FY26 Revenue'!N38</f>
        <v>REV_EU Support</v>
      </c>
      <c r="D38" t="str">
        <f>_xlfn.XLOOKUP(C38,'Extract_for_Locations 1 Oct 25'!B:B,'Extract_for_Locations 1 Oct 25'!E:E)</f>
        <v>L9.DUA.30172800</v>
      </c>
      <c r="E38">
        <v>7868</v>
      </c>
      <c r="F38" t="s">
        <v>24</v>
      </c>
      <c r="H38" s="3" t="str">
        <f>CONCATENATE("FY26REV_",'FY26 Revenue'!B38)</f>
        <v>FY26REV_EU Support</v>
      </c>
      <c r="I38" s="3" t="str">
        <f>CONCATENATE("FY26REV_",'FY26 Revenue'!B38)</f>
        <v>FY26REV_EU Support</v>
      </c>
      <c r="J38" t="s">
        <v>21</v>
      </c>
      <c r="K38" t="s">
        <v>26</v>
      </c>
      <c r="L38" s="28">
        <v>46113</v>
      </c>
      <c r="M38" s="28">
        <v>46142</v>
      </c>
      <c r="N38" t="s">
        <v>27</v>
      </c>
      <c r="O38" t="s">
        <v>28</v>
      </c>
      <c r="Q38" t="s">
        <v>29</v>
      </c>
      <c r="R38" s="4" t="str">
        <f>'FY26 Revenue'!C38</f>
        <v>EU Overheads/Support Costs</v>
      </c>
      <c r="S38" s="4" t="str">
        <f>'FY26 Revenue'!C38</f>
        <v>EU Overheads/Support Costs</v>
      </c>
      <c r="T38">
        <f>'FY26 Revenue'!M38</f>
        <v>0</v>
      </c>
    </row>
    <row r="39" spans="1:20" x14ac:dyDescent="0.3">
      <c r="A39">
        <v>37395</v>
      </c>
      <c r="B39" t="s">
        <v>21</v>
      </c>
      <c r="C39" s="5" t="str">
        <f>'FY26 Revenue'!N39</f>
        <v>REV_EU Gap</v>
      </c>
      <c r="D39" t="str">
        <f>_xlfn.XLOOKUP(C39,'Extract_for_Locations 1 Oct 25'!B:B,'Extract_for_Locations 1 Oct 25'!E:E)</f>
        <v>L9.J.392150</v>
      </c>
      <c r="E39">
        <v>7868</v>
      </c>
      <c r="F39" t="s">
        <v>24</v>
      </c>
      <c r="H39" s="3" t="str">
        <f>CONCATENATE("FY26REV_",'FY26 Revenue'!B39)</f>
        <v>FY26REV_EU Gap</v>
      </c>
      <c r="I39" s="3" t="str">
        <f>CONCATENATE("FY26REV_",'FY26 Revenue'!B39)</f>
        <v>FY26REV_EU Gap</v>
      </c>
      <c r="J39" t="s">
        <v>21</v>
      </c>
      <c r="K39" t="s">
        <v>26</v>
      </c>
      <c r="L39" s="28">
        <v>46113</v>
      </c>
      <c r="M39" s="28">
        <v>46142</v>
      </c>
      <c r="N39" t="s">
        <v>27</v>
      </c>
      <c r="O39" t="s">
        <v>28</v>
      </c>
      <c r="Q39" t="s">
        <v>29</v>
      </c>
      <c r="R39" s="4" t="str">
        <f>'FY26 Revenue'!C39</f>
        <v>Utilities Gap</v>
      </c>
      <c r="S39" s="4" t="str">
        <f>'FY26 Revenue'!C39</f>
        <v>Utilities Gap</v>
      </c>
      <c r="T39">
        <f>'FY26 Revenue'!M39</f>
        <v>0</v>
      </c>
    </row>
    <row r="40" spans="1:20" x14ac:dyDescent="0.3">
      <c r="A40">
        <v>37395</v>
      </c>
      <c r="B40" t="s">
        <v>21</v>
      </c>
      <c r="C40" s="5" t="str">
        <f>'FY26 Revenue'!N40</f>
        <v>REV_Downer Professional Services</v>
      </c>
      <c r="D40" t="str">
        <f>_xlfn.XLOOKUP(C40,'Extract_for_Locations 1 Oct 25'!B:B,'Extract_for_Locations 1 Oct 25'!E:E)</f>
        <v>SICSDPS</v>
      </c>
      <c r="E40">
        <v>7868</v>
      </c>
      <c r="F40" t="s">
        <v>24</v>
      </c>
      <c r="H40" s="3" t="str">
        <f>CONCATENATE("FY26REV_",'FY26 Revenue'!B40)</f>
        <v>FY26REV_Downer Professional Services</v>
      </c>
      <c r="I40" s="3" t="str">
        <f>CONCATENATE("FY26REV_",'FY26 Revenue'!B40)</f>
        <v>FY26REV_Downer Professional Services</v>
      </c>
      <c r="J40" t="s">
        <v>21</v>
      </c>
      <c r="K40" t="s">
        <v>26</v>
      </c>
      <c r="L40" s="28">
        <v>46113</v>
      </c>
      <c r="M40" s="28">
        <v>46142</v>
      </c>
      <c r="N40" t="s">
        <v>27</v>
      </c>
      <c r="O40" t="s">
        <v>28</v>
      </c>
      <c r="Q40" t="s">
        <v>29</v>
      </c>
      <c r="R40" s="4" t="str">
        <f>'FY26 Revenue'!C40</f>
        <v>Downer Professional Services</v>
      </c>
      <c r="S40" s="4" t="str">
        <f>'FY26 Revenue'!C40</f>
        <v>Downer Professional Services</v>
      </c>
      <c r="T40">
        <f>'FY26 Revenue'!M40</f>
        <v>18.100000000000001</v>
      </c>
    </row>
    <row r="41" spans="1:20" x14ac:dyDescent="0.3">
      <c r="A41">
        <v>37395</v>
      </c>
      <c r="B41" t="s">
        <v>21</v>
      </c>
      <c r="C41" s="5" t="str">
        <f>'FY26 Revenue'!N41</f>
        <v>REV_Base &amp; Estate Management</v>
      </c>
      <c r="D41" t="str">
        <f>_xlfn.XLOOKUP(C41,'Extract_for_Locations 1 Oct 25'!B:B,'Extract_for_Locations 1 Oct 25'!E:E)</f>
        <v>SICSBEM</v>
      </c>
      <c r="E41">
        <v>7868</v>
      </c>
      <c r="F41" t="s">
        <v>24</v>
      </c>
      <c r="H41" s="3" t="str">
        <f>CONCATENATE("FY26REV_",'FY26 Revenue'!B41)</f>
        <v>FY26REV_Base &amp; Estate Management</v>
      </c>
      <c r="I41" s="3" t="str">
        <f>CONCATENATE("FY26REV_",'FY26 Revenue'!B41)</f>
        <v>FY26REV_Base &amp; Estate Management</v>
      </c>
      <c r="J41" t="s">
        <v>21</v>
      </c>
      <c r="K41" t="s">
        <v>26</v>
      </c>
      <c r="L41" s="28">
        <v>46113</v>
      </c>
      <c r="M41" s="28">
        <v>46142</v>
      </c>
      <c r="N41" t="s">
        <v>27</v>
      </c>
      <c r="O41" t="s">
        <v>28</v>
      </c>
      <c r="Q41" t="s">
        <v>29</v>
      </c>
      <c r="R41" s="4" t="str">
        <f>'FY26 Revenue'!C41</f>
        <v>PAS</v>
      </c>
      <c r="S41" s="4" t="str">
        <f>'FY26 Revenue'!C41</f>
        <v>PAS</v>
      </c>
      <c r="T41">
        <f>'FY26 Revenue'!M41</f>
        <v>24.8</v>
      </c>
    </row>
    <row r="42" spans="1:20" x14ac:dyDescent="0.3">
      <c r="A42">
        <v>37395</v>
      </c>
      <c r="B42" t="s">
        <v>21</v>
      </c>
      <c r="C42" s="5" t="str">
        <f>'FY26 Revenue'!N42</f>
        <v>REV_Base &amp; Estate Management</v>
      </c>
      <c r="D42" t="str">
        <f>_xlfn.XLOOKUP(C42,'Extract_for_Locations 1 Oct 25'!B:B,'Extract_for_Locations 1 Oct 25'!E:E)</f>
        <v>SICSBEM</v>
      </c>
      <c r="E42">
        <v>7868</v>
      </c>
      <c r="F42" t="s">
        <v>24</v>
      </c>
      <c r="H42" s="3" t="str">
        <f>CONCATENATE("FY26REV_",'FY26 Revenue'!B42)</f>
        <v>FY26REV_Base &amp; Estate Management</v>
      </c>
      <c r="I42" s="3" t="str">
        <f>CONCATENATE("FY26REV_",'FY26 Revenue'!B42)</f>
        <v>FY26REV_Base &amp; Estate Management</v>
      </c>
      <c r="J42" t="s">
        <v>21</v>
      </c>
      <c r="K42" t="s">
        <v>26</v>
      </c>
      <c r="L42" s="28">
        <v>46113</v>
      </c>
      <c r="M42" s="28">
        <v>46142</v>
      </c>
      <c r="N42" t="s">
        <v>27</v>
      </c>
      <c r="O42" t="s">
        <v>28</v>
      </c>
      <c r="Q42" t="s">
        <v>29</v>
      </c>
      <c r="R42" s="4" t="str">
        <f>'FY26 Revenue'!C42</f>
        <v>EMOS</v>
      </c>
      <c r="S42" s="4" t="str">
        <f>'FY26 Revenue'!C42</f>
        <v>EMOS</v>
      </c>
      <c r="T42">
        <f>'FY26 Revenue'!M42</f>
        <v>0.6</v>
      </c>
    </row>
    <row r="43" spans="1:20" x14ac:dyDescent="0.3">
      <c r="A43">
        <v>37395</v>
      </c>
      <c r="B43" t="s">
        <v>21</v>
      </c>
      <c r="C43" s="5" t="str">
        <f>'FY26 Revenue'!N43</f>
        <v>REV_Base &amp; Estate Management</v>
      </c>
      <c r="D43" t="str">
        <f>_xlfn.XLOOKUP(C43,'Extract_for_Locations 1 Oct 25'!B:B,'Extract_for_Locations 1 Oct 25'!E:E)</f>
        <v>SICSBEM</v>
      </c>
      <c r="E43">
        <v>7868</v>
      </c>
      <c r="F43" t="s">
        <v>24</v>
      </c>
      <c r="H43" s="3" t="str">
        <f>CONCATENATE("FY26REV_",'FY26 Revenue'!B43)</f>
        <v>FY26REV_Base &amp; Estate Management</v>
      </c>
      <c r="I43" s="3" t="str">
        <f>CONCATENATE("FY26REV_",'FY26 Revenue'!B43)</f>
        <v>FY26REV_Base &amp; Estate Management</v>
      </c>
      <c r="J43" t="s">
        <v>21</v>
      </c>
      <c r="K43" t="s">
        <v>26</v>
      </c>
      <c r="L43" s="28">
        <v>46113</v>
      </c>
      <c r="M43" s="28">
        <v>46142</v>
      </c>
      <c r="N43" t="s">
        <v>27</v>
      </c>
      <c r="O43" t="s">
        <v>28</v>
      </c>
      <c r="Q43" t="s">
        <v>29</v>
      </c>
      <c r="R43" s="4" t="str">
        <f>'FY26 Revenue'!C43</f>
        <v>HQJOC</v>
      </c>
      <c r="S43" s="4" t="str">
        <f>'FY26 Revenue'!C43</f>
        <v>HQJOC</v>
      </c>
      <c r="T43">
        <f>'FY26 Revenue'!M43</f>
        <v>2.2999999999999998</v>
      </c>
    </row>
    <row r="44" spans="1:20" x14ac:dyDescent="0.3">
      <c r="A44">
        <v>37395</v>
      </c>
      <c r="B44" t="s">
        <v>21</v>
      </c>
      <c r="C44" s="5" t="str">
        <f>'FY26 Revenue'!N44</f>
        <v>REV_Base &amp; Estate Management</v>
      </c>
      <c r="D44" t="str">
        <f>_xlfn.XLOOKUP(C44,'Extract_for_Locations 1 Oct 25'!B:B,'Extract_for_Locations 1 Oct 25'!E:E)</f>
        <v>SICSBEM</v>
      </c>
      <c r="E44">
        <v>7868</v>
      </c>
      <c r="F44" t="s">
        <v>24</v>
      </c>
      <c r="H44" s="3" t="str">
        <f>CONCATENATE("FY26REV_",'FY26 Revenue'!B44)</f>
        <v>FY26REV_Base &amp; Estate Management</v>
      </c>
      <c r="I44" s="3" t="str">
        <f>CONCATENATE("FY26REV_",'FY26 Revenue'!B44)</f>
        <v>FY26REV_Base &amp; Estate Management</v>
      </c>
      <c r="J44" t="s">
        <v>21</v>
      </c>
      <c r="K44" t="s">
        <v>26</v>
      </c>
      <c r="L44" s="28">
        <v>46113</v>
      </c>
      <c r="M44" s="28">
        <v>46142</v>
      </c>
      <c r="N44" t="s">
        <v>27</v>
      </c>
      <c r="O44" t="s">
        <v>28</v>
      </c>
      <c r="Q44" t="s">
        <v>29</v>
      </c>
      <c r="R44" s="4" t="str">
        <f>'FY26 Revenue'!C44</f>
        <v>Manuwatu Hub</v>
      </c>
      <c r="S44" s="4" t="str">
        <f>'FY26 Revenue'!C44</f>
        <v>Manuwatu Hub</v>
      </c>
      <c r="T44">
        <f>'FY26 Revenue'!M44</f>
        <v>4</v>
      </c>
    </row>
    <row r="45" spans="1:20" x14ac:dyDescent="0.3">
      <c r="A45">
        <v>37395</v>
      </c>
      <c r="B45" t="s">
        <v>21</v>
      </c>
      <c r="C45" s="5" t="str">
        <f>'FY26 Revenue'!N45</f>
        <v>REV_Base &amp; Estate Management</v>
      </c>
      <c r="D45" t="str">
        <f>_xlfn.XLOOKUP(C45,'Extract_for_Locations 1 Oct 25'!B:B,'Extract_for_Locations 1 Oct 25'!E:E)</f>
        <v>SICSBEM</v>
      </c>
      <c r="E45">
        <v>7868</v>
      </c>
      <c r="F45" t="s">
        <v>24</v>
      </c>
      <c r="H45" s="3" t="str">
        <f>CONCATENATE("FY26REV_",'FY26 Revenue'!B45)</f>
        <v>FY26REV_Base &amp; Estate Management</v>
      </c>
      <c r="I45" s="3" t="str">
        <f>CONCATENATE("FY26REV_",'FY26 Revenue'!B45)</f>
        <v>FY26REV_Base &amp; Estate Management</v>
      </c>
      <c r="J45" t="s">
        <v>21</v>
      </c>
      <c r="K45" t="s">
        <v>26</v>
      </c>
      <c r="L45" s="28">
        <v>46113</v>
      </c>
      <c r="M45" s="28">
        <v>46142</v>
      </c>
      <c r="N45" t="s">
        <v>27</v>
      </c>
      <c r="O45" t="s">
        <v>28</v>
      </c>
      <c r="Q45" t="s">
        <v>29</v>
      </c>
      <c r="R45" s="4" t="str">
        <f>'FY26 Revenue'!C45</f>
        <v>Southern</v>
      </c>
      <c r="S45" s="4" t="str">
        <f>'FY26 Revenue'!C45</f>
        <v>Southern</v>
      </c>
      <c r="T45">
        <f>'FY26 Revenue'!M45</f>
        <v>0.8</v>
      </c>
    </row>
    <row r="46" spans="1:20" x14ac:dyDescent="0.3">
      <c r="A46">
        <v>37395</v>
      </c>
      <c r="B46" t="s">
        <v>21</v>
      </c>
      <c r="C46" s="5" t="str">
        <f>'FY26 Revenue'!N46</f>
        <v>REV_Base &amp; Estate Management</v>
      </c>
      <c r="D46" t="str">
        <f>_xlfn.XLOOKUP(C46,'Extract_for_Locations 1 Oct 25'!B:B,'Extract_for_Locations 1 Oct 25'!E:E)</f>
        <v>SICSBEM</v>
      </c>
      <c r="E46">
        <v>7868</v>
      </c>
      <c r="F46" t="s">
        <v>24</v>
      </c>
      <c r="H46" s="3" t="str">
        <f>CONCATENATE("FY26REV_",'FY26 Revenue'!B46)</f>
        <v>FY26REV_Base &amp; Estate Management</v>
      </c>
      <c r="I46" s="3" t="str">
        <f>CONCATENATE("FY26REV_",'FY26 Revenue'!B46)</f>
        <v>FY26REV_Base &amp; Estate Management</v>
      </c>
      <c r="J46" t="s">
        <v>21</v>
      </c>
      <c r="K46" t="s">
        <v>26</v>
      </c>
      <c r="L46" s="28">
        <v>46113</v>
      </c>
      <c r="M46" s="28">
        <v>46142</v>
      </c>
      <c r="N46" t="s">
        <v>27</v>
      </c>
      <c r="O46" t="s">
        <v>28</v>
      </c>
      <c r="Q46" t="s">
        <v>29</v>
      </c>
      <c r="R46" s="4" t="str">
        <f>'FY26 Revenue'!C46</f>
        <v>DELM Works</v>
      </c>
      <c r="S46" s="4" t="str">
        <f>'FY26 Revenue'!C46</f>
        <v>DELM Works</v>
      </c>
      <c r="T46">
        <f>'FY26 Revenue'!M46</f>
        <v>0</v>
      </c>
    </row>
    <row r="47" spans="1:20" x14ac:dyDescent="0.3">
      <c r="A47">
        <v>37395</v>
      </c>
      <c r="B47" t="s">
        <v>21</v>
      </c>
      <c r="C47" s="5" t="str">
        <f>'FY26 Revenue'!N47</f>
        <v>REV_Base &amp; Estate Management</v>
      </c>
      <c r="D47" t="str">
        <f>_xlfn.XLOOKUP(C47,'Extract_for_Locations 1 Oct 25'!B:B,'Extract_for_Locations 1 Oct 25'!E:E)</f>
        <v>SICSBEM</v>
      </c>
      <c r="E47">
        <v>7868</v>
      </c>
      <c r="F47" t="s">
        <v>24</v>
      </c>
      <c r="H47" s="3" t="str">
        <f>CONCATENATE("FY26REV_",'FY26 Revenue'!B47)</f>
        <v>FY26REV_Base &amp; Estate Management</v>
      </c>
      <c r="I47" s="3" t="str">
        <f>CONCATENATE("FY26REV_",'FY26 Revenue'!B47)</f>
        <v>FY26REV_Base &amp; Estate Management</v>
      </c>
      <c r="J47" t="s">
        <v>21</v>
      </c>
      <c r="K47" t="s">
        <v>26</v>
      </c>
      <c r="L47" s="28">
        <v>46113</v>
      </c>
      <c r="M47" s="28">
        <v>46142</v>
      </c>
      <c r="N47" t="s">
        <v>27</v>
      </c>
      <c r="O47" t="s">
        <v>28</v>
      </c>
      <c r="Q47" t="s">
        <v>29</v>
      </c>
      <c r="R47" s="4" t="str">
        <f>'FY26 Revenue'!C47</f>
        <v>DEWPO</v>
      </c>
      <c r="S47" s="4" t="str">
        <f>'FY26 Revenue'!C47</f>
        <v>DEWPO</v>
      </c>
      <c r="T47">
        <f>'FY26 Revenue'!M47</f>
        <v>0.3</v>
      </c>
    </row>
    <row r="48" spans="1:20" x14ac:dyDescent="0.3">
      <c r="A48">
        <v>37395</v>
      </c>
      <c r="B48" t="s">
        <v>21</v>
      </c>
      <c r="C48" s="5" t="str">
        <f>'FY26 Revenue'!N48</f>
        <v>REV_Managing Contracts</v>
      </c>
      <c r="D48" t="str">
        <f>_xlfn.XLOOKUP(C48,'Extract_for_Locations 1 Oct 25'!B:B,'Extract_for_Locations 1 Oct 25'!E:E)</f>
        <v>L9.S.16016670</v>
      </c>
      <c r="E48">
        <v>7868</v>
      </c>
      <c r="F48" t="s">
        <v>24</v>
      </c>
      <c r="H48" s="3" t="str">
        <f>CONCATENATE("FY26REV_",'FY26 Revenue'!B48)</f>
        <v>FY26REV_Managing Contracts</v>
      </c>
      <c r="I48" s="3" t="str">
        <f>CONCATENATE("FY26REV_",'FY26 Revenue'!B48)</f>
        <v>FY26REV_Managing Contracts</v>
      </c>
      <c r="J48" t="s">
        <v>21</v>
      </c>
      <c r="K48" t="s">
        <v>26</v>
      </c>
      <c r="L48" s="28">
        <v>46113</v>
      </c>
      <c r="M48" s="28">
        <v>46142</v>
      </c>
      <c r="N48" t="s">
        <v>27</v>
      </c>
      <c r="O48" t="s">
        <v>28</v>
      </c>
      <c r="Q48" t="s">
        <v>29</v>
      </c>
      <c r="R48" s="4" t="str">
        <f>'FY26 Revenue'!C48</f>
        <v>RAAF WM</v>
      </c>
      <c r="S48" s="4" t="str">
        <f>'FY26 Revenue'!C48</f>
        <v>RAAF WM</v>
      </c>
      <c r="T48">
        <f>'FY26 Revenue'!M48</f>
        <v>0</v>
      </c>
    </row>
    <row r="49" spans="1:20" x14ac:dyDescent="0.3">
      <c r="A49">
        <v>37395</v>
      </c>
      <c r="B49" t="s">
        <v>21</v>
      </c>
      <c r="C49" s="5" t="str">
        <f>'FY26 Revenue'!N49</f>
        <v>REV_Managing Contracts</v>
      </c>
      <c r="D49" t="str">
        <f>_xlfn.XLOOKUP(C49,'Extract_for_Locations 1 Oct 25'!B:B,'Extract_for_Locations 1 Oct 25'!E:E)</f>
        <v>L9.S.16016670</v>
      </c>
      <c r="E49">
        <v>7868</v>
      </c>
      <c r="F49" t="s">
        <v>24</v>
      </c>
      <c r="H49" s="3" t="str">
        <f>CONCATENATE("FY26REV_",'FY26 Revenue'!B49)</f>
        <v>FY26REV_Managing Contracts</v>
      </c>
      <c r="I49" s="3" t="str">
        <f>CONCATENATE("FY26REV_",'FY26 Revenue'!B49)</f>
        <v>FY26REV_Managing Contracts</v>
      </c>
      <c r="J49" t="s">
        <v>21</v>
      </c>
      <c r="K49" t="s">
        <v>26</v>
      </c>
      <c r="L49" s="28">
        <v>46113</v>
      </c>
      <c r="M49" s="28">
        <v>46142</v>
      </c>
      <c r="N49" t="s">
        <v>27</v>
      </c>
      <c r="O49" t="s">
        <v>28</v>
      </c>
      <c r="Q49" t="s">
        <v>29</v>
      </c>
      <c r="R49" s="4" t="str">
        <f>'FY26 Revenue'!C49</f>
        <v>Riverina Redevelopment Program</v>
      </c>
      <c r="S49" s="4" t="str">
        <f>'FY26 Revenue'!C49</f>
        <v>Riverina Redevelopment Program</v>
      </c>
      <c r="T49">
        <f>'FY26 Revenue'!M49</f>
        <v>1.2</v>
      </c>
    </row>
    <row r="50" spans="1:20" x14ac:dyDescent="0.3">
      <c r="A50">
        <v>37395</v>
      </c>
      <c r="B50" t="s">
        <v>21</v>
      </c>
      <c r="C50" s="5" t="str">
        <f>'FY26 Revenue'!N50</f>
        <v>REV_Managing Contracts</v>
      </c>
      <c r="D50" t="str">
        <f>_xlfn.XLOOKUP(C50,'Extract_for_Locations 1 Oct 25'!B:B,'Extract_for_Locations 1 Oct 25'!E:E)</f>
        <v>L9.S.16016670</v>
      </c>
      <c r="E50">
        <v>7868</v>
      </c>
      <c r="F50" t="s">
        <v>24</v>
      </c>
      <c r="H50" s="3" t="str">
        <f>CONCATENATE("FY26REV_",'FY26 Revenue'!B50)</f>
        <v>FY26REV_Managing Contracts</v>
      </c>
      <c r="I50" s="3" t="str">
        <f>CONCATENATE("FY26REV_",'FY26 Revenue'!B50)</f>
        <v>FY26REV_Managing Contracts</v>
      </c>
      <c r="J50" t="s">
        <v>21</v>
      </c>
      <c r="K50" t="s">
        <v>26</v>
      </c>
      <c r="L50" s="28">
        <v>46113</v>
      </c>
      <c r="M50" s="28">
        <v>46142</v>
      </c>
      <c r="N50" t="s">
        <v>27</v>
      </c>
      <c r="O50" t="s">
        <v>28</v>
      </c>
      <c r="Q50" t="s">
        <v>29</v>
      </c>
      <c r="R50" s="4" t="str">
        <f>'FY26 Revenue'!C50</f>
        <v>Woomera Redevelopment Program</v>
      </c>
      <c r="S50" s="4" t="str">
        <f>'FY26 Revenue'!C50</f>
        <v>Woomera Redevelopment Program</v>
      </c>
      <c r="T50">
        <f>'FY26 Revenue'!M50</f>
        <v>0</v>
      </c>
    </row>
    <row r="51" spans="1:20" x14ac:dyDescent="0.3">
      <c r="A51">
        <v>37395</v>
      </c>
      <c r="B51" t="s">
        <v>21</v>
      </c>
      <c r="C51" s="5" t="str">
        <f>'FY26 Revenue'!N51</f>
        <v>REV_Government &amp; IFM</v>
      </c>
      <c r="D51" t="str">
        <f>_xlfn.XLOOKUP(C51,'Extract_for_Locations 1 Oct 25'!B:B,'Extract_for_Locations 1 Oct 25'!E:E)</f>
        <v>SICSGIFM</v>
      </c>
      <c r="E51">
        <v>7868</v>
      </c>
      <c r="F51" t="s">
        <v>24</v>
      </c>
      <c r="H51" s="3" t="str">
        <f>CONCATENATE("FY26REV_",'FY26 Revenue'!B51)</f>
        <v>FY26REV_Government &amp; IFM</v>
      </c>
      <c r="I51" s="3" t="str">
        <f>CONCATENATE("FY26REV_",'FY26 Revenue'!B51)</f>
        <v>FY26REV_Government &amp; IFM</v>
      </c>
      <c r="J51" t="s">
        <v>21</v>
      </c>
      <c r="K51" t="s">
        <v>26</v>
      </c>
      <c r="L51" s="28">
        <v>46113</v>
      </c>
      <c r="M51" s="28">
        <v>46142</v>
      </c>
      <c r="N51" t="s">
        <v>27</v>
      </c>
      <c r="O51" t="s">
        <v>28</v>
      </c>
      <c r="Q51" t="s">
        <v>29</v>
      </c>
      <c r="R51" s="4" t="str">
        <f>'FY26 Revenue'!C51</f>
        <v>Government Integrated Facilities Management &amp; Infrastructure Property</v>
      </c>
      <c r="S51" s="4" t="str">
        <f>'FY26 Revenue'!C51</f>
        <v>Government Integrated Facilities Management &amp; Infrastructure Property</v>
      </c>
      <c r="T51">
        <f>'FY26 Revenue'!M51</f>
        <v>8.8000000000000007</v>
      </c>
    </row>
    <row r="52" spans="1:20" x14ac:dyDescent="0.3">
      <c r="A52">
        <v>37395</v>
      </c>
      <c r="B52" t="s">
        <v>21</v>
      </c>
      <c r="C52" s="5" t="str">
        <f>'FY26 Revenue'!N52</f>
        <v>REV_Government &amp; IFM</v>
      </c>
      <c r="D52" t="str">
        <f>_xlfn.XLOOKUP(C52,'Extract_for_Locations 1 Oct 25'!B:B,'Extract_for_Locations 1 Oct 25'!E:E)</f>
        <v>SICSGIFM</v>
      </c>
      <c r="E52">
        <v>7868</v>
      </c>
      <c r="F52" t="s">
        <v>24</v>
      </c>
      <c r="H52" s="3" t="str">
        <f>CONCATENATE("FY26REV_",'FY26 Revenue'!B52)</f>
        <v>FY26REV_Government &amp; IFM</v>
      </c>
      <c r="I52" s="3" t="str">
        <f>CONCATENATE("FY26REV_",'FY26 Revenue'!B52)</f>
        <v>FY26REV_Government &amp; IFM</v>
      </c>
      <c r="J52" t="s">
        <v>21</v>
      </c>
      <c r="K52" t="s">
        <v>26</v>
      </c>
      <c r="L52" s="28">
        <v>46113</v>
      </c>
      <c r="M52" s="28">
        <v>46142</v>
      </c>
      <c r="N52" t="s">
        <v>27</v>
      </c>
      <c r="O52" t="s">
        <v>28</v>
      </c>
      <c r="Q52" t="s">
        <v>29</v>
      </c>
      <c r="R52" s="4" t="str">
        <f>'FY26 Revenue'!C52</f>
        <v>Justice &amp; IFM</v>
      </c>
      <c r="S52" s="4" t="str">
        <f>'FY26 Revenue'!C52</f>
        <v>Justice &amp; IFM</v>
      </c>
      <c r="T52">
        <f>'FY26 Revenue'!M52</f>
        <v>22</v>
      </c>
    </row>
    <row r="53" spans="1:20" x14ac:dyDescent="0.3">
      <c r="A53">
        <v>37395</v>
      </c>
      <c r="B53" t="s">
        <v>21</v>
      </c>
      <c r="C53" s="5" t="str">
        <f>'FY26 Revenue'!N53</f>
        <v>REV_Government &amp; IFM</v>
      </c>
      <c r="D53" t="str">
        <f>_xlfn.XLOOKUP(C53,'Extract_for_Locations 1 Oct 25'!B:B,'Extract_for_Locations 1 Oct 25'!E:E)</f>
        <v>SICSGIFM</v>
      </c>
      <c r="E53">
        <v>7868</v>
      </c>
      <c r="F53" t="s">
        <v>24</v>
      </c>
      <c r="H53" s="3" t="str">
        <f>CONCATENATE("FY26REV_",'FY26 Revenue'!B53)</f>
        <v>FY26REV_Government &amp; IFM</v>
      </c>
      <c r="I53" s="3" t="str">
        <f>CONCATENATE("FY26REV_",'FY26 Revenue'!B53)</f>
        <v>FY26REV_Government &amp; IFM</v>
      </c>
      <c r="J53" t="s">
        <v>21</v>
      </c>
      <c r="K53" t="s">
        <v>26</v>
      </c>
      <c r="L53" s="28">
        <v>46113</v>
      </c>
      <c r="M53" s="28">
        <v>46142</v>
      </c>
      <c r="N53" t="s">
        <v>27</v>
      </c>
      <c r="O53" t="s">
        <v>28</v>
      </c>
      <c r="Q53" t="s">
        <v>29</v>
      </c>
      <c r="R53" s="4" t="str">
        <f>'FY26 Revenue'!C53</f>
        <v>Government Projects &amp; Operational Solutions</v>
      </c>
      <c r="S53" s="4" t="str">
        <f>'FY26 Revenue'!C53</f>
        <v>Government Projects &amp; Operational Solutions</v>
      </c>
      <c r="T53">
        <f>'FY26 Revenue'!M53</f>
        <v>0</v>
      </c>
    </row>
    <row r="54" spans="1:20" x14ac:dyDescent="0.3">
      <c r="A54">
        <v>37395</v>
      </c>
      <c r="B54" t="s">
        <v>21</v>
      </c>
      <c r="C54" s="5" t="str">
        <f>'FY26 Revenue'!N54</f>
        <v>REV_Government &amp; IFM</v>
      </c>
      <c r="D54" t="str">
        <f>_xlfn.XLOOKUP(C54,'Extract_for_Locations 1 Oct 25'!B:B,'Extract_for_Locations 1 Oct 25'!E:E)</f>
        <v>SICSGIFM</v>
      </c>
      <c r="E54">
        <v>7868</v>
      </c>
      <c r="F54" t="s">
        <v>24</v>
      </c>
      <c r="H54" s="3" t="str">
        <f>CONCATENATE("FY26REV_",'FY26 Revenue'!B54)</f>
        <v>FY26REV_Government &amp; IFM</v>
      </c>
      <c r="I54" s="3" t="str">
        <f>CONCATENATE("FY26REV_",'FY26 Revenue'!B54)</f>
        <v>FY26REV_Government &amp; IFM</v>
      </c>
      <c r="J54" t="s">
        <v>21</v>
      </c>
      <c r="K54" t="s">
        <v>26</v>
      </c>
      <c r="L54" s="28">
        <v>46113</v>
      </c>
      <c r="M54" s="28">
        <v>46142</v>
      </c>
      <c r="N54" t="s">
        <v>27</v>
      </c>
      <c r="O54" t="s">
        <v>28</v>
      </c>
      <c r="Q54" t="s">
        <v>29</v>
      </c>
      <c r="R54" s="4" t="str">
        <f>'FY26 Revenue'!C54</f>
        <v>Government Closed Sites</v>
      </c>
      <c r="S54" s="4" t="str">
        <f>'FY26 Revenue'!C54</f>
        <v>Government Closed Sites</v>
      </c>
      <c r="T54">
        <f>'FY26 Revenue'!M54</f>
        <v>1.2</v>
      </c>
    </row>
    <row r="55" spans="1:20" x14ac:dyDescent="0.3">
      <c r="A55">
        <v>37395</v>
      </c>
      <c r="B55" t="s">
        <v>21</v>
      </c>
      <c r="C55" s="5" t="str">
        <f>'FY26 Revenue'!N55</f>
        <v>REV_Government &amp; IFM</v>
      </c>
      <c r="D55" t="str">
        <f>_xlfn.XLOOKUP(C55,'Extract_for_Locations 1 Oct 25'!B:B,'Extract_for_Locations 1 Oct 25'!E:E)</f>
        <v>SICSGIFM</v>
      </c>
      <c r="E55">
        <v>7868</v>
      </c>
      <c r="F55" t="s">
        <v>24</v>
      </c>
      <c r="H55" s="3" t="str">
        <f>CONCATENATE("FY26REV_",'FY26 Revenue'!B55)</f>
        <v>FY26REV_Government &amp; IFM</v>
      </c>
      <c r="I55" s="3" t="str">
        <f>CONCATENATE("FY26REV_",'FY26 Revenue'!B55)</f>
        <v>FY26REV_Government &amp; IFM</v>
      </c>
      <c r="J55" t="s">
        <v>21</v>
      </c>
      <c r="K55" t="s">
        <v>26</v>
      </c>
      <c r="L55" s="28">
        <v>46113</v>
      </c>
      <c r="M55" s="28">
        <v>46142</v>
      </c>
      <c r="N55" t="s">
        <v>27</v>
      </c>
      <c r="O55" t="s">
        <v>28</v>
      </c>
      <c r="Q55" t="s">
        <v>29</v>
      </c>
      <c r="R55" s="4" t="str">
        <f>'FY26 Revenue'!C55</f>
        <v>Government Housing</v>
      </c>
      <c r="S55" s="4" t="str">
        <f>'FY26 Revenue'!C55</f>
        <v>Government Housing</v>
      </c>
      <c r="T55">
        <f>'FY26 Revenue'!M55</f>
        <v>24.2</v>
      </c>
    </row>
    <row r="56" spans="1:20" x14ac:dyDescent="0.3">
      <c r="A56">
        <v>37395</v>
      </c>
      <c r="B56" t="s">
        <v>21</v>
      </c>
      <c r="C56" s="5" t="str">
        <f>'FY26 Revenue'!N56</f>
        <v>REV_Government &amp; IFM</v>
      </c>
      <c r="D56" t="str">
        <f>_xlfn.XLOOKUP(C56,'Extract_for_Locations 1 Oct 25'!B:B,'Extract_for_Locations 1 Oct 25'!E:E)</f>
        <v>SICSGIFM</v>
      </c>
      <c r="E56">
        <v>7868</v>
      </c>
      <c r="F56" t="s">
        <v>24</v>
      </c>
      <c r="H56" s="3" t="str">
        <f>CONCATENATE("FY26REV_",'FY26 Revenue'!B56)</f>
        <v>FY26REV_Government &amp; IFM</v>
      </c>
      <c r="I56" s="3" t="str">
        <f>CONCATENATE("FY26REV_",'FY26 Revenue'!B56)</f>
        <v>FY26REV_Government &amp; IFM</v>
      </c>
      <c r="J56" t="s">
        <v>21</v>
      </c>
      <c r="K56" t="s">
        <v>26</v>
      </c>
      <c r="L56" s="28">
        <v>46113</v>
      </c>
      <c r="M56" s="28">
        <v>46142</v>
      </c>
      <c r="N56" t="s">
        <v>27</v>
      </c>
      <c r="O56" t="s">
        <v>28</v>
      </c>
      <c r="Q56" t="s">
        <v>29</v>
      </c>
      <c r="R56" s="4" t="str">
        <f>'FY26 Revenue'!C56</f>
        <v>Governments Soft FM Services</v>
      </c>
      <c r="S56" s="4" t="str">
        <f>'FY26 Revenue'!C56</f>
        <v>Governments Soft FM Services</v>
      </c>
      <c r="T56">
        <f>'FY26 Revenue'!M56</f>
        <v>10.9</v>
      </c>
    </row>
    <row r="57" spans="1:20" x14ac:dyDescent="0.3">
      <c r="A57">
        <v>37395</v>
      </c>
      <c r="B57" t="s">
        <v>21</v>
      </c>
      <c r="C57" s="5" t="str">
        <f>'FY26 Revenue'!N57</f>
        <v>REV_Government &amp; IFM</v>
      </c>
      <c r="D57" t="str">
        <f>_xlfn.XLOOKUP(C57,'Extract_for_Locations 1 Oct 25'!B:B,'Extract_for_Locations 1 Oct 25'!E:E)</f>
        <v>SICSGIFM</v>
      </c>
      <c r="E57">
        <v>7868</v>
      </c>
      <c r="F57" t="s">
        <v>24</v>
      </c>
      <c r="H57" s="3" t="str">
        <f>CONCATENATE("FY26REV_",'FY26 Revenue'!B57)</f>
        <v>FY26REV_Government &amp; IFM</v>
      </c>
      <c r="I57" s="3" t="str">
        <f>CONCATENATE("FY26REV_",'FY26 Revenue'!B57)</f>
        <v>FY26REV_Government &amp; IFM</v>
      </c>
      <c r="J57" t="s">
        <v>21</v>
      </c>
      <c r="K57" t="s">
        <v>26</v>
      </c>
      <c r="L57" s="28">
        <v>46113</v>
      </c>
      <c r="M57" s="28">
        <v>46142</v>
      </c>
      <c r="N57" t="s">
        <v>27</v>
      </c>
      <c r="O57" t="s">
        <v>28</v>
      </c>
      <c r="Q57" t="s">
        <v>29</v>
      </c>
      <c r="R57" s="4" t="str">
        <f>'FY26 Revenue'!C57</f>
        <v>Government &amp; IFM New Business</v>
      </c>
      <c r="S57" s="4" t="str">
        <f>'FY26 Revenue'!C57</f>
        <v>Government &amp; IFM New Business</v>
      </c>
      <c r="T57">
        <f>'FY26 Revenue'!M57</f>
        <v>0</v>
      </c>
    </row>
    <row r="58" spans="1:20" x14ac:dyDescent="0.3">
      <c r="A58">
        <v>37395</v>
      </c>
      <c r="B58" t="s">
        <v>21</v>
      </c>
      <c r="C58" s="5" t="str">
        <f>'FY26 Revenue'!N58</f>
        <v>REV_Health &amp; Education</v>
      </c>
      <c r="D58" t="str">
        <f>_xlfn.XLOOKUP(C58,'Extract_for_Locations 1 Oct 25'!B:B,'Extract_for_Locations 1 Oct 25'!E:E)</f>
        <v>SICSHE</v>
      </c>
      <c r="E58">
        <v>7868</v>
      </c>
      <c r="F58" t="s">
        <v>24</v>
      </c>
      <c r="H58" s="3" t="str">
        <f>CONCATENATE("FY26REV_",'FY26 Revenue'!B58)</f>
        <v>FY26REV_Health &amp; Education</v>
      </c>
      <c r="I58" s="3" t="str">
        <f>CONCATENATE("FY26REV_",'FY26 Revenue'!B58)</f>
        <v>FY26REV_Health &amp; Education</v>
      </c>
      <c r="J58" t="s">
        <v>21</v>
      </c>
      <c r="K58" t="s">
        <v>26</v>
      </c>
      <c r="L58" s="28">
        <v>46113</v>
      </c>
      <c r="M58" s="28">
        <v>46142</v>
      </c>
      <c r="N58" t="s">
        <v>27</v>
      </c>
      <c r="O58" t="s">
        <v>28</v>
      </c>
      <c r="Q58" t="s">
        <v>29</v>
      </c>
      <c r="R58" s="4" t="str">
        <f>'FY26 Revenue'!C58</f>
        <v>Education PPP</v>
      </c>
      <c r="S58" s="4" t="str">
        <f>'FY26 Revenue'!C58</f>
        <v>Education PPP</v>
      </c>
      <c r="T58">
        <f>'FY26 Revenue'!M58</f>
        <v>10.4</v>
      </c>
    </row>
    <row r="59" spans="1:20" x14ac:dyDescent="0.3">
      <c r="A59">
        <v>37395</v>
      </c>
      <c r="B59" t="s">
        <v>21</v>
      </c>
      <c r="C59" s="5" t="str">
        <f>'FY26 Revenue'!N59</f>
        <v>REV_Health &amp; Education</v>
      </c>
      <c r="D59" t="str">
        <f>_xlfn.XLOOKUP(C59,'Extract_for_Locations 1 Oct 25'!B:B,'Extract_for_Locations 1 Oct 25'!E:E)</f>
        <v>SICSHE</v>
      </c>
      <c r="E59">
        <v>7868</v>
      </c>
      <c r="F59" t="s">
        <v>24</v>
      </c>
      <c r="H59" s="3" t="str">
        <f>CONCATENATE("FY26REV_",'FY26 Revenue'!B59)</f>
        <v>FY26REV_Health &amp; Education</v>
      </c>
      <c r="I59" s="3" t="str">
        <f>CONCATENATE("FY26REV_",'FY26 Revenue'!B59)</f>
        <v>FY26REV_Health &amp; Education</v>
      </c>
      <c r="J59" t="s">
        <v>21</v>
      </c>
      <c r="K59" t="s">
        <v>26</v>
      </c>
      <c r="L59" s="28">
        <v>46113</v>
      </c>
      <c r="M59" s="28">
        <v>46142</v>
      </c>
      <c r="N59" t="s">
        <v>27</v>
      </c>
      <c r="O59" t="s">
        <v>28</v>
      </c>
      <c r="Q59" t="s">
        <v>29</v>
      </c>
      <c r="R59" s="4" t="str">
        <f>'FY26 Revenue'!C59</f>
        <v>Health Non PPP</v>
      </c>
      <c r="S59" s="4" t="str">
        <f>'FY26 Revenue'!C59</f>
        <v>Health Non PPP</v>
      </c>
      <c r="T59">
        <f>'FY26 Revenue'!M59</f>
        <v>3.4</v>
      </c>
    </row>
    <row r="60" spans="1:20" x14ac:dyDescent="0.3">
      <c r="A60">
        <v>37395</v>
      </c>
      <c r="B60" t="s">
        <v>21</v>
      </c>
      <c r="C60" s="5" t="str">
        <f>'FY26 Revenue'!N60</f>
        <v>REV_Health &amp; Education</v>
      </c>
      <c r="D60" t="str">
        <f>_xlfn.XLOOKUP(C60,'Extract_for_Locations 1 Oct 25'!B:B,'Extract_for_Locations 1 Oct 25'!E:E)</f>
        <v>SICSHE</v>
      </c>
      <c r="E60">
        <v>7868</v>
      </c>
      <c r="F60" t="s">
        <v>24</v>
      </c>
      <c r="H60" s="3" t="str">
        <f>CONCATENATE("FY26REV_",'FY26 Revenue'!B60)</f>
        <v>FY26REV_Health &amp; Education</v>
      </c>
      <c r="I60" s="3" t="str">
        <f>CONCATENATE("FY26REV_",'FY26 Revenue'!B60)</f>
        <v>FY26REV_Health &amp; Education</v>
      </c>
      <c r="J60" t="s">
        <v>21</v>
      </c>
      <c r="K60" t="s">
        <v>26</v>
      </c>
      <c r="L60" s="28">
        <v>46113</v>
      </c>
      <c r="M60" s="28">
        <v>46142</v>
      </c>
      <c r="N60" t="s">
        <v>27</v>
      </c>
      <c r="O60" t="s">
        <v>28</v>
      </c>
      <c r="Q60" t="s">
        <v>29</v>
      </c>
      <c r="R60" s="4" t="str">
        <f>'FY26 Revenue'!C60</f>
        <v>Health PPP</v>
      </c>
      <c r="S60" s="4" t="str">
        <f>'FY26 Revenue'!C60</f>
        <v>Health PPP</v>
      </c>
      <c r="T60">
        <f>'FY26 Revenue'!M60</f>
        <v>29.7</v>
      </c>
    </row>
    <row r="61" spans="1:20" x14ac:dyDescent="0.3">
      <c r="A61">
        <v>37395</v>
      </c>
      <c r="B61" t="s">
        <v>21</v>
      </c>
      <c r="C61" s="5" t="str">
        <f>'FY26 Revenue'!N61</f>
        <v>REV_Health &amp; Education</v>
      </c>
      <c r="D61" t="str">
        <f>_xlfn.XLOOKUP(C61,'Extract_for_Locations 1 Oct 25'!B:B,'Extract_for_Locations 1 Oct 25'!E:E)</f>
        <v>SICSHE</v>
      </c>
      <c r="E61">
        <v>7868</v>
      </c>
      <c r="F61" t="s">
        <v>24</v>
      </c>
      <c r="H61" s="3" t="str">
        <f>CONCATENATE("FY26REV_",'FY26 Revenue'!B61)</f>
        <v>FY26REV_Health &amp; Education</v>
      </c>
      <c r="I61" s="3" t="str">
        <f>CONCATENATE("FY26REV_",'FY26 Revenue'!B61)</f>
        <v>FY26REV_Health &amp; Education</v>
      </c>
      <c r="J61" t="s">
        <v>21</v>
      </c>
      <c r="K61" t="s">
        <v>26</v>
      </c>
      <c r="L61" s="28">
        <v>46113</v>
      </c>
      <c r="M61" s="28">
        <v>46142</v>
      </c>
      <c r="N61" t="s">
        <v>27</v>
      </c>
      <c r="O61" t="s">
        <v>28</v>
      </c>
      <c r="Q61" t="s">
        <v>29</v>
      </c>
      <c r="R61" s="4" t="str">
        <f>'FY26 Revenue'!C61</f>
        <v>Health &amp; Education New Business</v>
      </c>
      <c r="S61" s="4" t="str">
        <f>'FY26 Revenue'!C61</f>
        <v>Health &amp; Education New Business</v>
      </c>
      <c r="T61">
        <f>'FY26 Revenue'!M61</f>
        <v>0</v>
      </c>
    </row>
    <row r="62" spans="1:20" x14ac:dyDescent="0.3">
      <c r="A62">
        <v>37395</v>
      </c>
      <c r="B62" t="s">
        <v>21</v>
      </c>
      <c r="C62" s="5" t="str">
        <f>'FY26 Revenue'!N62</f>
        <v>REV_Social Infrastructure &amp; Citizen Services Support</v>
      </c>
      <c r="D62" t="str">
        <f>_xlfn.XLOOKUP(C62,'Extract_for_Locations 1 Oct 25'!B:B,'Extract_for_Locations 1 Oct 25'!E:E)</f>
        <v>RSICSS</v>
      </c>
      <c r="E62">
        <v>7868</v>
      </c>
      <c r="F62" t="s">
        <v>24</v>
      </c>
      <c r="H62" s="3" t="str">
        <f>CONCATENATE("FY26REV_",'FY26 Revenue'!B62)</f>
        <v>FY26REV_Social Infrastructure &amp; Citizen Services Support</v>
      </c>
      <c r="I62" s="3" t="str">
        <f>CONCATENATE("FY26REV_",'FY26 Revenue'!B62)</f>
        <v>FY26REV_Social Infrastructure &amp; Citizen Services Support</v>
      </c>
      <c r="J62" t="s">
        <v>21</v>
      </c>
      <c r="K62" t="s">
        <v>26</v>
      </c>
      <c r="L62" s="28">
        <v>46113</v>
      </c>
      <c r="M62" s="28">
        <v>46142</v>
      </c>
      <c r="N62" t="s">
        <v>27</v>
      </c>
      <c r="O62" t="s">
        <v>28</v>
      </c>
      <c r="Q62" t="s">
        <v>29</v>
      </c>
      <c r="R62" s="4" t="str">
        <f>'FY26 Revenue'!C62</f>
        <v>Social Infrastructure &amp; Citizen Services Support</v>
      </c>
      <c r="S62" s="4" t="str">
        <f>'FY26 Revenue'!C62</f>
        <v>Social Infrastructure &amp; Citizen Services Support</v>
      </c>
      <c r="T62">
        <f>'FY26 Revenue'!M62</f>
        <v>0</v>
      </c>
    </row>
    <row r="63" spans="1:20" x14ac:dyDescent="0.3">
      <c r="A63">
        <v>37395</v>
      </c>
      <c r="B63" t="s">
        <v>21</v>
      </c>
      <c r="C63" s="5" t="str">
        <f>'FY26 Revenue'!N63</f>
        <v>REV_Social Infrastructure &amp; Citizen Services Support</v>
      </c>
      <c r="D63" t="str">
        <f>_xlfn.XLOOKUP(C63,'Extract_for_Locations 1 Oct 25'!B:B,'Extract_for_Locations 1 Oct 25'!E:E)</f>
        <v>RSICSS</v>
      </c>
      <c r="E63">
        <v>7868</v>
      </c>
      <c r="F63" t="s">
        <v>24</v>
      </c>
      <c r="H63" s="3" t="str">
        <f>CONCATENATE("FY26REV_",'FY26 Revenue'!B63)</f>
        <v>FY26REV_Social Infrastructure &amp; Citizen Services Support</v>
      </c>
      <c r="I63" s="3" t="str">
        <f>CONCATENATE("FY26REV_",'FY26 Revenue'!B63)</f>
        <v>FY26REV_Social Infrastructure &amp; Citizen Services Support</v>
      </c>
      <c r="J63" t="s">
        <v>21</v>
      </c>
      <c r="K63" t="s">
        <v>26</v>
      </c>
      <c r="L63" s="28">
        <v>46113</v>
      </c>
      <c r="M63" s="28">
        <v>46142</v>
      </c>
      <c r="N63" t="s">
        <v>27</v>
      </c>
      <c r="O63" t="s">
        <v>28</v>
      </c>
      <c r="Q63" t="s">
        <v>29</v>
      </c>
      <c r="R63" s="4" t="str">
        <f>'FY26 Revenue'!C63</f>
        <v>Finance Performance</v>
      </c>
      <c r="S63" s="4" t="str">
        <f>'FY26 Revenue'!C63</f>
        <v>Finance Performance</v>
      </c>
      <c r="T63">
        <f>'FY26 Revenue'!M63</f>
        <v>0</v>
      </c>
    </row>
    <row r="64" spans="1:20" x14ac:dyDescent="0.3">
      <c r="A64">
        <v>37395</v>
      </c>
      <c r="B64" t="s">
        <v>21</v>
      </c>
      <c r="C64" s="5" t="str">
        <f>'FY26 Revenue'!N64</f>
        <v>REV_Passenger North</v>
      </c>
      <c r="D64" t="str">
        <f>_xlfn.XLOOKUP(C64,'Extract_for_Locations 1 Oct 25'!B:B,'Extract_for_Locations 1 Oct 25'!E:E)</f>
        <v>L9.J.709250</v>
      </c>
      <c r="E64">
        <v>7868</v>
      </c>
      <c r="F64" t="s">
        <v>24</v>
      </c>
      <c r="H64" s="3" t="str">
        <f>CONCATENATE("FY26REV_",'FY26 Revenue'!B64)</f>
        <v>FY26REV_Passenger North</v>
      </c>
      <c r="I64" s="3" t="str">
        <f>CONCATENATE("FY26REV_",'FY26 Revenue'!B64)</f>
        <v>FY26REV_Passenger North</v>
      </c>
      <c r="J64" t="s">
        <v>21</v>
      </c>
      <c r="K64" t="s">
        <v>26</v>
      </c>
      <c r="L64" s="28">
        <v>46113</v>
      </c>
      <c r="M64" s="28">
        <v>46142</v>
      </c>
      <c r="N64" t="s">
        <v>27</v>
      </c>
      <c r="O64" t="s">
        <v>28</v>
      </c>
      <c r="Q64" t="s">
        <v>29</v>
      </c>
      <c r="R64" s="4" t="str">
        <f>'FY26 Revenue'!C64</f>
        <v>RTS QLD</v>
      </c>
      <c r="S64" s="4" t="str">
        <f>'FY26 Revenue'!C64</f>
        <v>RTS QLD</v>
      </c>
      <c r="T64">
        <f>'FY26 Revenue'!M64</f>
        <v>88.5</v>
      </c>
    </row>
    <row r="65" spans="1:20" x14ac:dyDescent="0.3">
      <c r="A65">
        <v>37395</v>
      </c>
      <c r="B65" t="s">
        <v>21</v>
      </c>
      <c r="C65" s="5" t="str">
        <f>'FY26 Revenue'!N65</f>
        <v>REV_Passenger North</v>
      </c>
      <c r="D65" t="str">
        <f>_xlfn.XLOOKUP(C65,'Extract_for_Locations 1 Oct 25'!B:B,'Extract_for_Locations 1 Oct 25'!E:E)</f>
        <v>L9.J.709250</v>
      </c>
      <c r="E65">
        <v>7868</v>
      </c>
      <c r="F65" t="s">
        <v>24</v>
      </c>
      <c r="H65" s="3" t="str">
        <f>CONCATENATE("FY26REV_",'FY26 Revenue'!B65)</f>
        <v>FY26REV_Passenger North</v>
      </c>
      <c r="I65" s="3" t="str">
        <f>CONCATENATE("FY26REV_",'FY26 Revenue'!B65)</f>
        <v>FY26REV_Passenger North</v>
      </c>
      <c r="J65" t="s">
        <v>21</v>
      </c>
      <c r="K65" t="s">
        <v>26</v>
      </c>
      <c r="L65" s="28">
        <v>46113</v>
      </c>
      <c r="M65" s="28">
        <v>46142</v>
      </c>
      <c r="N65" t="s">
        <v>27</v>
      </c>
      <c r="O65" t="s">
        <v>28</v>
      </c>
      <c r="Q65" t="s">
        <v>29</v>
      </c>
      <c r="R65" s="4" t="str">
        <f>'FY26 Revenue'!C65</f>
        <v>RTS NSW</v>
      </c>
      <c r="S65" s="4" t="str">
        <f>'FY26 Revenue'!C65</f>
        <v>RTS NSW</v>
      </c>
      <c r="T65">
        <f>'FY26 Revenue'!M65</f>
        <v>18</v>
      </c>
    </row>
    <row r="66" spans="1:20" x14ac:dyDescent="0.3">
      <c r="A66">
        <v>37395</v>
      </c>
      <c r="B66" t="s">
        <v>21</v>
      </c>
      <c r="C66" s="5" t="str">
        <f>'FY26 Revenue'!N66</f>
        <v>REV_Passenger South</v>
      </c>
      <c r="D66" t="str">
        <f>_xlfn.XLOOKUP(C66,'Extract_for_Locations 1 Oct 25'!B:B,'Extract_for_Locations 1 Oct 25'!E:E)</f>
        <v>L9.J.709506</v>
      </c>
      <c r="E66">
        <v>7868</v>
      </c>
      <c r="F66" t="s">
        <v>24</v>
      </c>
      <c r="H66" s="3" t="str">
        <f>CONCATENATE("FY26REV_",'FY26 Revenue'!B66)</f>
        <v>FY26REV_Passenger South</v>
      </c>
      <c r="I66" s="3" t="str">
        <f>CONCATENATE("FY26REV_",'FY26 Revenue'!B66)</f>
        <v>FY26REV_Passenger South</v>
      </c>
      <c r="J66" t="s">
        <v>21</v>
      </c>
      <c r="K66" t="s">
        <v>26</v>
      </c>
      <c r="L66" s="28">
        <v>46113</v>
      </c>
      <c r="M66" s="28">
        <v>46142</v>
      </c>
      <c r="N66" t="s">
        <v>27</v>
      </c>
      <c r="O66" t="s">
        <v>28</v>
      </c>
      <c r="Q66" t="s">
        <v>29</v>
      </c>
      <c r="R66" s="4" t="str">
        <f>'FY26 Revenue'!C66</f>
        <v>RTS VIC</v>
      </c>
      <c r="S66" s="4" t="str">
        <f>'FY26 Revenue'!C66</f>
        <v>RTS VIC</v>
      </c>
      <c r="T66">
        <f>'FY26 Revenue'!M66</f>
        <v>6.8</v>
      </c>
    </row>
    <row r="67" spans="1:20" x14ac:dyDescent="0.3">
      <c r="A67">
        <v>37395</v>
      </c>
      <c r="B67" t="s">
        <v>21</v>
      </c>
      <c r="C67" s="5" t="str">
        <f>'FY26 Revenue'!N67</f>
        <v>REV_Passenger South</v>
      </c>
      <c r="D67" t="str">
        <f>_xlfn.XLOOKUP(C67,'Extract_for_Locations 1 Oct 25'!B:B,'Extract_for_Locations 1 Oct 25'!E:E)</f>
        <v>L9.J.709506</v>
      </c>
      <c r="E67">
        <v>7868</v>
      </c>
      <c r="F67" t="s">
        <v>24</v>
      </c>
      <c r="H67" s="3" t="str">
        <f>CONCATENATE("FY26REV_",'FY26 Revenue'!B67)</f>
        <v>FY26REV_Passenger South</v>
      </c>
      <c r="I67" s="3" t="str">
        <f>CONCATENATE("FY26REV_",'FY26 Revenue'!B67)</f>
        <v>FY26REV_Passenger South</v>
      </c>
      <c r="J67" t="s">
        <v>21</v>
      </c>
      <c r="K67" t="s">
        <v>26</v>
      </c>
      <c r="L67" s="28">
        <v>46113</v>
      </c>
      <c r="M67" s="28">
        <v>46142</v>
      </c>
      <c r="N67" t="s">
        <v>27</v>
      </c>
      <c r="O67" t="s">
        <v>28</v>
      </c>
      <c r="Q67" t="s">
        <v>29</v>
      </c>
      <c r="R67" s="4" t="str">
        <f>'FY26 Revenue'!C67</f>
        <v>RTS WA</v>
      </c>
      <c r="S67" s="4" t="str">
        <f>'FY26 Revenue'!C67</f>
        <v>RTS WA</v>
      </c>
      <c r="T67">
        <f>'FY26 Revenue'!M67</f>
        <v>2.9</v>
      </c>
    </row>
    <row r="68" spans="1:20" x14ac:dyDescent="0.3">
      <c r="A68">
        <v>37395</v>
      </c>
      <c r="B68" t="s">
        <v>21</v>
      </c>
      <c r="C68" s="5" t="str">
        <f>'FY26 Revenue'!N68</f>
        <v>REV_Passenger South</v>
      </c>
      <c r="D68" t="str">
        <f>_xlfn.XLOOKUP(C68,'Extract_for_Locations 1 Oct 25'!B:B,'Extract_for_Locations 1 Oct 25'!E:E)</f>
        <v>L9.J.709506</v>
      </c>
      <c r="E68">
        <v>7868</v>
      </c>
      <c r="F68" t="s">
        <v>24</v>
      </c>
      <c r="H68" s="3" t="str">
        <f>CONCATENATE("FY26REV_",'FY26 Revenue'!B68)</f>
        <v>FY26REV_Passenger South</v>
      </c>
      <c r="I68" s="3" t="str">
        <f>CONCATENATE("FY26REV_",'FY26 Revenue'!B68)</f>
        <v>FY26REV_Passenger South</v>
      </c>
      <c r="J68" t="s">
        <v>21</v>
      </c>
      <c r="K68" t="s">
        <v>26</v>
      </c>
      <c r="L68" s="28">
        <v>46113</v>
      </c>
      <c r="M68" s="28">
        <v>46142</v>
      </c>
      <c r="N68" t="s">
        <v>27</v>
      </c>
      <c r="O68" t="s">
        <v>28</v>
      </c>
      <c r="Q68" t="s">
        <v>29</v>
      </c>
      <c r="R68" s="4" t="str">
        <f>'FY26 Revenue'!C68</f>
        <v>Rail Services Victoria Pty Ltd</v>
      </c>
      <c r="S68" s="4" t="str">
        <f>'FY26 Revenue'!C68</f>
        <v>Rail Services Victoria Pty Ltd</v>
      </c>
      <c r="T68">
        <f>'FY26 Revenue'!M68</f>
        <v>0</v>
      </c>
    </row>
    <row r="69" spans="1:20" x14ac:dyDescent="0.3">
      <c r="A69">
        <v>37395</v>
      </c>
      <c r="B69" t="s">
        <v>21</v>
      </c>
      <c r="C69" s="5" t="str">
        <f>'FY26 Revenue'!N69</f>
        <v>REV_RTS Digital</v>
      </c>
      <c r="D69" t="str">
        <f>_xlfn.XLOOKUP(C69,'Extract_for_Locations 1 Oct 25'!B:B,'Extract_for_Locations 1 Oct 25'!E:E)</f>
        <v>RTSDIG</v>
      </c>
      <c r="E69">
        <v>7868</v>
      </c>
      <c r="F69" t="s">
        <v>24</v>
      </c>
      <c r="H69" s="3" t="str">
        <f>CONCATENATE("FY26REV_",'FY26 Revenue'!B69)</f>
        <v>FY26REV_RTS Digital</v>
      </c>
      <c r="I69" s="3" t="str">
        <f>CONCATENATE("FY26REV_",'FY26 Revenue'!B69)</f>
        <v>FY26REV_RTS Digital</v>
      </c>
      <c r="J69" t="s">
        <v>21</v>
      </c>
      <c r="K69" t="s">
        <v>26</v>
      </c>
      <c r="L69" s="28">
        <v>46113</v>
      </c>
      <c r="M69" s="28">
        <v>46142</v>
      </c>
      <c r="N69" t="s">
        <v>27</v>
      </c>
      <c r="O69" t="s">
        <v>28</v>
      </c>
      <c r="Q69" t="s">
        <v>29</v>
      </c>
      <c r="R69" s="4" t="str">
        <f>'FY26 Revenue'!C69</f>
        <v>Managed Solutions</v>
      </c>
      <c r="S69" s="4" t="str">
        <f>'FY26 Revenue'!C69</f>
        <v>Managed Solutions</v>
      </c>
      <c r="T69">
        <f>'FY26 Revenue'!M69</f>
        <v>1.7</v>
      </c>
    </row>
    <row r="70" spans="1:20" x14ac:dyDescent="0.3">
      <c r="A70">
        <v>37395</v>
      </c>
      <c r="B70" t="s">
        <v>21</v>
      </c>
      <c r="C70" s="5" t="str">
        <f>'FY26 Revenue'!N70</f>
        <v>REV_RTS FREIGHT</v>
      </c>
      <c r="D70" t="str">
        <f>_xlfn.XLOOKUP(C70,'Extract_for_Locations 1 Oct 25'!B:B,'Extract_for_Locations 1 Oct 25'!E:E)</f>
        <v>RTSFREI</v>
      </c>
      <c r="E70">
        <v>7868</v>
      </c>
      <c r="F70" t="s">
        <v>24</v>
      </c>
      <c r="H70" s="3" t="str">
        <f>CONCATENATE("FY26REV_",'FY26 Revenue'!B70)</f>
        <v>FY26REV_RTS FREIGHT</v>
      </c>
      <c r="I70" s="3" t="str">
        <f>CONCATENATE("FY26REV_",'FY26 Revenue'!B70)</f>
        <v>FY26REV_RTS FREIGHT</v>
      </c>
      <c r="J70" t="s">
        <v>21</v>
      </c>
      <c r="K70" t="s">
        <v>26</v>
      </c>
      <c r="L70" s="28">
        <v>46113</v>
      </c>
      <c r="M70" s="28">
        <v>46142</v>
      </c>
      <c r="N70" t="s">
        <v>27</v>
      </c>
      <c r="O70" t="s">
        <v>28</v>
      </c>
      <c r="Q70" t="s">
        <v>29</v>
      </c>
      <c r="R70" s="4" t="str">
        <f>'FY26 Revenue'!C70</f>
        <v>RTS FGT Projects</v>
      </c>
      <c r="S70" s="4" t="str">
        <f>'FY26 Revenue'!C70</f>
        <v>RTS FGT Projects</v>
      </c>
      <c r="T70">
        <f>'FY26 Revenue'!M70</f>
        <v>1.3</v>
      </c>
    </row>
    <row r="71" spans="1:20" x14ac:dyDescent="0.3">
      <c r="A71">
        <v>37395</v>
      </c>
      <c r="B71" t="s">
        <v>21</v>
      </c>
      <c r="C71" s="5" t="str">
        <f>'FY26 Revenue'!N71</f>
        <v>REV_RTS Opportunities</v>
      </c>
      <c r="D71" t="str">
        <f>_xlfn.XLOOKUP(C71,'Extract_for_Locations 1 Oct 25'!B:B,'Extract_for_Locations 1 Oct 25'!E:E)</f>
        <v>RTSOPPS</v>
      </c>
      <c r="E71">
        <v>7868</v>
      </c>
      <c r="F71" t="s">
        <v>24</v>
      </c>
      <c r="H71" s="3" t="str">
        <f>CONCATENATE("FY26REV_",'FY26 Revenue'!B71)</f>
        <v>FY26REV_RTS Opportunities</v>
      </c>
      <c r="I71" s="3" t="str">
        <f>CONCATENATE("FY26REV_",'FY26 Revenue'!B71)</f>
        <v>FY26REV_RTS Opportunities</v>
      </c>
      <c r="J71" t="s">
        <v>21</v>
      </c>
      <c r="K71" t="s">
        <v>26</v>
      </c>
      <c r="L71" s="28">
        <v>46113</v>
      </c>
      <c r="M71" s="28">
        <v>46142</v>
      </c>
      <c r="N71" t="s">
        <v>27</v>
      </c>
      <c r="O71" t="s">
        <v>28</v>
      </c>
      <c r="Q71" t="s">
        <v>29</v>
      </c>
      <c r="R71" s="4" t="str">
        <f>'FY26 Revenue'!C71</f>
        <v>Business Plan New Opps</v>
      </c>
      <c r="S71" s="4" t="str">
        <f>'FY26 Revenue'!C71</f>
        <v>Business Plan New Opps</v>
      </c>
      <c r="T71">
        <f>'FY26 Revenue'!M71</f>
        <v>0</v>
      </c>
    </row>
    <row r="72" spans="1:20" x14ac:dyDescent="0.3">
      <c r="A72">
        <v>37395</v>
      </c>
      <c r="B72" t="s">
        <v>21</v>
      </c>
      <c r="C72" s="5" t="str">
        <f>'FY26 Revenue'!N72</f>
        <v>REV_RTS Head Office</v>
      </c>
      <c r="D72" t="str">
        <f>_xlfn.XLOOKUP(C72,'Extract_for_Locations 1 Oct 25'!B:B,'Extract_for_Locations 1 Oct 25'!E:E)</f>
        <v>L9.J.799999</v>
      </c>
      <c r="E72">
        <v>7868</v>
      </c>
      <c r="F72" t="s">
        <v>24</v>
      </c>
      <c r="H72" s="3" t="str">
        <f>CONCATENATE("FY26REV_",'FY26 Revenue'!B72)</f>
        <v>FY26REV_RTS Head Office</v>
      </c>
      <c r="I72" s="3" t="str">
        <f>CONCATENATE("FY26REV_",'FY26 Revenue'!B72)</f>
        <v>FY26REV_RTS Head Office</v>
      </c>
      <c r="J72" t="s">
        <v>21</v>
      </c>
      <c r="K72" t="s">
        <v>26</v>
      </c>
      <c r="L72" s="28">
        <v>46113</v>
      </c>
      <c r="M72" s="28">
        <v>46142</v>
      </c>
      <c r="N72" t="s">
        <v>27</v>
      </c>
      <c r="O72" t="s">
        <v>28</v>
      </c>
      <c r="Q72" t="s">
        <v>29</v>
      </c>
      <c r="R72" s="4" t="str">
        <f>'FY26 Revenue'!C72</f>
        <v>Corporate Overheads</v>
      </c>
      <c r="S72" s="4" t="str">
        <f>'FY26 Revenue'!C72</f>
        <v>Corporate Overheads</v>
      </c>
      <c r="T72">
        <f>'FY26 Revenue'!M72</f>
        <v>0</v>
      </c>
    </row>
    <row r="73" spans="1:20" x14ac:dyDescent="0.3">
      <c r="A73">
        <v>37395</v>
      </c>
      <c r="B73" t="s">
        <v>21</v>
      </c>
      <c r="C73" s="5" t="str">
        <f>'FY26 Revenue'!N73</f>
        <v>REV_RTS Head Office</v>
      </c>
      <c r="D73" t="str">
        <f>_xlfn.XLOOKUP(C73,'Extract_for_Locations 1 Oct 25'!B:B,'Extract_for_Locations 1 Oct 25'!E:E)</f>
        <v>L9.J.799999</v>
      </c>
      <c r="E73">
        <v>7868</v>
      </c>
      <c r="F73" t="s">
        <v>24</v>
      </c>
      <c r="H73" s="3" t="str">
        <f>CONCATENATE("FY26REV_",'FY26 Revenue'!B73)</f>
        <v>FY26REV_RTS Head Office</v>
      </c>
      <c r="I73" s="3" t="str">
        <f>CONCATENATE("FY26REV_",'FY26 Revenue'!B73)</f>
        <v>FY26REV_RTS Head Office</v>
      </c>
      <c r="J73" t="s">
        <v>21</v>
      </c>
      <c r="K73" t="s">
        <v>26</v>
      </c>
      <c r="L73" s="28">
        <v>46113</v>
      </c>
      <c r="M73" s="28">
        <v>46142</v>
      </c>
      <c r="N73" t="s">
        <v>27</v>
      </c>
      <c r="O73" t="s">
        <v>28</v>
      </c>
      <c r="Q73" t="s">
        <v>29</v>
      </c>
      <c r="R73" s="4" t="str">
        <f>'FY26 Revenue'!C73</f>
        <v>Engineering</v>
      </c>
      <c r="S73" s="4" t="str">
        <f>'FY26 Revenue'!C73</f>
        <v>Engineering</v>
      </c>
      <c r="T73">
        <f>'FY26 Revenue'!M73</f>
        <v>-0.8</v>
      </c>
    </row>
    <row r="74" spans="1:20" x14ac:dyDescent="0.3">
      <c r="A74">
        <v>37395</v>
      </c>
      <c r="B74" t="s">
        <v>21</v>
      </c>
      <c r="C74" s="5" t="str">
        <f>'FY26 Revenue'!N74</f>
        <v>REV_RTS Head Office</v>
      </c>
      <c r="D74" t="str">
        <f>_xlfn.XLOOKUP(C74,'Extract_for_Locations 1 Oct 25'!B:B,'Extract_for_Locations 1 Oct 25'!E:E)</f>
        <v>L9.J.799999</v>
      </c>
      <c r="E74">
        <v>7868</v>
      </c>
      <c r="F74" t="s">
        <v>24</v>
      </c>
      <c r="H74" s="3" t="str">
        <f>CONCATENATE("FY26REV_",'FY26 Revenue'!B74)</f>
        <v>FY26REV_RTS Head Office</v>
      </c>
      <c r="I74" s="3" t="str">
        <f>CONCATENATE("FY26REV_",'FY26 Revenue'!B74)</f>
        <v>FY26REV_RTS Head Office</v>
      </c>
      <c r="J74" t="s">
        <v>21</v>
      </c>
      <c r="K74" t="s">
        <v>26</v>
      </c>
      <c r="L74" s="28">
        <v>46113</v>
      </c>
      <c r="M74" s="28">
        <v>46142</v>
      </c>
      <c r="N74" t="s">
        <v>27</v>
      </c>
      <c r="O74" t="s">
        <v>28</v>
      </c>
      <c r="Q74" t="s">
        <v>29</v>
      </c>
      <c r="R74" s="4" t="str">
        <f>'FY26 Revenue'!C74</f>
        <v>Growth</v>
      </c>
      <c r="S74" s="4" t="str">
        <f>'FY26 Revenue'!C74</f>
        <v>Growth</v>
      </c>
      <c r="T74">
        <f>'FY26 Revenue'!M74</f>
        <v>1.7</v>
      </c>
    </row>
    <row r="75" spans="1:20" x14ac:dyDescent="0.3">
      <c r="A75">
        <v>37395</v>
      </c>
      <c r="B75" t="s">
        <v>21</v>
      </c>
      <c r="C75" s="5" t="str">
        <f>'FY26 Revenue'!N75</f>
        <v>REV_RTS Head Office</v>
      </c>
      <c r="D75" t="str">
        <f>_xlfn.XLOOKUP(C75,'Extract_for_Locations 1 Oct 25'!B:B,'Extract_for_Locations 1 Oct 25'!E:E)</f>
        <v>L9.J.799999</v>
      </c>
      <c r="E75">
        <v>7868</v>
      </c>
      <c r="F75" t="s">
        <v>24</v>
      </c>
      <c r="H75" s="3" t="str">
        <f>CONCATENATE("FY26REV_",'FY26 Revenue'!B75)</f>
        <v>FY26REV_RTS Head Office</v>
      </c>
      <c r="I75" s="3" t="str">
        <f>CONCATENATE("FY26REV_",'FY26 Revenue'!B75)</f>
        <v>FY26REV_RTS Head Office</v>
      </c>
      <c r="J75" t="s">
        <v>21</v>
      </c>
      <c r="K75" t="s">
        <v>26</v>
      </c>
      <c r="L75" s="28">
        <v>46113</v>
      </c>
      <c r="M75" s="28">
        <v>46142</v>
      </c>
      <c r="N75" t="s">
        <v>27</v>
      </c>
      <c r="O75" t="s">
        <v>28</v>
      </c>
      <c r="Q75" t="s">
        <v>29</v>
      </c>
      <c r="R75" s="4" t="str">
        <f>'FY26 Revenue'!C75</f>
        <v>RTS overheads - other</v>
      </c>
      <c r="S75" s="4" t="str">
        <f>'FY26 Revenue'!C75</f>
        <v>RTS overheads - other</v>
      </c>
      <c r="T75">
        <f>'FY26 Revenue'!M75</f>
        <v>0.4</v>
      </c>
    </row>
    <row r="76" spans="1:20" x14ac:dyDescent="0.3">
      <c r="A76">
        <v>37395</v>
      </c>
      <c r="B76" t="s">
        <v>21</v>
      </c>
      <c r="C76" s="5" t="str">
        <f>'FY26 Revenue'!N76</f>
        <v>REV_RTS Head Office</v>
      </c>
      <c r="D76" t="str">
        <f>_xlfn.XLOOKUP(C76,'Extract_for_Locations 1 Oct 25'!B:B,'Extract_for_Locations 1 Oct 25'!E:E)</f>
        <v>L9.J.799999</v>
      </c>
      <c r="E76">
        <v>7868</v>
      </c>
      <c r="F76" t="s">
        <v>24</v>
      </c>
      <c r="H76" s="3" t="str">
        <f>CONCATENATE("FY26REV_",'FY26 Revenue'!B76)</f>
        <v>FY26REV_RTS Head Office</v>
      </c>
      <c r="I76" s="3" t="str">
        <f>CONCATENATE("FY26REV_",'FY26 Revenue'!B76)</f>
        <v>FY26REV_RTS Head Office</v>
      </c>
      <c r="J76" t="s">
        <v>21</v>
      </c>
      <c r="K76" t="s">
        <v>26</v>
      </c>
      <c r="L76" s="28">
        <v>46113</v>
      </c>
      <c r="M76" s="28">
        <v>46142</v>
      </c>
      <c r="N76" t="s">
        <v>27</v>
      </c>
      <c r="O76" t="s">
        <v>28</v>
      </c>
      <c r="Q76" t="s">
        <v>29</v>
      </c>
      <c r="R76" s="4" t="str">
        <f>'FY26 Revenue'!C76</f>
        <v>China</v>
      </c>
      <c r="S76" s="4" t="str">
        <f>'FY26 Revenue'!C76</f>
        <v>China</v>
      </c>
      <c r="T76">
        <f>'FY26 Revenue'!M76</f>
        <v>0</v>
      </c>
    </row>
    <row r="77" spans="1:20" x14ac:dyDescent="0.3">
      <c r="A77">
        <v>37395</v>
      </c>
      <c r="B77" t="s">
        <v>21</v>
      </c>
      <c r="C77" s="5" t="str">
        <f>'FY26 Revenue'!N77</f>
        <v>REV_Corporate Australia</v>
      </c>
      <c r="D77" t="str">
        <f>_xlfn.XLOOKUP(C77,'Extract_for_Locations 1 Oct 25'!B:B,'Extract_for_Locations 1 Oct 25'!E:E)</f>
        <v>CORAU</v>
      </c>
      <c r="E77">
        <v>7868</v>
      </c>
      <c r="F77" t="s">
        <v>24</v>
      </c>
      <c r="H77" s="3" t="str">
        <f>CONCATENATE("FY26REV_",'FY26 Revenue'!B77)</f>
        <v>FY26REV_Corporate Australia</v>
      </c>
      <c r="I77" s="3" t="str">
        <f>CONCATENATE("FY26REV_",'FY26 Revenue'!B77)</f>
        <v>FY26REV_Corporate Australia</v>
      </c>
      <c r="J77" t="s">
        <v>21</v>
      </c>
      <c r="K77" t="s">
        <v>26</v>
      </c>
      <c r="L77" s="28">
        <v>46113</v>
      </c>
      <c r="M77" s="28">
        <v>46142</v>
      </c>
      <c r="N77" t="s">
        <v>27</v>
      </c>
      <c r="O77" t="s">
        <v>28</v>
      </c>
      <c r="Q77" t="s">
        <v>29</v>
      </c>
      <c r="R77" s="4" t="str">
        <f>'FY26 Revenue'!C77</f>
        <v>Corporate Australia</v>
      </c>
      <c r="S77" s="4" t="str">
        <f>'FY26 Revenue'!C77</f>
        <v>Corporate Australia</v>
      </c>
      <c r="T77">
        <f>'FY26 Revenue'!M77</f>
        <v>-2.1</v>
      </c>
    </row>
    <row r="78" spans="1:20" x14ac:dyDescent="0.3">
      <c r="A78">
        <v>37395</v>
      </c>
      <c r="B78" t="s">
        <v>21</v>
      </c>
      <c r="C78" s="5" t="str">
        <f>'FY26 Revenue'!N78</f>
        <v>REV_NZ NSC, IT, Property, WF &amp; Elins</v>
      </c>
      <c r="D78" t="str">
        <f>_xlfn.XLOOKUP(C78,'Extract_for_Locations 1 Oct 25'!B:B,'Extract_for_Locations 1 Oct 25'!E:E)</f>
        <v>RNZIPWE</v>
      </c>
      <c r="E78">
        <v>7868</v>
      </c>
      <c r="F78" t="s">
        <v>24</v>
      </c>
      <c r="H78" s="3" t="str">
        <f>CONCATENATE("FY26REV_",'FY26 Revenue'!B78)</f>
        <v>FY26REV_NZ NSC, IT, Property, WF &amp; Elins</v>
      </c>
      <c r="I78" s="3" t="str">
        <f>CONCATENATE("FY26REV_",'FY26 Revenue'!B78)</f>
        <v>FY26REV_NZ NSC, IT, Property, WF &amp; Elins</v>
      </c>
      <c r="J78" t="s">
        <v>21</v>
      </c>
      <c r="K78" t="s">
        <v>26</v>
      </c>
      <c r="L78" s="28">
        <v>46113</v>
      </c>
      <c r="M78" s="28">
        <v>46142</v>
      </c>
      <c r="N78" t="s">
        <v>27</v>
      </c>
      <c r="O78" t="s">
        <v>28</v>
      </c>
      <c r="Q78" t="s">
        <v>29</v>
      </c>
      <c r="R78" s="4" t="str">
        <f>'FY26 Revenue'!C78</f>
        <v>NZ NSC, IT, Property, WF &amp; Elins</v>
      </c>
      <c r="S78" s="4" t="str">
        <f>'FY26 Revenue'!C78</f>
        <v>NZ NSC, IT, Property, WF &amp; Elins</v>
      </c>
      <c r="T78">
        <f>'FY26 Revenue'!M78</f>
        <v>0.1</v>
      </c>
    </row>
    <row r="79" spans="1:20" x14ac:dyDescent="0.3">
      <c r="A79">
        <v>37395</v>
      </c>
      <c r="B79" t="s">
        <v>21</v>
      </c>
      <c r="C79" s="5" t="str">
        <f>'FY26 Revenue'!N79</f>
        <v>REV_Infrastructure Projects</v>
      </c>
      <c r="D79" t="str">
        <f>_xlfn.XLOOKUP(C79,'Extract_for_Locations 1 Oct 25'!B:B,'Extract_for_Locations 1 Oct 25'!E:E)</f>
        <v>DTIP</v>
      </c>
      <c r="E79">
        <v>7868</v>
      </c>
      <c r="F79" t="s">
        <v>24</v>
      </c>
      <c r="H79" s="3" t="str">
        <f>CONCATENATE("FY26REV_",'FY26 Revenue'!B79)</f>
        <v>FY26REV_Infrastructure Projects</v>
      </c>
      <c r="I79" s="3" t="str">
        <f>CONCATENATE("FY26REV_",'FY26 Revenue'!B79)</f>
        <v>FY26REV_Infrastructure Projects</v>
      </c>
      <c r="J79" t="s">
        <v>21</v>
      </c>
      <c r="K79" t="s">
        <v>26</v>
      </c>
      <c r="L79" s="28">
        <v>46113</v>
      </c>
      <c r="M79" s="28">
        <v>46142</v>
      </c>
      <c r="N79" t="s">
        <v>27</v>
      </c>
      <c r="O79" t="s">
        <v>28</v>
      </c>
      <c r="Q79" t="s">
        <v>29</v>
      </c>
      <c r="R79" s="4" t="str">
        <f>'FY26 Revenue'!C79</f>
        <v>Infrastructure Projects</v>
      </c>
      <c r="S79" s="4" t="str">
        <f>'FY26 Revenue'!C79</f>
        <v>Infrastructure Projects</v>
      </c>
      <c r="T79">
        <f>'FY26 Revenue'!M79</f>
        <v>0</v>
      </c>
    </row>
    <row r="80" spans="1:20" x14ac:dyDescent="0.3">
      <c r="A80">
        <v>37395</v>
      </c>
      <c r="B80" t="s">
        <v>21</v>
      </c>
      <c r="C80" s="5" t="str">
        <f>'FY26 Revenue'!N80</f>
        <v>REV_Intra Elim</v>
      </c>
      <c r="D80" t="str">
        <f>_xlfn.XLOOKUP(C80,'Extract_for_Locations 1 Oct 25'!B:B,'Extract_for_Locations 1 Oct 25'!E:E)</f>
        <v>CORIE</v>
      </c>
      <c r="E80">
        <v>7868</v>
      </c>
      <c r="F80" t="s">
        <v>24</v>
      </c>
      <c r="H80" s="3" t="str">
        <f>CONCATENATE("FY26REV_",'FY26 Revenue'!B80)</f>
        <v>FY26REV_Intra Elim</v>
      </c>
      <c r="I80" s="3" t="str">
        <f>CONCATENATE("FY26REV_",'FY26 Revenue'!B80)</f>
        <v>FY26REV_Intra Elim</v>
      </c>
      <c r="J80" t="s">
        <v>21</v>
      </c>
      <c r="K80" t="s">
        <v>26</v>
      </c>
      <c r="L80" s="28">
        <v>46113</v>
      </c>
      <c r="M80" s="28">
        <v>46142</v>
      </c>
      <c r="N80" t="s">
        <v>27</v>
      </c>
      <c r="O80" t="s">
        <v>28</v>
      </c>
      <c r="Q80" t="s">
        <v>29</v>
      </c>
      <c r="R80" s="4" t="str">
        <f>'FY26 Revenue'!C80</f>
        <v>Intra Elim</v>
      </c>
      <c r="S80" s="4" t="str">
        <f>'FY26 Revenue'!C80</f>
        <v>Intra Elim</v>
      </c>
      <c r="T80">
        <f>'FY26 Revenue'!M80</f>
        <v>-0.1</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2"/>
  <sheetViews>
    <sheetView zoomScaleNormal="100" workbookViewId="0">
      <selection activeCell="D1" sqref="D1:D1048576"/>
    </sheetView>
  </sheetViews>
  <sheetFormatPr defaultColWidth="8.5546875" defaultRowHeight="14.4" x14ac:dyDescent="0.3"/>
  <cols>
    <col min="1" max="1" width="34.109375" customWidth="1"/>
    <col min="2" max="3" width="40.109375" customWidth="1"/>
    <col min="4" max="4" width="8.6640625" style="8" customWidth="1"/>
    <col min="5" max="5" width="9.44140625" style="8" customWidth="1"/>
    <col min="6" max="7" width="8.88671875" style="8" customWidth="1"/>
    <col min="8" max="8" width="9.109375" style="8" customWidth="1"/>
    <col min="9" max="9" width="47.109375" customWidth="1"/>
  </cols>
  <sheetData>
    <row r="1" spans="1:14" x14ac:dyDescent="0.3">
      <c r="A1" t="s">
        <v>187</v>
      </c>
      <c r="B1" t="s">
        <v>188</v>
      </c>
      <c r="C1" t="s">
        <v>189</v>
      </c>
      <c r="D1" s="8" t="s">
        <v>190</v>
      </c>
      <c r="E1" s="8" t="s">
        <v>191</v>
      </c>
      <c r="F1" s="8" t="s">
        <v>192</v>
      </c>
      <c r="G1" s="8" t="s">
        <v>193</v>
      </c>
      <c r="H1" s="8" t="s">
        <v>194</v>
      </c>
      <c r="I1" t="s">
        <v>195</v>
      </c>
      <c r="J1" t="s">
        <v>196</v>
      </c>
      <c r="K1" t="s">
        <v>197</v>
      </c>
      <c r="L1" t="s">
        <v>6648</v>
      </c>
      <c r="M1" t="s">
        <v>6653</v>
      </c>
      <c r="N1" t="s">
        <v>198</v>
      </c>
    </row>
    <row r="2" spans="1:14" x14ac:dyDescent="0.3">
      <c r="A2" t="s">
        <v>199</v>
      </c>
      <c r="B2" t="s">
        <v>200</v>
      </c>
      <c r="C2" t="s">
        <v>30</v>
      </c>
      <c r="D2" s="8">
        <v>30.3</v>
      </c>
      <c r="E2" s="8">
        <v>30.4</v>
      </c>
      <c r="F2" s="8">
        <v>33.6</v>
      </c>
      <c r="G2" s="8">
        <v>41.8</v>
      </c>
      <c r="H2" s="8">
        <v>49</v>
      </c>
      <c r="I2">
        <v>39.200000000000003</v>
      </c>
      <c r="J2">
        <v>37.1</v>
      </c>
      <c r="K2">
        <v>54.6</v>
      </c>
      <c r="L2" s="26">
        <v>53.1</v>
      </c>
      <c r="M2" s="34">
        <v>44.2</v>
      </c>
      <c r="N2" t="str">
        <f>CONCATENATE("REV","_",Table2[[#This Row],[UD1 Name/Sub-LOB]])</f>
        <v>REV_Transport &amp; Infrastructure NZ</v>
      </c>
    </row>
    <row r="3" spans="1:14" x14ac:dyDescent="0.3">
      <c r="A3" t="s">
        <v>199</v>
      </c>
      <c r="B3" t="s">
        <v>200</v>
      </c>
      <c r="C3" t="s">
        <v>31</v>
      </c>
      <c r="D3" s="8">
        <v>27.8</v>
      </c>
      <c r="E3" s="8">
        <v>28</v>
      </c>
      <c r="F3" s="8">
        <v>31.5</v>
      </c>
      <c r="G3" s="8">
        <v>39.299999999999997</v>
      </c>
      <c r="H3" s="8">
        <v>45.5</v>
      </c>
      <c r="I3">
        <v>37.299999999999997</v>
      </c>
      <c r="J3">
        <v>31.5</v>
      </c>
      <c r="K3">
        <v>46.3</v>
      </c>
      <c r="L3" s="27">
        <v>54.8</v>
      </c>
      <c r="M3" s="34">
        <v>42.8</v>
      </c>
      <c r="N3" t="str">
        <f>CONCATENATE("REV","_",Table2[[#This Row],[UD1 Name/Sub-LOB]])</f>
        <v>REV_Transport &amp; Infrastructure NZ</v>
      </c>
    </row>
    <row r="4" spans="1:14" x14ac:dyDescent="0.3">
      <c r="A4" t="s">
        <v>199</v>
      </c>
      <c r="B4" t="s">
        <v>200</v>
      </c>
      <c r="C4" t="s">
        <v>32</v>
      </c>
      <c r="D4" s="8">
        <v>24.6</v>
      </c>
      <c r="E4" s="8">
        <v>28.1</v>
      </c>
      <c r="F4" s="8">
        <v>35.299999999999997</v>
      </c>
      <c r="G4" s="8">
        <v>34.299999999999997</v>
      </c>
      <c r="H4" s="8">
        <v>37.799999999999997</v>
      </c>
      <c r="I4">
        <v>39.200000000000003</v>
      </c>
      <c r="J4">
        <v>20.3</v>
      </c>
      <c r="K4">
        <v>30.4</v>
      </c>
      <c r="L4" s="26">
        <v>30.6</v>
      </c>
      <c r="M4" s="34">
        <v>33.5</v>
      </c>
      <c r="N4" t="str">
        <f>CONCATENATE("REV","_",Table2[[#This Row],[UD1 Name/Sub-LOB]])</f>
        <v>REV_Transport &amp; Infrastructure NZ</v>
      </c>
    </row>
    <row r="5" spans="1:14" x14ac:dyDescent="0.3">
      <c r="A5" t="s">
        <v>199</v>
      </c>
      <c r="B5" t="s">
        <v>200</v>
      </c>
      <c r="C5" t="s">
        <v>33</v>
      </c>
      <c r="D5" s="8">
        <v>41.4</v>
      </c>
      <c r="E5" s="8">
        <v>44.3</v>
      </c>
      <c r="F5" s="8">
        <v>47.1</v>
      </c>
      <c r="G5" s="8">
        <v>49.2</v>
      </c>
      <c r="H5" s="8">
        <v>47.1</v>
      </c>
      <c r="I5">
        <v>44.7</v>
      </c>
      <c r="J5">
        <v>35.6</v>
      </c>
      <c r="K5">
        <v>43</v>
      </c>
      <c r="L5" s="27">
        <v>54.5</v>
      </c>
      <c r="M5" s="34">
        <v>51</v>
      </c>
      <c r="N5" t="str">
        <f>CONCATENATE("REV","_",Table2[[#This Row],[UD1 Name/Sub-LOB]])</f>
        <v>REV_Transport &amp; Infrastructure NZ</v>
      </c>
    </row>
    <row r="6" spans="1:14" x14ac:dyDescent="0.3">
      <c r="A6" t="s">
        <v>199</v>
      </c>
      <c r="B6" t="s">
        <v>200</v>
      </c>
      <c r="C6" t="s">
        <v>34</v>
      </c>
      <c r="D6" s="8">
        <v>8.8000000000000007</v>
      </c>
      <c r="E6" s="8">
        <v>9.5</v>
      </c>
      <c r="F6" s="8">
        <v>9.6</v>
      </c>
      <c r="G6" s="8">
        <v>11.1</v>
      </c>
      <c r="H6" s="8">
        <v>15.4</v>
      </c>
      <c r="I6">
        <v>12.7</v>
      </c>
      <c r="J6">
        <v>9.8000000000000007</v>
      </c>
      <c r="K6">
        <v>15.1</v>
      </c>
      <c r="L6" s="26">
        <v>15.7</v>
      </c>
      <c r="M6" s="34">
        <v>13</v>
      </c>
      <c r="N6" t="str">
        <f>CONCATENATE("REV","_",Table2[[#This Row],[UD1 Name/Sub-LOB]])</f>
        <v>REV_Transport &amp; Infrastructure NZ</v>
      </c>
    </row>
    <row r="7" spans="1:14" x14ac:dyDescent="0.3">
      <c r="A7" t="s">
        <v>199</v>
      </c>
      <c r="B7" t="s">
        <v>200</v>
      </c>
      <c r="C7" t="s">
        <v>35</v>
      </c>
      <c r="D7" s="8">
        <v>0</v>
      </c>
      <c r="E7" s="8">
        <v>0</v>
      </c>
      <c r="F7" s="8">
        <v>0.5</v>
      </c>
      <c r="G7" s="8">
        <v>0.9</v>
      </c>
      <c r="H7" s="8">
        <v>-0.8</v>
      </c>
      <c r="I7">
        <v>-0.8</v>
      </c>
      <c r="J7">
        <v>0.1</v>
      </c>
      <c r="K7">
        <v>0.2</v>
      </c>
      <c r="L7" s="27">
        <v>0.3</v>
      </c>
      <c r="M7" s="34">
        <v>0.1</v>
      </c>
      <c r="N7" t="str">
        <f>CONCATENATE("REV","_",Table2[[#This Row],[UD1 Name/Sub-LOB]])</f>
        <v>REV_Transport &amp; Infrastructure NZ</v>
      </c>
    </row>
    <row r="8" spans="1:14" x14ac:dyDescent="0.3">
      <c r="A8" t="s">
        <v>199</v>
      </c>
      <c r="B8" t="s">
        <v>201</v>
      </c>
      <c r="C8" t="s">
        <v>36</v>
      </c>
      <c r="D8" s="8">
        <v>50.2</v>
      </c>
      <c r="E8" s="8">
        <v>42.9</v>
      </c>
      <c r="F8" s="8">
        <v>53.2</v>
      </c>
      <c r="G8" s="8">
        <v>51.8</v>
      </c>
      <c r="H8" s="8">
        <v>58.5</v>
      </c>
      <c r="I8">
        <v>48.6</v>
      </c>
      <c r="J8">
        <v>45</v>
      </c>
      <c r="K8">
        <v>60.1</v>
      </c>
      <c r="L8" s="26">
        <v>70.3</v>
      </c>
      <c r="M8" s="34">
        <v>76.599999999999994</v>
      </c>
      <c r="N8" t="str">
        <f>CONCATENATE("REV","_",Table2[[#This Row],[UD1 Name/Sub-LOB]])</f>
        <v>REV_Transport &amp; Infrastructure AU</v>
      </c>
    </row>
    <row r="9" spans="1:14" x14ac:dyDescent="0.3">
      <c r="A9" t="s">
        <v>199</v>
      </c>
      <c r="B9" t="s">
        <v>201</v>
      </c>
      <c r="C9" t="s">
        <v>40</v>
      </c>
      <c r="D9" s="8">
        <v>26.2</v>
      </c>
      <c r="E9" s="8">
        <v>27.2</v>
      </c>
      <c r="F9" s="8">
        <v>28.6</v>
      </c>
      <c r="G9" s="8">
        <v>36</v>
      </c>
      <c r="H9" s="8">
        <v>33.4</v>
      </c>
      <c r="I9">
        <v>30.2</v>
      </c>
      <c r="J9">
        <v>25.6</v>
      </c>
      <c r="K9">
        <v>35.6</v>
      </c>
      <c r="L9" s="27">
        <v>38.5</v>
      </c>
      <c r="M9" s="34">
        <v>44.9</v>
      </c>
      <c r="N9" t="str">
        <f>CONCATENATE("REV","_",Table2[[#This Row],[UD1 Name/Sub-LOB]])</f>
        <v>REV_Transport &amp; Infrastructure AU</v>
      </c>
    </row>
    <row r="10" spans="1:14" x14ac:dyDescent="0.3">
      <c r="A10" t="s">
        <v>199</v>
      </c>
      <c r="B10" t="s">
        <v>201</v>
      </c>
      <c r="C10" t="s">
        <v>41</v>
      </c>
      <c r="D10" s="8">
        <v>0.7</v>
      </c>
      <c r="E10" s="8">
        <v>0.8</v>
      </c>
      <c r="F10" s="8">
        <v>1.8</v>
      </c>
      <c r="G10" s="8">
        <v>3.3</v>
      </c>
      <c r="H10" s="8">
        <v>6.3</v>
      </c>
      <c r="I10">
        <v>5.4</v>
      </c>
      <c r="J10">
        <v>4.5</v>
      </c>
      <c r="K10">
        <v>6.6</v>
      </c>
      <c r="L10" s="26">
        <v>9.3000000000000007</v>
      </c>
      <c r="M10" s="34">
        <v>8.9</v>
      </c>
      <c r="N10" t="str">
        <f>CONCATENATE("REV","_",Table2[[#This Row],[UD1 Name/Sub-LOB]])</f>
        <v>REV_Transport &amp; Infrastructure AU</v>
      </c>
    </row>
    <row r="11" spans="1:14" x14ac:dyDescent="0.3">
      <c r="A11" t="s">
        <v>199</v>
      </c>
      <c r="B11" t="s">
        <v>201</v>
      </c>
      <c r="C11" t="s">
        <v>42</v>
      </c>
      <c r="D11" s="8">
        <v>6.8</v>
      </c>
      <c r="E11" s="8">
        <v>7.3</v>
      </c>
      <c r="F11" s="8">
        <v>6.3</v>
      </c>
      <c r="G11" s="8">
        <v>5.6</v>
      </c>
      <c r="H11" s="8">
        <v>5.0999999999999996</v>
      </c>
      <c r="I11">
        <v>3.2</v>
      </c>
      <c r="J11">
        <v>2.9</v>
      </c>
      <c r="K11">
        <v>6.7</v>
      </c>
      <c r="L11" s="27">
        <v>3.7</v>
      </c>
      <c r="M11" s="34">
        <v>3.6</v>
      </c>
      <c r="N11" t="str">
        <f>CONCATENATE("REV","_",Table2[[#This Row],[UD1 Name/Sub-LOB]])</f>
        <v>REV_Transport &amp; Infrastructure AU</v>
      </c>
    </row>
    <row r="12" spans="1:14" x14ac:dyDescent="0.3">
      <c r="A12" t="s">
        <v>199</v>
      </c>
      <c r="B12" t="s">
        <v>201</v>
      </c>
      <c r="C12" t="s">
        <v>43</v>
      </c>
      <c r="D12" s="8">
        <v>18.5</v>
      </c>
      <c r="E12" s="8">
        <v>22.1</v>
      </c>
      <c r="F12" s="8">
        <v>32.6</v>
      </c>
      <c r="G12" s="8">
        <v>47</v>
      </c>
      <c r="H12" s="8">
        <v>36</v>
      </c>
      <c r="I12">
        <v>30.2</v>
      </c>
      <c r="J12">
        <v>25.2</v>
      </c>
      <c r="K12">
        <v>33.700000000000003</v>
      </c>
      <c r="L12" s="26">
        <v>37.200000000000003</v>
      </c>
      <c r="M12" s="34">
        <v>35.1</v>
      </c>
      <c r="N12" t="str">
        <f>CONCATENATE("REV","_",Table2[[#This Row],[UD1 Name/Sub-LOB]])</f>
        <v>REV_Transport &amp; Infrastructure AU</v>
      </c>
    </row>
    <row r="13" spans="1:14" x14ac:dyDescent="0.3">
      <c r="A13" t="s">
        <v>199</v>
      </c>
      <c r="B13" t="s">
        <v>201</v>
      </c>
      <c r="C13" t="s">
        <v>44</v>
      </c>
      <c r="D13" s="8">
        <v>4</v>
      </c>
      <c r="E13" s="8">
        <v>2.2000000000000002</v>
      </c>
      <c r="F13" s="8">
        <v>5.5</v>
      </c>
      <c r="G13" s="8">
        <v>5.2</v>
      </c>
      <c r="H13" s="8">
        <v>5.8</v>
      </c>
      <c r="I13">
        <v>4.8</v>
      </c>
      <c r="J13">
        <v>5</v>
      </c>
      <c r="K13">
        <v>5.5</v>
      </c>
      <c r="L13" s="27">
        <v>5.8</v>
      </c>
      <c r="M13" s="34">
        <v>10.199999999999999</v>
      </c>
      <c r="N13" t="str">
        <f>CONCATENATE("REV","_",Table2[[#This Row],[UD1 Name/Sub-LOB]])</f>
        <v>REV_Transport &amp; Infrastructure AU</v>
      </c>
    </row>
    <row r="14" spans="1:14" x14ac:dyDescent="0.3">
      <c r="A14" t="s">
        <v>199</v>
      </c>
      <c r="B14" t="s">
        <v>201</v>
      </c>
      <c r="C14" t="s">
        <v>45</v>
      </c>
      <c r="D14" s="8">
        <v>0</v>
      </c>
      <c r="E14" s="8">
        <v>0</v>
      </c>
      <c r="F14" s="8">
        <v>0</v>
      </c>
      <c r="G14" s="8">
        <v>0</v>
      </c>
      <c r="H14" s="8">
        <v>-0.1</v>
      </c>
      <c r="I14">
        <v>0</v>
      </c>
      <c r="J14">
        <v>0</v>
      </c>
      <c r="K14">
        <v>0</v>
      </c>
      <c r="L14" s="26">
        <v>0</v>
      </c>
      <c r="M14" s="34">
        <v>0</v>
      </c>
      <c r="N14" t="str">
        <f>CONCATENATE("REV","_",Table2[[#This Row],[UD1 Name/Sub-LOB]])</f>
        <v>REV_Transport &amp; Infrastructure AU</v>
      </c>
    </row>
    <row r="15" spans="1:14" x14ac:dyDescent="0.3">
      <c r="A15" t="s">
        <v>199</v>
      </c>
      <c r="B15" t="s">
        <v>202</v>
      </c>
      <c r="C15" t="s">
        <v>46</v>
      </c>
      <c r="D15" s="8">
        <v>0.1</v>
      </c>
      <c r="E15" s="8">
        <v>0</v>
      </c>
      <c r="F15" s="8">
        <v>0</v>
      </c>
      <c r="G15" s="8">
        <v>0.1</v>
      </c>
      <c r="H15" s="8">
        <v>0</v>
      </c>
      <c r="I15">
        <v>0</v>
      </c>
      <c r="J15">
        <v>0.5</v>
      </c>
      <c r="K15">
        <v>0</v>
      </c>
      <c r="L15" s="27">
        <v>0</v>
      </c>
      <c r="M15" s="34">
        <v>0</v>
      </c>
      <c r="N15" t="str">
        <f>CONCATENATE("REV","_",Table2[[#This Row],[UD1 Name/Sub-LOB]])</f>
        <v>REV_Fleet &amp; Assets</v>
      </c>
    </row>
    <row r="16" spans="1:14" x14ac:dyDescent="0.3">
      <c r="A16" t="s">
        <v>199</v>
      </c>
      <c r="B16" t="s">
        <v>202</v>
      </c>
      <c r="C16" t="s">
        <v>47</v>
      </c>
      <c r="D16" s="8">
        <v>0</v>
      </c>
      <c r="E16" s="8">
        <v>0.3</v>
      </c>
      <c r="F16" s="8">
        <v>0.1</v>
      </c>
      <c r="G16" s="8">
        <v>0.1</v>
      </c>
      <c r="H16" s="8">
        <v>0.1</v>
      </c>
      <c r="I16">
        <v>0</v>
      </c>
      <c r="J16">
        <v>0.1</v>
      </c>
      <c r="K16">
        <v>0</v>
      </c>
      <c r="L16" s="26">
        <v>0.2</v>
      </c>
      <c r="M16" s="34">
        <v>0.1</v>
      </c>
      <c r="N16" t="str">
        <f>CONCATENATE("REV","_",Table2[[#This Row],[UD1 Name/Sub-LOB]])</f>
        <v>REV_Fleet &amp; Assets</v>
      </c>
    </row>
    <row r="17" spans="1:14" x14ac:dyDescent="0.3">
      <c r="A17" t="s">
        <v>199</v>
      </c>
      <c r="B17" t="s">
        <v>202</v>
      </c>
      <c r="C17" t="s">
        <v>51</v>
      </c>
      <c r="D17" s="8">
        <v>0</v>
      </c>
      <c r="E17" s="8">
        <v>0</v>
      </c>
      <c r="F17" s="8">
        <v>0</v>
      </c>
      <c r="G17" s="8">
        <v>0.2</v>
      </c>
      <c r="H17" s="8">
        <v>0</v>
      </c>
      <c r="I17">
        <v>0</v>
      </c>
      <c r="J17">
        <v>0</v>
      </c>
      <c r="K17">
        <v>0</v>
      </c>
      <c r="L17" s="27">
        <v>0</v>
      </c>
      <c r="M17" s="34">
        <v>0</v>
      </c>
      <c r="N17" t="str">
        <f>CONCATENATE("REV","_",Table2[[#This Row],[UD1 Name/Sub-LOB]])</f>
        <v>REV_Fleet &amp; Assets</v>
      </c>
    </row>
    <row r="18" spans="1:14" x14ac:dyDescent="0.3">
      <c r="A18" t="s">
        <v>199</v>
      </c>
      <c r="B18" t="s">
        <v>202</v>
      </c>
      <c r="C18" t="s">
        <v>52</v>
      </c>
      <c r="D18" s="8">
        <v>-0.2</v>
      </c>
      <c r="E18" s="8">
        <v>-0.3</v>
      </c>
      <c r="F18" s="8">
        <v>-0.2</v>
      </c>
      <c r="G18" s="8">
        <v>1</v>
      </c>
      <c r="H18" s="8">
        <v>0</v>
      </c>
      <c r="I18">
        <v>0</v>
      </c>
      <c r="J18">
        <v>0.1</v>
      </c>
      <c r="K18">
        <v>-0.1</v>
      </c>
      <c r="L18" s="26">
        <v>0</v>
      </c>
      <c r="M18" s="34">
        <v>0.2</v>
      </c>
      <c r="N18" t="str">
        <f>CONCATENATE("REV","_",Table2[[#This Row],[UD1 Name/Sub-LOB]])</f>
        <v>REV_Fleet &amp; Assets</v>
      </c>
    </row>
    <row r="19" spans="1:14" x14ac:dyDescent="0.3">
      <c r="A19" t="s">
        <v>203</v>
      </c>
      <c r="B19" t="s">
        <v>204</v>
      </c>
      <c r="C19" t="s">
        <v>53</v>
      </c>
      <c r="D19" s="8">
        <v>38.299999999999997</v>
      </c>
      <c r="E19" s="8">
        <v>35.200000000000003</v>
      </c>
      <c r="F19" s="8">
        <v>29.7</v>
      </c>
      <c r="G19" s="8">
        <v>28.4</v>
      </c>
      <c r="H19" s="8">
        <v>27.4</v>
      </c>
      <c r="I19">
        <v>26.7</v>
      </c>
      <c r="J19">
        <v>19</v>
      </c>
      <c r="K19">
        <v>23</v>
      </c>
      <c r="L19" s="27">
        <v>22.3</v>
      </c>
      <c r="M19" s="34">
        <v>23.5</v>
      </c>
      <c r="N19" t="str">
        <f>CONCATENATE("REV","_",Table2[[#This Row],[UD1 Name/Sub-LOB]])</f>
        <v>REV_Telecommunications &amp; Networks</v>
      </c>
    </row>
    <row r="20" spans="1:14" x14ac:dyDescent="0.3">
      <c r="A20" t="s">
        <v>203</v>
      </c>
      <c r="B20" t="s">
        <v>204</v>
      </c>
      <c r="C20" t="s">
        <v>54</v>
      </c>
      <c r="D20" s="8">
        <v>13.6</v>
      </c>
      <c r="E20" s="8">
        <v>10.3</v>
      </c>
      <c r="F20" s="8">
        <v>10.3</v>
      </c>
      <c r="G20" s="8">
        <v>11.8</v>
      </c>
      <c r="H20" s="8">
        <v>12</v>
      </c>
      <c r="I20">
        <v>9.8000000000000007</v>
      </c>
      <c r="J20">
        <v>10.199999999999999</v>
      </c>
      <c r="K20">
        <v>11.3</v>
      </c>
      <c r="L20" s="26">
        <v>12</v>
      </c>
      <c r="M20" s="34">
        <v>10.8</v>
      </c>
      <c r="N20" t="str">
        <f>CONCATENATE("REV","_",Table2[[#This Row],[UD1 Name/Sub-LOB]])</f>
        <v>REV_Telecommunications &amp; Networks</v>
      </c>
    </row>
    <row r="21" spans="1:14" x14ac:dyDescent="0.3">
      <c r="A21" t="s">
        <v>203</v>
      </c>
      <c r="B21" t="s">
        <v>204</v>
      </c>
      <c r="C21" t="s">
        <v>58</v>
      </c>
      <c r="D21" s="8">
        <v>16.3</v>
      </c>
      <c r="E21" s="8">
        <v>16.2</v>
      </c>
      <c r="F21" s="8">
        <v>16.7</v>
      </c>
      <c r="G21" s="8">
        <v>12.9</v>
      </c>
      <c r="H21" s="8">
        <v>14.6</v>
      </c>
      <c r="I21">
        <v>9.8000000000000007</v>
      </c>
      <c r="J21">
        <v>11.6</v>
      </c>
      <c r="K21">
        <v>12</v>
      </c>
      <c r="L21" s="27">
        <v>13.3</v>
      </c>
      <c r="M21" s="34">
        <v>11.9</v>
      </c>
      <c r="N21" t="str">
        <f>CONCATENATE("REV","_",Table2[[#This Row],[UD1 Name/Sub-LOB]])</f>
        <v>REV_Telecommunications &amp; Networks</v>
      </c>
    </row>
    <row r="22" spans="1:14" x14ac:dyDescent="0.3">
      <c r="A22" t="s">
        <v>203</v>
      </c>
      <c r="B22" t="s">
        <v>54</v>
      </c>
      <c r="C22" t="s">
        <v>59</v>
      </c>
      <c r="D22" s="8">
        <v>19.3</v>
      </c>
      <c r="E22" s="8">
        <v>5.8</v>
      </c>
      <c r="F22" s="8">
        <v>1.1000000000000001</v>
      </c>
      <c r="G22" s="8">
        <v>0.1</v>
      </c>
      <c r="H22" s="8">
        <v>0.4</v>
      </c>
      <c r="I22">
        <v>3.3</v>
      </c>
      <c r="J22">
        <v>-0.3</v>
      </c>
      <c r="K22">
        <v>0</v>
      </c>
      <c r="L22" s="26">
        <v>0</v>
      </c>
      <c r="M22" s="34">
        <v>0</v>
      </c>
      <c r="N22" t="str">
        <f>CONCATENATE("REV","_",Table2[[#This Row],[UD1 Name/Sub-LOB]])</f>
        <v>REV_Network Services</v>
      </c>
    </row>
    <row r="23" spans="1:14" x14ac:dyDescent="0.3">
      <c r="A23" t="s">
        <v>203</v>
      </c>
      <c r="B23" t="s">
        <v>54</v>
      </c>
      <c r="C23" t="s">
        <v>63</v>
      </c>
      <c r="D23" s="8">
        <v>0.9</v>
      </c>
      <c r="E23" s="8">
        <v>0</v>
      </c>
      <c r="F23" s="8">
        <v>0</v>
      </c>
      <c r="G23" s="8">
        <v>0</v>
      </c>
      <c r="H23" s="8">
        <v>0</v>
      </c>
      <c r="I23">
        <v>0</v>
      </c>
      <c r="J23">
        <v>0</v>
      </c>
      <c r="K23">
        <v>0</v>
      </c>
      <c r="L23" s="27">
        <v>0</v>
      </c>
      <c r="M23" s="34">
        <v>0</v>
      </c>
      <c r="N23" t="str">
        <f>CONCATENATE("REV","_",Table2[[#This Row],[UD1 Name/Sub-LOB]])</f>
        <v>REV_Network Services</v>
      </c>
    </row>
    <row r="24" spans="1:14" x14ac:dyDescent="0.3">
      <c r="A24" t="s">
        <v>203</v>
      </c>
      <c r="B24" t="s">
        <v>205</v>
      </c>
      <c r="C24" t="s">
        <v>64</v>
      </c>
      <c r="D24" s="8">
        <v>47.5</v>
      </c>
      <c r="E24" s="8">
        <v>51.7</v>
      </c>
      <c r="F24" s="8">
        <v>47.6</v>
      </c>
      <c r="G24" s="8">
        <v>46.8</v>
      </c>
      <c r="H24" s="8">
        <v>45</v>
      </c>
      <c r="I24">
        <v>41.5</v>
      </c>
      <c r="J24">
        <v>37.200000000000003</v>
      </c>
      <c r="K24">
        <v>48.2</v>
      </c>
      <c r="L24" s="26">
        <v>53.5</v>
      </c>
      <c r="M24" s="34">
        <v>58.6</v>
      </c>
      <c r="N24" t="str">
        <f>CONCATENATE("REV","_",Table2[[#This Row],[UD1 Name/Sub-LOB]])</f>
        <v>REV_Water</v>
      </c>
    </row>
    <row r="25" spans="1:14" x14ac:dyDescent="0.3">
      <c r="A25" t="s">
        <v>203</v>
      </c>
      <c r="B25" t="s">
        <v>205</v>
      </c>
      <c r="C25" t="s">
        <v>65</v>
      </c>
      <c r="D25" s="8">
        <v>13.6</v>
      </c>
      <c r="E25" s="8">
        <v>12.7</v>
      </c>
      <c r="F25" s="8">
        <v>13.1</v>
      </c>
      <c r="G25" s="8">
        <v>14.2</v>
      </c>
      <c r="H25" s="8">
        <v>14.1</v>
      </c>
      <c r="I25">
        <v>10.6</v>
      </c>
      <c r="J25">
        <v>14.2</v>
      </c>
      <c r="K25">
        <v>13.3</v>
      </c>
      <c r="L25" s="27">
        <v>16.8</v>
      </c>
      <c r="M25" s="34">
        <v>14.8</v>
      </c>
      <c r="N25" t="str">
        <f>CONCATENATE("REV","_",Table2[[#This Row],[UD1 Name/Sub-LOB]])</f>
        <v>REV_Water</v>
      </c>
    </row>
    <row r="26" spans="1:14" x14ac:dyDescent="0.3">
      <c r="A26" t="s">
        <v>203</v>
      </c>
      <c r="B26" t="s">
        <v>69</v>
      </c>
      <c r="C26" t="s">
        <v>69</v>
      </c>
      <c r="D26" s="8">
        <v>34.200000000000003</v>
      </c>
      <c r="E26" s="8">
        <v>31.5</v>
      </c>
      <c r="F26" s="8">
        <v>29</v>
      </c>
      <c r="G26" s="8">
        <v>28</v>
      </c>
      <c r="H26" s="8">
        <v>27.3</v>
      </c>
      <c r="I26">
        <v>22.2</v>
      </c>
      <c r="J26">
        <v>14.4</v>
      </c>
      <c r="K26">
        <v>20.100000000000001</v>
      </c>
      <c r="L26" s="26">
        <v>21.4</v>
      </c>
      <c r="M26" s="34">
        <v>24.4</v>
      </c>
      <c r="N26" t="str">
        <f>CONCATENATE("REV","_",Table2[[#This Row],[UD1 Name/Sub-LOB]])</f>
        <v>REV_Power Projects</v>
      </c>
    </row>
    <row r="27" spans="1:14" x14ac:dyDescent="0.3">
      <c r="A27" t="s">
        <v>203</v>
      </c>
      <c r="B27" t="s">
        <v>206</v>
      </c>
      <c r="C27" t="s">
        <v>70</v>
      </c>
      <c r="D27" s="8">
        <v>12.6</v>
      </c>
      <c r="E27" s="8">
        <v>10.4</v>
      </c>
      <c r="F27" s="8">
        <v>10.7</v>
      </c>
      <c r="G27" s="8">
        <v>11.5</v>
      </c>
      <c r="H27" s="8">
        <v>11.6</v>
      </c>
      <c r="I27">
        <v>12.4</v>
      </c>
      <c r="J27">
        <v>8.6999999999999993</v>
      </c>
      <c r="K27">
        <v>9.8000000000000007</v>
      </c>
      <c r="L27" s="27">
        <v>10.5</v>
      </c>
      <c r="M27" s="34">
        <v>9.5</v>
      </c>
      <c r="N27" t="str">
        <f>CONCATENATE("REV","_",Table2[[#This Row],[UD1 Name/Sub-LOB]])</f>
        <v>REV_Energy &amp; Industrial</v>
      </c>
    </row>
    <row r="28" spans="1:14" x14ac:dyDescent="0.3">
      <c r="A28" t="s">
        <v>203</v>
      </c>
      <c r="B28" t="s">
        <v>206</v>
      </c>
      <c r="C28" t="s">
        <v>74</v>
      </c>
      <c r="D28" s="8">
        <v>14.2</v>
      </c>
      <c r="E28" s="8">
        <v>17.899999999999999</v>
      </c>
      <c r="F28" s="8">
        <v>26.7</v>
      </c>
      <c r="G28" s="8">
        <v>35.799999999999997</v>
      </c>
      <c r="H28" s="8">
        <v>23.8</v>
      </c>
      <c r="I28">
        <v>15.7</v>
      </c>
      <c r="J28">
        <v>7.3</v>
      </c>
      <c r="K28">
        <v>7</v>
      </c>
      <c r="L28" s="26">
        <v>13.7</v>
      </c>
      <c r="M28" s="34">
        <v>15.7</v>
      </c>
      <c r="N28" t="str">
        <f>CONCATENATE("REV","_",Table2[[#This Row],[UD1 Name/Sub-LOB]])</f>
        <v>REV_Energy &amp; Industrial</v>
      </c>
    </row>
    <row r="29" spans="1:14" x14ac:dyDescent="0.3">
      <c r="A29" t="s">
        <v>203</v>
      </c>
      <c r="B29" t="s">
        <v>206</v>
      </c>
      <c r="C29" t="s">
        <v>75</v>
      </c>
      <c r="D29" s="8">
        <v>10.6</v>
      </c>
      <c r="E29" s="8">
        <v>9.3000000000000007</v>
      </c>
      <c r="F29" s="8">
        <v>13.4</v>
      </c>
      <c r="G29" s="8">
        <v>16.100000000000001</v>
      </c>
      <c r="H29" s="8">
        <v>11.5</v>
      </c>
      <c r="I29">
        <v>15.3</v>
      </c>
      <c r="J29">
        <v>7.5</v>
      </c>
      <c r="K29">
        <v>13.2</v>
      </c>
      <c r="L29" s="27">
        <v>9.6</v>
      </c>
      <c r="M29" s="34">
        <v>8.1</v>
      </c>
      <c r="N29" t="str">
        <f>CONCATENATE("REV","_",Table2[[#This Row],[UD1 Name/Sub-LOB]])</f>
        <v>REV_Energy &amp; Industrial</v>
      </c>
    </row>
    <row r="30" spans="1:14" x14ac:dyDescent="0.3">
      <c r="A30" t="s">
        <v>203</v>
      </c>
      <c r="B30" t="s">
        <v>206</v>
      </c>
      <c r="C30" t="s">
        <v>79</v>
      </c>
      <c r="D30" s="8">
        <v>17.600000000000001</v>
      </c>
      <c r="E30" s="8">
        <v>15.3</v>
      </c>
      <c r="F30" s="8">
        <v>16</v>
      </c>
      <c r="G30" s="8">
        <v>16</v>
      </c>
      <c r="H30" s="8">
        <v>15</v>
      </c>
      <c r="I30">
        <v>12.6</v>
      </c>
      <c r="J30">
        <v>10</v>
      </c>
      <c r="K30">
        <v>11.7</v>
      </c>
      <c r="L30" s="26">
        <v>15.4</v>
      </c>
      <c r="M30" s="34">
        <v>16.8</v>
      </c>
      <c r="N30" t="str">
        <f>CONCATENATE("REV","_",Table2[[#This Row],[UD1 Name/Sub-LOB]])</f>
        <v>REV_Energy &amp; Industrial</v>
      </c>
    </row>
    <row r="31" spans="1:14" x14ac:dyDescent="0.3">
      <c r="A31" t="s">
        <v>203</v>
      </c>
      <c r="B31" t="s">
        <v>207</v>
      </c>
      <c r="C31" t="s">
        <v>83</v>
      </c>
      <c r="D31" s="8">
        <v>0.3</v>
      </c>
      <c r="E31" s="8">
        <v>0.2</v>
      </c>
      <c r="F31" s="8">
        <v>0.4</v>
      </c>
      <c r="G31" s="8">
        <v>0.2</v>
      </c>
      <c r="H31" s="8">
        <v>0.5</v>
      </c>
      <c r="I31">
        <v>0.1</v>
      </c>
      <c r="J31">
        <v>0.1</v>
      </c>
      <c r="K31">
        <v>0.2</v>
      </c>
      <c r="L31" s="27">
        <v>0.1</v>
      </c>
      <c r="M31" s="34">
        <v>0.4</v>
      </c>
      <c r="N31" t="str">
        <f>CONCATENATE("REV","_",Table2[[#This Row],[UD1 Name/Sub-LOB]])</f>
        <v>REV_Mineral Technologies</v>
      </c>
    </row>
    <row r="32" spans="1:14" x14ac:dyDescent="0.3">
      <c r="A32" t="s">
        <v>203</v>
      </c>
      <c r="B32" t="s">
        <v>207</v>
      </c>
      <c r="C32" t="s">
        <v>84</v>
      </c>
      <c r="D32" s="8">
        <v>3.5</v>
      </c>
      <c r="E32" s="8">
        <v>2.7</v>
      </c>
      <c r="F32" s="8">
        <v>7.4</v>
      </c>
      <c r="G32" s="8">
        <v>6.4</v>
      </c>
      <c r="H32" s="8">
        <v>6.4</v>
      </c>
      <c r="I32">
        <v>13.4</v>
      </c>
      <c r="J32">
        <v>4.4000000000000004</v>
      </c>
      <c r="K32">
        <v>5.2</v>
      </c>
      <c r="L32" s="26">
        <v>8.5</v>
      </c>
      <c r="M32" s="34">
        <v>1.2</v>
      </c>
      <c r="N32" t="str">
        <f>CONCATENATE("REV","_",Table2[[#This Row],[UD1 Name/Sub-LOB]])</f>
        <v>REV_Mineral Technologies</v>
      </c>
    </row>
    <row r="33" spans="1:14" x14ac:dyDescent="0.3">
      <c r="A33" t="s">
        <v>203</v>
      </c>
      <c r="B33" t="s">
        <v>207</v>
      </c>
      <c r="C33" t="s">
        <v>85</v>
      </c>
      <c r="D33" s="8">
        <v>3.3</v>
      </c>
      <c r="E33" s="8">
        <v>3.2</v>
      </c>
      <c r="F33" s="8">
        <v>2.7</v>
      </c>
      <c r="G33" s="8">
        <v>2.5</v>
      </c>
      <c r="H33" s="8">
        <v>2.8</v>
      </c>
      <c r="I33">
        <v>-1.8</v>
      </c>
      <c r="J33">
        <v>2.2000000000000002</v>
      </c>
      <c r="K33">
        <v>2.4</v>
      </c>
      <c r="L33" s="27">
        <v>1.8</v>
      </c>
      <c r="M33" s="34">
        <v>5.9</v>
      </c>
      <c r="N33" t="str">
        <f>CONCATENATE("REV","_",Table2[[#This Row],[UD1 Name/Sub-LOB]])</f>
        <v>REV_Mineral Technologies</v>
      </c>
    </row>
    <row r="34" spans="1:14" x14ac:dyDescent="0.3">
      <c r="A34" t="s">
        <v>203</v>
      </c>
      <c r="B34" t="s">
        <v>207</v>
      </c>
      <c r="C34" t="s">
        <v>86</v>
      </c>
      <c r="D34" s="8">
        <v>0</v>
      </c>
      <c r="E34" s="8">
        <v>0</v>
      </c>
      <c r="F34" s="8">
        <v>0</v>
      </c>
      <c r="G34" s="8">
        <v>0</v>
      </c>
      <c r="H34" s="8">
        <v>0.1</v>
      </c>
      <c r="I34">
        <v>0</v>
      </c>
      <c r="J34">
        <v>0</v>
      </c>
      <c r="K34">
        <v>0</v>
      </c>
      <c r="L34" s="26">
        <v>0</v>
      </c>
      <c r="M34" s="34">
        <v>0</v>
      </c>
      <c r="N34" t="str">
        <f>CONCATENATE("REV","_",Table2[[#This Row],[UD1 Name/Sub-LOB]])</f>
        <v>REV_Mineral Technologies</v>
      </c>
    </row>
    <row r="35" spans="1:14" x14ac:dyDescent="0.3">
      <c r="A35" t="s">
        <v>203</v>
      </c>
      <c r="B35" t="s">
        <v>207</v>
      </c>
      <c r="C35" t="s">
        <v>90</v>
      </c>
      <c r="D35" s="8">
        <v>0</v>
      </c>
      <c r="E35" s="8">
        <v>0</v>
      </c>
      <c r="F35" s="8">
        <v>0</v>
      </c>
      <c r="G35" s="8">
        <v>0</v>
      </c>
      <c r="H35" s="8">
        <v>0</v>
      </c>
      <c r="I35">
        <v>0</v>
      </c>
      <c r="J35">
        <v>0.1</v>
      </c>
      <c r="K35">
        <v>0</v>
      </c>
      <c r="L35" s="27">
        <v>0</v>
      </c>
      <c r="M35" s="34">
        <v>0</v>
      </c>
      <c r="N35" t="str">
        <f>CONCATENATE("REV","_",Table2[[#This Row],[UD1 Name/Sub-LOB]])</f>
        <v>REV_Mineral Technologies</v>
      </c>
    </row>
    <row r="36" spans="1:14" x14ac:dyDescent="0.3">
      <c r="A36" t="s">
        <v>203</v>
      </c>
      <c r="B36" t="s">
        <v>208</v>
      </c>
      <c r="C36" t="s">
        <v>91</v>
      </c>
      <c r="D36" s="8">
        <v>0</v>
      </c>
      <c r="E36" s="8">
        <v>0</v>
      </c>
      <c r="F36" s="8">
        <v>0</v>
      </c>
      <c r="G36" s="8">
        <v>0</v>
      </c>
      <c r="H36" s="8">
        <v>0.1</v>
      </c>
      <c r="I36">
        <v>0</v>
      </c>
      <c r="J36">
        <v>0</v>
      </c>
      <c r="K36">
        <v>0</v>
      </c>
      <c r="L36" s="26">
        <v>0</v>
      </c>
      <c r="M36" s="34">
        <v>0</v>
      </c>
      <c r="N36" t="str">
        <f>CONCATENATE("REV","_",Table2[[#This Row],[UD1 Name/Sub-LOB]])</f>
        <v>REV_Utilities Legacy &amp; Other</v>
      </c>
    </row>
    <row r="37" spans="1:14" x14ac:dyDescent="0.3">
      <c r="A37" t="s">
        <v>203</v>
      </c>
      <c r="B37" t="s">
        <v>209</v>
      </c>
      <c r="C37" t="s">
        <v>92</v>
      </c>
      <c r="D37" s="8">
        <v>0.5</v>
      </c>
      <c r="E37" s="8">
        <v>0.4</v>
      </c>
      <c r="F37" s="8">
        <v>0.1</v>
      </c>
      <c r="G37" s="8">
        <v>0.1</v>
      </c>
      <c r="H37" s="8">
        <v>0.1</v>
      </c>
      <c r="I37">
        <v>0</v>
      </c>
      <c r="J37">
        <v>0.4</v>
      </c>
      <c r="K37">
        <v>0.5</v>
      </c>
      <c r="L37" s="27">
        <v>1.1000000000000001</v>
      </c>
      <c r="M37" s="34">
        <v>1</v>
      </c>
      <c r="N37" t="str">
        <f>CONCATENATE("REV","_",Table2[[#This Row],[UD1 Name/Sub-LOB]])</f>
        <v>REV_EU Support</v>
      </c>
    </row>
    <row r="38" spans="1:14" x14ac:dyDescent="0.3">
      <c r="A38" t="s">
        <v>203</v>
      </c>
      <c r="B38" t="s">
        <v>209</v>
      </c>
      <c r="C38" t="s">
        <v>96</v>
      </c>
      <c r="D38" s="8">
        <v>0</v>
      </c>
      <c r="E38" s="8">
        <v>0</v>
      </c>
      <c r="F38" s="8">
        <v>-0.1</v>
      </c>
      <c r="G38" s="8">
        <v>0</v>
      </c>
      <c r="H38" s="8">
        <v>0.1</v>
      </c>
      <c r="I38">
        <v>0.4</v>
      </c>
      <c r="J38">
        <v>0</v>
      </c>
      <c r="K38">
        <v>0</v>
      </c>
      <c r="L38" s="26">
        <v>0</v>
      </c>
      <c r="M38" s="34">
        <v>0</v>
      </c>
      <c r="N38" t="str">
        <f>CONCATENATE("REV","_",Table2[[#This Row],[UD1 Name/Sub-LOB]])</f>
        <v>REV_EU Support</v>
      </c>
    </row>
    <row r="39" spans="1:14" x14ac:dyDescent="0.3">
      <c r="A39" t="s">
        <v>203</v>
      </c>
      <c r="B39" t="s">
        <v>210</v>
      </c>
      <c r="C39" t="s">
        <v>100</v>
      </c>
      <c r="D39" s="8">
        <v>0</v>
      </c>
      <c r="E39" s="8">
        <v>0</v>
      </c>
      <c r="F39" s="8">
        <v>0</v>
      </c>
      <c r="G39" s="8">
        <v>0</v>
      </c>
      <c r="H39" s="8">
        <v>0</v>
      </c>
      <c r="I39">
        <v>0</v>
      </c>
      <c r="J39">
        <v>0</v>
      </c>
      <c r="K39">
        <v>0</v>
      </c>
      <c r="L39" s="27">
        <v>0</v>
      </c>
      <c r="M39" s="34">
        <v>0</v>
      </c>
      <c r="N39" t="str">
        <f>CONCATENATE("REV","_",Table2[[#This Row],[UD1 Name/Sub-LOB]])</f>
        <v>REV_EU Gap</v>
      </c>
    </row>
    <row r="40" spans="1:14" x14ac:dyDescent="0.3">
      <c r="A40" t="s">
        <v>211</v>
      </c>
      <c r="B40" t="s">
        <v>101</v>
      </c>
      <c r="C40" t="s">
        <v>101</v>
      </c>
      <c r="D40" s="8">
        <v>23.6</v>
      </c>
      <c r="E40" s="8">
        <v>21.4</v>
      </c>
      <c r="F40" s="8">
        <v>23.7</v>
      </c>
      <c r="G40" s="8">
        <v>24</v>
      </c>
      <c r="H40" s="8">
        <v>23.5</v>
      </c>
      <c r="I40">
        <v>16.3</v>
      </c>
      <c r="J40">
        <v>18.5</v>
      </c>
      <c r="K40">
        <v>22.5</v>
      </c>
      <c r="L40" s="26">
        <v>23.5</v>
      </c>
      <c r="M40" s="34">
        <v>18.100000000000001</v>
      </c>
      <c r="N40" t="str">
        <f>CONCATENATE("REV","_",Table2[[#This Row],[UD1 Name/Sub-LOB]])</f>
        <v>REV_Downer Professional Services</v>
      </c>
    </row>
    <row r="41" spans="1:14" x14ac:dyDescent="0.3">
      <c r="A41" t="s">
        <v>211</v>
      </c>
      <c r="B41" t="s">
        <v>212</v>
      </c>
      <c r="C41" t="s">
        <v>105</v>
      </c>
      <c r="D41" s="8">
        <v>0</v>
      </c>
      <c r="E41" s="8">
        <v>0</v>
      </c>
      <c r="F41" s="8">
        <v>0</v>
      </c>
      <c r="G41" s="8">
        <v>0</v>
      </c>
      <c r="H41" s="8">
        <v>0</v>
      </c>
      <c r="I41">
        <v>0</v>
      </c>
      <c r="J41">
        <v>0</v>
      </c>
      <c r="K41">
        <v>15.9</v>
      </c>
      <c r="L41" s="27">
        <v>19.600000000000001</v>
      </c>
      <c r="M41" s="34">
        <v>24.8</v>
      </c>
      <c r="N41" t="str">
        <f>CONCATENATE("REV","_",Table2[[#This Row],[UD1 Name/Sub-LOB]])</f>
        <v>REV_Base &amp; Estate Management</v>
      </c>
    </row>
    <row r="42" spans="1:14" x14ac:dyDescent="0.3">
      <c r="A42" t="s">
        <v>211</v>
      </c>
      <c r="B42" t="s">
        <v>212</v>
      </c>
      <c r="C42" t="s">
        <v>109</v>
      </c>
      <c r="D42" s="8">
        <v>36.5</v>
      </c>
      <c r="E42" s="8">
        <v>37.299999999999997</v>
      </c>
      <c r="F42" s="8">
        <v>36</v>
      </c>
      <c r="G42" s="8">
        <v>36.200000000000003</v>
      </c>
      <c r="H42" s="8">
        <v>33.700000000000003</v>
      </c>
      <c r="I42">
        <v>38.1</v>
      </c>
      <c r="J42">
        <v>42.9</v>
      </c>
      <c r="K42">
        <v>0.7</v>
      </c>
      <c r="L42" s="26">
        <v>0.6</v>
      </c>
      <c r="M42" s="34">
        <v>0.6</v>
      </c>
      <c r="N42" t="str">
        <f>CONCATENATE("REV","_",Table2[[#This Row],[UD1 Name/Sub-LOB]])</f>
        <v>REV_Base &amp; Estate Management</v>
      </c>
    </row>
    <row r="43" spans="1:14" x14ac:dyDescent="0.3">
      <c r="A43" t="s">
        <v>211</v>
      </c>
      <c r="B43" t="s">
        <v>212</v>
      </c>
      <c r="C43" t="s">
        <v>110</v>
      </c>
      <c r="D43" s="8">
        <v>2.6</v>
      </c>
      <c r="E43" s="8">
        <v>1.8</v>
      </c>
      <c r="F43" s="8">
        <v>2</v>
      </c>
      <c r="G43" s="8">
        <v>1.8</v>
      </c>
      <c r="H43" s="8">
        <v>1.9</v>
      </c>
      <c r="I43">
        <v>2</v>
      </c>
      <c r="J43">
        <v>1.8</v>
      </c>
      <c r="K43">
        <v>1.9</v>
      </c>
      <c r="L43" s="27">
        <v>2.5</v>
      </c>
      <c r="M43" s="34">
        <v>2.2999999999999998</v>
      </c>
      <c r="N43" t="str">
        <f>CONCATENATE("REV","_",Table2[[#This Row],[UD1 Name/Sub-LOB]])</f>
        <v>REV_Base &amp; Estate Management</v>
      </c>
    </row>
    <row r="44" spans="1:14" x14ac:dyDescent="0.3">
      <c r="A44" t="s">
        <v>211</v>
      </c>
      <c r="B44" t="s">
        <v>212</v>
      </c>
      <c r="C44" t="s">
        <v>111</v>
      </c>
      <c r="D44" s="8">
        <v>2.9</v>
      </c>
      <c r="E44" s="8">
        <v>3.4</v>
      </c>
      <c r="F44" s="8">
        <v>3.4</v>
      </c>
      <c r="G44" s="8">
        <v>3.7</v>
      </c>
      <c r="H44" s="8">
        <v>3.6</v>
      </c>
      <c r="I44">
        <v>4.0999999999999996</v>
      </c>
      <c r="J44">
        <v>3.1</v>
      </c>
      <c r="K44">
        <v>3.2</v>
      </c>
      <c r="L44" s="26">
        <v>3.6</v>
      </c>
      <c r="M44" s="34">
        <v>4</v>
      </c>
      <c r="N44" t="str">
        <f>CONCATENATE("REV","_",Table2[[#This Row],[UD1 Name/Sub-LOB]])</f>
        <v>REV_Base &amp; Estate Management</v>
      </c>
    </row>
    <row r="45" spans="1:14" x14ac:dyDescent="0.3">
      <c r="A45" t="s">
        <v>211</v>
      </c>
      <c r="B45" t="s">
        <v>212</v>
      </c>
      <c r="C45" t="s">
        <v>112</v>
      </c>
      <c r="D45" s="8">
        <v>0.8</v>
      </c>
      <c r="E45" s="8">
        <v>0.8</v>
      </c>
      <c r="F45" s="8">
        <v>0.8</v>
      </c>
      <c r="G45" s="8">
        <v>0.9</v>
      </c>
      <c r="H45" s="8">
        <v>0.8</v>
      </c>
      <c r="I45">
        <v>0.8</v>
      </c>
      <c r="J45">
        <v>0.8</v>
      </c>
      <c r="K45">
        <v>0.8</v>
      </c>
      <c r="L45" s="27">
        <v>1.1000000000000001</v>
      </c>
      <c r="M45" s="34">
        <v>0.8</v>
      </c>
      <c r="N45" t="str">
        <f>CONCATENATE("REV","_",Table2[[#This Row],[UD1 Name/Sub-LOB]])</f>
        <v>REV_Base &amp; Estate Management</v>
      </c>
    </row>
    <row r="46" spans="1:14" x14ac:dyDescent="0.3">
      <c r="A46" t="s">
        <v>211</v>
      </c>
      <c r="B46" t="s">
        <v>212</v>
      </c>
      <c r="C46" t="s">
        <v>113</v>
      </c>
      <c r="D46" s="8">
        <v>0</v>
      </c>
      <c r="E46" s="8">
        <v>0</v>
      </c>
      <c r="F46" s="8">
        <v>0</v>
      </c>
      <c r="G46" s="8">
        <v>0</v>
      </c>
      <c r="H46" s="8">
        <v>0.4</v>
      </c>
      <c r="I46">
        <v>0.1</v>
      </c>
      <c r="J46">
        <v>0</v>
      </c>
      <c r="K46">
        <v>0</v>
      </c>
      <c r="L46" s="26">
        <v>0</v>
      </c>
      <c r="M46" s="34">
        <v>0</v>
      </c>
      <c r="N46" t="str">
        <f>CONCATENATE("REV","_",Table2[[#This Row],[UD1 Name/Sub-LOB]])</f>
        <v>REV_Base &amp; Estate Management</v>
      </c>
    </row>
    <row r="47" spans="1:14" x14ac:dyDescent="0.3">
      <c r="A47" t="s">
        <v>211</v>
      </c>
      <c r="B47" t="s">
        <v>212</v>
      </c>
      <c r="C47" t="s">
        <v>114</v>
      </c>
      <c r="D47" s="8">
        <v>3.2</v>
      </c>
      <c r="E47" s="8">
        <v>6</v>
      </c>
      <c r="F47" s="8">
        <v>7.3</v>
      </c>
      <c r="G47" s="8">
        <v>9.4</v>
      </c>
      <c r="H47" s="8">
        <v>12.1</v>
      </c>
      <c r="I47">
        <v>3.5</v>
      </c>
      <c r="J47">
        <v>1.8</v>
      </c>
      <c r="K47">
        <v>1.8</v>
      </c>
      <c r="L47" s="27">
        <v>0</v>
      </c>
      <c r="M47" s="34">
        <v>0.3</v>
      </c>
      <c r="N47" t="str">
        <f>CONCATENATE("REV","_",Table2[[#This Row],[UD1 Name/Sub-LOB]])</f>
        <v>REV_Base &amp; Estate Management</v>
      </c>
    </row>
    <row r="48" spans="1:14" x14ac:dyDescent="0.3">
      <c r="A48" t="s">
        <v>211</v>
      </c>
      <c r="B48" t="s">
        <v>213</v>
      </c>
      <c r="C48" t="s">
        <v>115</v>
      </c>
      <c r="D48" s="8">
        <v>0.1</v>
      </c>
      <c r="E48" s="8">
        <v>0</v>
      </c>
      <c r="F48" s="8">
        <v>0.1</v>
      </c>
      <c r="G48" s="8">
        <v>0</v>
      </c>
      <c r="H48" s="8">
        <v>0</v>
      </c>
      <c r="I48">
        <v>0</v>
      </c>
      <c r="J48">
        <v>0</v>
      </c>
      <c r="K48">
        <v>0</v>
      </c>
      <c r="L48" s="26">
        <v>0.1</v>
      </c>
      <c r="M48" s="34">
        <v>0</v>
      </c>
      <c r="N48" t="str">
        <f>CONCATENATE("REV","_",Table2[[#This Row],[UD1 Name/Sub-LOB]])</f>
        <v>REV_Managing Contracts</v>
      </c>
    </row>
    <row r="49" spans="1:14" x14ac:dyDescent="0.3">
      <c r="A49" t="s">
        <v>211</v>
      </c>
      <c r="B49" t="s">
        <v>213</v>
      </c>
      <c r="C49" t="s">
        <v>119</v>
      </c>
      <c r="D49" s="8">
        <v>1.5</v>
      </c>
      <c r="E49" s="8">
        <v>1.1000000000000001</v>
      </c>
      <c r="F49" s="8">
        <v>1.3</v>
      </c>
      <c r="G49" s="8">
        <v>1.2</v>
      </c>
      <c r="H49" s="8">
        <v>1.3</v>
      </c>
      <c r="I49">
        <v>1.1000000000000001</v>
      </c>
      <c r="J49">
        <v>1.2</v>
      </c>
      <c r="K49">
        <v>1.3</v>
      </c>
      <c r="L49" s="27">
        <v>1.5</v>
      </c>
      <c r="M49" s="34">
        <v>1.2</v>
      </c>
      <c r="N49" t="str">
        <f>CONCATENATE("REV","_",Table2[[#This Row],[UD1 Name/Sub-LOB]])</f>
        <v>REV_Managing Contracts</v>
      </c>
    </row>
    <row r="50" spans="1:14" x14ac:dyDescent="0.3">
      <c r="A50" t="s">
        <v>211</v>
      </c>
      <c r="B50" t="s">
        <v>213</v>
      </c>
      <c r="C50" t="s">
        <v>120</v>
      </c>
      <c r="D50" s="8">
        <v>0.1</v>
      </c>
      <c r="E50" s="8">
        <v>0.1</v>
      </c>
      <c r="F50" s="8">
        <v>0.1</v>
      </c>
      <c r="G50" s="8">
        <v>0.1</v>
      </c>
      <c r="H50" s="8">
        <v>0.1</v>
      </c>
      <c r="I50">
        <v>0.1</v>
      </c>
      <c r="J50">
        <v>0</v>
      </c>
      <c r="K50">
        <v>0</v>
      </c>
      <c r="L50" s="26">
        <v>0</v>
      </c>
      <c r="M50" s="34">
        <v>0</v>
      </c>
      <c r="N50" t="str">
        <f>CONCATENATE("REV","_",Table2[[#This Row],[UD1 Name/Sub-LOB]])</f>
        <v>REV_Managing Contracts</v>
      </c>
    </row>
    <row r="51" spans="1:14" x14ac:dyDescent="0.3">
      <c r="A51" t="s">
        <v>211</v>
      </c>
      <c r="B51" t="s">
        <v>214</v>
      </c>
      <c r="C51" t="s">
        <v>121</v>
      </c>
      <c r="D51" s="8">
        <v>9.6999999999999993</v>
      </c>
      <c r="E51" s="8">
        <v>8.6999999999999993</v>
      </c>
      <c r="F51" s="8">
        <v>7.7</v>
      </c>
      <c r="G51" s="8">
        <v>10.6</v>
      </c>
      <c r="H51" s="8">
        <v>8.1</v>
      </c>
      <c r="I51">
        <v>9.6</v>
      </c>
      <c r="J51">
        <v>7.4</v>
      </c>
      <c r="K51">
        <v>7.1</v>
      </c>
      <c r="L51" s="27">
        <v>7.8</v>
      </c>
      <c r="M51" s="34">
        <v>8.8000000000000007</v>
      </c>
      <c r="N51" t="str">
        <f>CONCATENATE("REV","_",Table2[[#This Row],[UD1 Name/Sub-LOB]])</f>
        <v>REV_Government &amp; IFM</v>
      </c>
    </row>
    <row r="52" spans="1:14" x14ac:dyDescent="0.3">
      <c r="A52" t="s">
        <v>211</v>
      </c>
      <c r="B52" t="s">
        <v>214</v>
      </c>
      <c r="C52" t="s">
        <v>125</v>
      </c>
      <c r="D52" s="8">
        <v>24.1</v>
      </c>
      <c r="E52" s="8">
        <v>21.7</v>
      </c>
      <c r="F52" s="8">
        <v>21.2</v>
      </c>
      <c r="G52" s="8">
        <v>27</v>
      </c>
      <c r="H52" s="8">
        <v>21.2</v>
      </c>
      <c r="I52">
        <v>16.5</v>
      </c>
      <c r="J52">
        <v>16.3</v>
      </c>
      <c r="K52">
        <v>20.7</v>
      </c>
      <c r="L52" s="26">
        <v>23.8</v>
      </c>
      <c r="M52" s="34">
        <v>22</v>
      </c>
      <c r="N52" t="str">
        <f>CONCATENATE("REV","_",Table2[[#This Row],[UD1 Name/Sub-LOB]])</f>
        <v>REV_Government &amp; IFM</v>
      </c>
    </row>
    <row r="53" spans="1:14" x14ac:dyDescent="0.3">
      <c r="A53" t="s">
        <v>211</v>
      </c>
      <c r="B53" t="s">
        <v>214</v>
      </c>
      <c r="C53" t="s">
        <v>126</v>
      </c>
      <c r="D53" s="8">
        <v>2.9</v>
      </c>
      <c r="E53" s="8">
        <v>0.4</v>
      </c>
      <c r="F53" s="8">
        <v>0</v>
      </c>
      <c r="G53" s="8">
        <v>0.2</v>
      </c>
      <c r="H53" s="8">
        <v>0</v>
      </c>
      <c r="I53">
        <v>-0.7</v>
      </c>
      <c r="J53">
        <v>0.7</v>
      </c>
      <c r="K53">
        <v>0</v>
      </c>
      <c r="L53" s="27">
        <v>0</v>
      </c>
      <c r="M53" s="34">
        <v>0</v>
      </c>
      <c r="N53" t="str">
        <f>CONCATENATE("REV","_",Table2[[#This Row],[UD1 Name/Sub-LOB]])</f>
        <v>REV_Government &amp; IFM</v>
      </c>
    </row>
    <row r="54" spans="1:14" x14ac:dyDescent="0.3">
      <c r="A54" t="s">
        <v>211</v>
      </c>
      <c r="B54" t="s">
        <v>214</v>
      </c>
      <c r="C54" t="s">
        <v>127</v>
      </c>
      <c r="D54" s="8">
        <v>0.1</v>
      </c>
      <c r="E54" s="8">
        <v>0.1</v>
      </c>
      <c r="F54" s="8">
        <v>0.1</v>
      </c>
      <c r="G54" s="8">
        <v>0</v>
      </c>
      <c r="H54" s="8">
        <v>0.2</v>
      </c>
      <c r="I54">
        <v>-1.1000000000000001</v>
      </c>
      <c r="J54">
        <v>1.1000000000000001</v>
      </c>
      <c r="K54">
        <v>0</v>
      </c>
      <c r="L54" s="26">
        <v>0</v>
      </c>
      <c r="M54" s="34">
        <v>1.2</v>
      </c>
      <c r="N54" t="str">
        <f>CONCATENATE("REV","_",Table2[[#This Row],[UD1 Name/Sub-LOB]])</f>
        <v>REV_Government &amp; IFM</v>
      </c>
    </row>
    <row r="55" spans="1:14" x14ac:dyDescent="0.3">
      <c r="A55" t="s">
        <v>211</v>
      </c>
      <c r="B55" t="s">
        <v>214</v>
      </c>
      <c r="C55" t="s">
        <v>128</v>
      </c>
      <c r="D55" s="8">
        <v>27.7</v>
      </c>
      <c r="E55" s="8">
        <v>28.8</v>
      </c>
      <c r="F55" s="8">
        <v>32</v>
      </c>
      <c r="G55" s="8">
        <v>30.2</v>
      </c>
      <c r="H55" s="8">
        <v>27.8</v>
      </c>
      <c r="I55">
        <v>27.4</v>
      </c>
      <c r="J55">
        <v>24.4</v>
      </c>
      <c r="K55">
        <v>25.3</v>
      </c>
      <c r="L55" s="27">
        <v>25.5</v>
      </c>
      <c r="M55" s="34">
        <v>24.2</v>
      </c>
      <c r="N55" t="str">
        <f>CONCATENATE("REV","_",Table2[[#This Row],[UD1 Name/Sub-LOB]])</f>
        <v>REV_Government &amp; IFM</v>
      </c>
    </row>
    <row r="56" spans="1:14" x14ac:dyDescent="0.3">
      <c r="A56" t="s">
        <v>211</v>
      </c>
      <c r="B56" t="s">
        <v>214</v>
      </c>
      <c r="C56" t="s">
        <v>129</v>
      </c>
      <c r="D56" s="8">
        <v>10.1</v>
      </c>
      <c r="E56" s="8">
        <v>9.9</v>
      </c>
      <c r="F56" s="8">
        <v>10.1</v>
      </c>
      <c r="G56" s="8">
        <v>10.199999999999999</v>
      </c>
      <c r="H56" s="8">
        <v>11.4</v>
      </c>
      <c r="I56">
        <v>11.2</v>
      </c>
      <c r="J56">
        <v>11.3</v>
      </c>
      <c r="K56">
        <v>10.8</v>
      </c>
      <c r="L56" s="26">
        <v>11.2</v>
      </c>
      <c r="M56" s="34">
        <v>10.9</v>
      </c>
      <c r="N56" t="str">
        <f>CONCATENATE("REV","_",Table2[[#This Row],[UD1 Name/Sub-LOB]])</f>
        <v>REV_Government &amp; IFM</v>
      </c>
    </row>
    <row r="57" spans="1:14" x14ac:dyDescent="0.3">
      <c r="A57" t="s">
        <v>211</v>
      </c>
      <c r="B57" t="s">
        <v>214</v>
      </c>
      <c r="C57" t="s">
        <v>130</v>
      </c>
      <c r="D57" s="8">
        <v>0</v>
      </c>
      <c r="E57" s="8">
        <v>0</v>
      </c>
      <c r="F57" s="8">
        <v>0</v>
      </c>
      <c r="G57" s="8">
        <v>-0.2</v>
      </c>
      <c r="H57" s="8">
        <v>0</v>
      </c>
      <c r="I57">
        <v>0</v>
      </c>
      <c r="J57">
        <v>0</v>
      </c>
      <c r="K57">
        <v>0</v>
      </c>
      <c r="L57" s="27">
        <v>0</v>
      </c>
      <c r="M57" s="34">
        <v>0</v>
      </c>
      <c r="N57" t="str">
        <f>CONCATENATE("REV","_",Table2[[#This Row],[UD1 Name/Sub-LOB]])</f>
        <v>REV_Government &amp; IFM</v>
      </c>
    </row>
    <row r="58" spans="1:14" x14ac:dyDescent="0.3">
      <c r="A58" t="s">
        <v>211</v>
      </c>
      <c r="B58" t="s">
        <v>215</v>
      </c>
      <c r="C58" t="s">
        <v>131</v>
      </c>
      <c r="D58" s="8">
        <v>9.4</v>
      </c>
      <c r="E58" s="8">
        <v>9.1999999999999993</v>
      </c>
      <c r="F58" s="8">
        <v>9.1</v>
      </c>
      <c r="G58" s="8">
        <v>10.9</v>
      </c>
      <c r="H58" s="8">
        <v>10.6</v>
      </c>
      <c r="I58">
        <v>9.4</v>
      </c>
      <c r="J58">
        <v>9.9</v>
      </c>
      <c r="K58">
        <v>13.1</v>
      </c>
      <c r="L58" s="26">
        <v>11.3</v>
      </c>
      <c r="M58" s="34">
        <v>10.4</v>
      </c>
      <c r="N58" t="str">
        <f>CONCATENATE("REV","_",Table2[[#This Row],[UD1 Name/Sub-LOB]])</f>
        <v>REV_Health &amp; Education</v>
      </c>
    </row>
    <row r="59" spans="1:14" x14ac:dyDescent="0.3">
      <c r="A59" t="s">
        <v>211</v>
      </c>
      <c r="B59" t="s">
        <v>215</v>
      </c>
      <c r="C59" t="s">
        <v>135</v>
      </c>
      <c r="D59" s="8">
        <v>3.7</v>
      </c>
      <c r="E59" s="8">
        <v>3.5</v>
      </c>
      <c r="F59" s="8">
        <v>3.5</v>
      </c>
      <c r="G59" s="8">
        <v>3.4</v>
      </c>
      <c r="H59" s="8">
        <v>3.6</v>
      </c>
      <c r="I59">
        <v>3.5</v>
      </c>
      <c r="J59">
        <v>3.9</v>
      </c>
      <c r="K59">
        <v>3.5</v>
      </c>
      <c r="L59" s="27">
        <v>3.4</v>
      </c>
      <c r="M59" s="34">
        <v>3.4</v>
      </c>
      <c r="N59" t="str">
        <f>CONCATENATE("REV","_",Table2[[#This Row],[UD1 Name/Sub-LOB]])</f>
        <v>REV_Health &amp; Education</v>
      </c>
    </row>
    <row r="60" spans="1:14" x14ac:dyDescent="0.3">
      <c r="A60" t="s">
        <v>211</v>
      </c>
      <c r="B60" t="s">
        <v>215</v>
      </c>
      <c r="C60" t="s">
        <v>136</v>
      </c>
      <c r="D60" s="8">
        <v>30.4</v>
      </c>
      <c r="E60" s="8">
        <v>29.5</v>
      </c>
      <c r="F60" s="8">
        <v>28.2</v>
      </c>
      <c r="G60" s="8">
        <v>30.6</v>
      </c>
      <c r="H60" s="8">
        <v>28.9</v>
      </c>
      <c r="I60">
        <v>32</v>
      </c>
      <c r="J60">
        <v>29.9</v>
      </c>
      <c r="K60">
        <v>27.3</v>
      </c>
      <c r="L60" s="26">
        <v>29</v>
      </c>
      <c r="M60" s="34">
        <v>29.7</v>
      </c>
      <c r="N60" t="str">
        <f>CONCATENATE("REV","_",Table2[[#This Row],[UD1 Name/Sub-LOB]])</f>
        <v>REV_Health &amp; Education</v>
      </c>
    </row>
    <row r="61" spans="1:14" x14ac:dyDescent="0.3">
      <c r="A61" t="s">
        <v>211</v>
      </c>
      <c r="B61" t="s">
        <v>215</v>
      </c>
      <c r="C61" t="s">
        <v>137</v>
      </c>
      <c r="D61" s="8">
        <v>0</v>
      </c>
      <c r="E61" s="8">
        <v>0</v>
      </c>
      <c r="F61" s="8">
        <v>0</v>
      </c>
      <c r="G61" s="8">
        <v>0</v>
      </c>
      <c r="H61" s="8">
        <v>0</v>
      </c>
      <c r="I61">
        <v>0</v>
      </c>
      <c r="J61">
        <v>0</v>
      </c>
      <c r="K61">
        <v>0</v>
      </c>
      <c r="L61" s="27">
        <v>0</v>
      </c>
      <c r="M61" s="34">
        <v>0</v>
      </c>
      <c r="N61" t="str">
        <f>CONCATENATE("REV","_",Table2[[#This Row],[UD1 Name/Sub-LOB]])</f>
        <v>REV_Health &amp; Education</v>
      </c>
    </row>
    <row r="62" spans="1:14" x14ac:dyDescent="0.3">
      <c r="A62" t="s">
        <v>211</v>
      </c>
      <c r="B62" t="s">
        <v>138</v>
      </c>
      <c r="C62" t="s">
        <v>138</v>
      </c>
      <c r="D62" s="8">
        <v>0</v>
      </c>
      <c r="E62" s="8">
        <v>0</v>
      </c>
      <c r="F62" s="8">
        <v>0</v>
      </c>
      <c r="G62" s="8">
        <v>0</v>
      </c>
      <c r="H62" s="8">
        <v>0</v>
      </c>
      <c r="I62">
        <v>0</v>
      </c>
      <c r="J62">
        <v>0</v>
      </c>
      <c r="K62">
        <v>0</v>
      </c>
      <c r="L62" s="26">
        <v>0</v>
      </c>
      <c r="M62" s="34">
        <v>0</v>
      </c>
      <c r="N62" t="str">
        <f>CONCATENATE("REV","_",Table2[[#This Row],[UD1 Name/Sub-LOB]])</f>
        <v>REV_Social Infrastructure &amp; Citizen Services Support</v>
      </c>
    </row>
    <row r="63" spans="1:14" x14ac:dyDescent="0.3">
      <c r="A63" t="s">
        <v>211</v>
      </c>
      <c r="B63" t="s">
        <v>138</v>
      </c>
      <c r="C63" t="s">
        <v>142</v>
      </c>
      <c r="D63" s="8">
        <v>0</v>
      </c>
      <c r="E63" s="8">
        <v>0</v>
      </c>
      <c r="F63" s="8">
        <v>-0.1</v>
      </c>
      <c r="G63" s="8">
        <v>0</v>
      </c>
      <c r="H63" s="8">
        <v>-0.6</v>
      </c>
      <c r="I63">
        <v>0</v>
      </c>
      <c r="J63">
        <v>0</v>
      </c>
      <c r="K63">
        <v>0</v>
      </c>
      <c r="L63" s="27">
        <v>0</v>
      </c>
      <c r="M63" s="34">
        <v>0</v>
      </c>
      <c r="N63" t="str">
        <f>CONCATENATE("REV","_",Table2[[#This Row],[UD1 Name/Sub-LOB]])</f>
        <v>REV_Social Infrastructure &amp; Citizen Services Support</v>
      </c>
    </row>
    <row r="64" spans="1:14" x14ac:dyDescent="0.3">
      <c r="A64" t="s">
        <v>216</v>
      </c>
      <c r="B64" t="s">
        <v>217</v>
      </c>
      <c r="C64" t="s">
        <v>146</v>
      </c>
      <c r="D64" s="8">
        <v>78.900000000000006</v>
      </c>
      <c r="E64" s="8">
        <v>74.7</v>
      </c>
      <c r="F64" s="8">
        <v>101.8</v>
      </c>
      <c r="G64" s="8">
        <v>91.1</v>
      </c>
      <c r="H64" s="8">
        <v>79.900000000000006</v>
      </c>
      <c r="I64">
        <v>119.2</v>
      </c>
      <c r="J64">
        <v>66.3</v>
      </c>
      <c r="K64">
        <v>69.3</v>
      </c>
      <c r="L64" s="26">
        <v>71.8</v>
      </c>
      <c r="M64" s="34">
        <v>88.5</v>
      </c>
      <c r="N64" t="str">
        <f>CONCATENATE("REV","_",Table2[[#This Row],[UD1 Name/Sub-LOB]])</f>
        <v>REV_Passenger North</v>
      </c>
    </row>
    <row r="65" spans="1:14" x14ac:dyDescent="0.3">
      <c r="A65" t="s">
        <v>216</v>
      </c>
      <c r="B65" t="s">
        <v>217</v>
      </c>
      <c r="C65" t="s">
        <v>147</v>
      </c>
      <c r="D65" s="8">
        <v>17.899999999999999</v>
      </c>
      <c r="E65" s="8">
        <v>17</v>
      </c>
      <c r="F65" s="8">
        <v>18.600000000000001</v>
      </c>
      <c r="G65" s="8">
        <v>17.399999999999999</v>
      </c>
      <c r="H65" s="8">
        <v>19.399999999999999</v>
      </c>
      <c r="I65">
        <v>14.2</v>
      </c>
      <c r="J65">
        <v>17.100000000000001</v>
      </c>
      <c r="K65">
        <v>17</v>
      </c>
      <c r="L65" s="27">
        <v>24.7</v>
      </c>
      <c r="M65" s="34">
        <v>18</v>
      </c>
      <c r="N65" t="str">
        <f>CONCATENATE("REV","_",Table2[[#This Row],[UD1 Name/Sub-LOB]])</f>
        <v>REV_Passenger North</v>
      </c>
    </row>
    <row r="66" spans="1:14" x14ac:dyDescent="0.3">
      <c r="A66" t="s">
        <v>216</v>
      </c>
      <c r="B66" t="s">
        <v>218</v>
      </c>
      <c r="C66" t="s">
        <v>151</v>
      </c>
      <c r="D66" s="8">
        <v>6.9</v>
      </c>
      <c r="E66" s="8">
        <v>8.9</v>
      </c>
      <c r="F66" s="8">
        <v>9.9</v>
      </c>
      <c r="G66" s="8">
        <v>10.5</v>
      </c>
      <c r="H66" s="8">
        <v>7.1</v>
      </c>
      <c r="I66">
        <v>7.6</v>
      </c>
      <c r="J66">
        <v>6.6</v>
      </c>
      <c r="K66">
        <v>7.3</v>
      </c>
      <c r="L66" s="26">
        <v>7.3</v>
      </c>
      <c r="M66" s="34">
        <v>6.8</v>
      </c>
      <c r="N66" t="str">
        <f>CONCATENATE("REV","_",Table2[[#This Row],[UD1 Name/Sub-LOB]])</f>
        <v>REV_Passenger South</v>
      </c>
    </row>
    <row r="67" spans="1:14" x14ac:dyDescent="0.3">
      <c r="A67" t="s">
        <v>216</v>
      </c>
      <c r="B67" t="s">
        <v>218</v>
      </c>
      <c r="C67" t="s">
        <v>152</v>
      </c>
      <c r="D67" s="8">
        <v>2.8</v>
      </c>
      <c r="E67" s="8">
        <v>3.5</v>
      </c>
      <c r="F67" s="8">
        <v>4.7</v>
      </c>
      <c r="G67" s="8">
        <v>2.9</v>
      </c>
      <c r="H67" s="8">
        <v>2.6</v>
      </c>
      <c r="I67">
        <v>2.9</v>
      </c>
      <c r="J67">
        <v>3.1</v>
      </c>
      <c r="K67">
        <v>2.1</v>
      </c>
      <c r="L67" s="27">
        <v>2.2000000000000002</v>
      </c>
      <c r="M67" s="34">
        <v>2.9</v>
      </c>
      <c r="N67" t="str">
        <f>CONCATENATE("REV","_",Table2[[#This Row],[UD1 Name/Sub-LOB]])</f>
        <v>REV_Passenger South</v>
      </c>
    </row>
    <row r="68" spans="1:14" x14ac:dyDescent="0.3">
      <c r="A68" t="s">
        <v>216</v>
      </c>
      <c r="B68" t="s">
        <v>218</v>
      </c>
      <c r="C68" t="s">
        <v>153</v>
      </c>
      <c r="D68" s="8">
        <v>0</v>
      </c>
      <c r="E68" s="8">
        <v>0</v>
      </c>
      <c r="F68" s="8">
        <v>0</v>
      </c>
      <c r="G68" s="8">
        <v>0</v>
      </c>
      <c r="H68" s="8">
        <v>27.3</v>
      </c>
      <c r="I68">
        <v>-22.6</v>
      </c>
      <c r="J68">
        <v>0</v>
      </c>
      <c r="K68">
        <v>22.6</v>
      </c>
      <c r="L68" s="26">
        <v>0</v>
      </c>
      <c r="M68" s="34">
        <v>0</v>
      </c>
      <c r="N68" t="str">
        <f>CONCATENATE("REV","_",Table2[[#This Row],[UD1 Name/Sub-LOB]])</f>
        <v>REV_Passenger South</v>
      </c>
    </row>
    <row r="69" spans="1:14" x14ac:dyDescent="0.3">
      <c r="A69" t="s">
        <v>216</v>
      </c>
      <c r="B69" t="s">
        <v>219</v>
      </c>
      <c r="C69" t="s">
        <v>157</v>
      </c>
      <c r="D69" s="8">
        <v>0.8</v>
      </c>
      <c r="E69" s="8">
        <v>0.9</v>
      </c>
      <c r="F69" s="8">
        <v>1.4</v>
      </c>
      <c r="G69" s="8">
        <v>1.4</v>
      </c>
      <c r="H69" s="8">
        <v>1.1000000000000001</v>
      </c>
      <c r="I69">
        <v>1.4</v>
      </c>
      <c r="J69">
        <v>0.8</v>
      </c>
      <c r="K69">
        <v>1.8</v>
      </c>
      <c r="L69" s="27">
        <v>1.7</v>
      </c>
      <c r="M69" s="34">
        <v>1.7</v>
      </c>
      <c r="N69" t="str">
        <f>CONCATENATE("REV","_",Table2[[#This Row],[UD1 Name/Sub-LOB]])</f>
        <v>REV_RTS Digital</v>
      </c>
    </row>
    <row r="70" spans="1:14" x14ac:dyDescent="0.3">
      <c r="A70" t="s">
        <v>216</v>
      </c>
      <c r="B70" t="s">
        <v>220</v>
      </c>
      <c r="C70" t="s">
        <v>161</v>
      </c>
      <c r="D70" s="8">
        <v>0</v>
      </c>
      <c r="E70" s="8">
        <v>0</v>
      </c>
      <c r="F70" s="8">
        <v>0</v>
      </c>
      <c r="G70" s="8">
        <v>0</v>
      </c>
      <c r="H70" s="8">
        <v>0</v>
      </c>
      <c r="I70">
        <v>1.2</v>
      </c>
      <c r="J70">
        <v>0</v>
      </c>
      <c r="K70">
        <v>0</v>
      </c>
      <c r="L70" s="26">
        <v>0</v>
      </c>
      <c r="M70" s="34">
        <v>1.3</v>
      </c>
      <c r="N70" t="str">
        <f>CONCATENATE("REV","_",Table2[[#This Row],[UD1 Name/Sub-LOB]])</f>
        <v>REV_RTS FREIGHT</v>
      </c>
    </row>
    <row r="71" spans="1:14" x14ac:dyDescent="0.3">
      <c r="A71" t="s">
        <v>216</v>
      </c>
      <c r="B71" t="s">
        <v>221</v>
      </c>
      <c r="C71" t="s">
        <v>165</v>
      </c>
      <c r="D71" s="8">
        <v>0</v>
      </c>
      <c r="E71" s="8">
        <v>0</v>
      </c>
      <c r="F71" s="8">
        <v>0</v>
      </c>
      <c r="G71" s="8">
        <v>0</v>
      </c>
      <c r="H71" s="8">
        <v>0</v>
      </c>
      <c r="I71">
        <v>0</v>
      </c>
      <c r="J71">
        <v>0</v>
      </c>
      <c r="K71">
        <v>0</v>
      </c>
      <c r="L71" s="27">
        <v>0</v>
      </c>
      <c r="M71" s="34">
        <v>0</v>
      </c>
      <c r="N71" t="str">
        <f>CONCATENATE("REV","_",Table2[[#This Row],[UD1 Name/Sub-LOB]])</f>
        <v>REV_RTS Opportunities</v>
      </c>
    </row>
    <row r="72" spans="1:14" x14ac:dyDescent="0.3">
      <c r="A72" t="s">
        <v>216</v>
      </c>
      <c r="B72" t="s">
        <v>222</v>
      </c>
      <c r="C72" t="s">
        <v>169</v>
      </c>
      <c r="D72" s="8">
        <v>0</v>
      </c>
      <c r="E72" s="8">
        <v>0</v>
      </c>
      <c r="F72" s="8">
        <v>0</v>
      </c>
      <c r="G72" s="8">
        <v>0</v>
      </c>
      <c r="H72" s="8">
        <v>0</v>
      </c>
      <c r="I72">
        <v>0</v>
      </c>
      <c r="J72">
        <v>0</v>
      </c>
      <c r="K72">
        <v>0</v>
      </c>
      <c r="L72" s="26">
        <v>-0.1</v>
      </c>
      <c r="M72" s="34">
        <v>0</v>
      </c>
      <c r="N72" t="str">
        <f>CONCATENATE("REV","_",Table2[[#This Row],[UD1 Name/Sub-LOB]])</f>
        <v>REV_RTS Head Office</v>
      </c>
    </row>
    <row r="73" spans="1:14" x14ac:dyDescent="0.3">
      <c r="A73" t="s">
        <v>216</v>
      </c>
      <c r="B73" t="s">
        <v>222</v>
      </c>
      <c r="C73" t="s">
        <v>170</v>
      </c>
      <c r="D73" s="8">
        <v>-0.3</v>
      </c>
      <c r="E73" s="8">
        <v>-0.4</v>
      </c>
      <c r="F73" s="8">
        <v>-0.9</v>
      </c>
      <c r="G73" s="8">
        <v>-0.5</v>
      </c>
      <c r="H73" s="8">
        <v>-0.5</v>
      </c>
      <c r="I73">
        <v>-0.6</v>
      </c>
      <c r="J73">
        <v>-0.3</v>
      </c>
      <c r="K73">
        <v>-0.5</v>
      </c>
      <c r="L73" s="27">
        <v>-0.6</v>
      </c>
      <c r="M73" s="34">
        <v>-0.8</v>
      </c>
      <c r="N73" t="str">
        <f>CONCATENATE("REV","_",Table2[[#This Row],[UD1 Name/Sub-LOB]])</f>
        <v>REV_RTS Head Office</v>
      </c>
    </row>
    <row r="74" spans="1:14" x14ac:dyDescent="0.3">
      <c r="A74" t="s">
        <v>216</v>
      </c>
      <c r="B74" t="s">
        <v>222</v>
      </c>
      <c r="C74" t="s">
        <v>171</v>
      </c>
      <c r="D74" s="8">
        <v>0.4</v>
      </c>
      <c r="E74" s="8">
        <v>0.8</v>
      </c>
      <c r="F74" s="8">
        <v>0.8</v>
      </c>
      <c r="G74" s="8">
        <v>1.4</v>
      </c>
      <c r="H74" s="8">
        <v>1.4</v>
      </c>
      <c r="I74">
        <v>1.1000000000000001</v>
      </c>
      <c r="J74">
        <v>1.9</v>
      </c>
      <c r="K74">
        <v>2</v>
      </c>
      <c r="L74" s="26">
        <v>1.9</v>
      </c>
      <c r="M74" s="34">
        <v>1.7</v>
      </c>
      <c r="N74" t="str">
        <f>CONCATENATE("REV","_",Table2[[#This Row],[UD1 Name/Sub-LOB]])</f>
        <v>REV_RTS Head Office</v>
      </c>
    </row>
    <row r="75" spans="1:14" x14ac:dyDescent="0.3">
      <c r="A75" t="s">
        <v>216</v>
      </c>
      <c r="B75" t="s">
        <v>222</v>
      </c>
      <c r="C75" t="s">
        <v>172</v>
      </c>
      <c r="D75" s="8">
        <v>0.5</v>
      </c>
      <c r="E75" s="8">
        <v>0</v>
      </c>
      <c r="F75" s="8">
        <v>0</v>
      </c>
      <c r="G75" s="8">
        <v>0.6</v>
      </c>
      <c r="H75" s="8">
        <v>0</v>
      </c>
      <c r="I75">
        <v>0</v>
      </c>
      <c r="J75">
        <v>0.5</v>
      </c>
      <c r="K75">
        <v>0</v>
      </c>
      <c r="L75" s="27">
        <v>0</v>
      </c>
      <c r="M75" s="34">
        <v>0.4</v>
      </c>
      <c r="N75" t="str">
        <f>CONCATENATE("REV","_",Table2[[#This Row],[UD1 Name/Sub-LOB]])</f>
        <v>REV_RTS Head Office</v>
      </c>
    </row>
    <row r="76" spans="1:14" x14ac:dyDescent="0.3">
      <c r="A76" t="s">
        <v>216</v>
      </c>
      <c r="B76" t="s">
        <v>222</v>
      </c>
      <c r="C76" t="s">
        <v>173</v>
      </c>
      <c r="D76" s="8">
        <v>0</v>
      </c>
      <c r="E76" s="8">
        <v>0.1</v>
      </c>
      <c r="F76" s="8">
        <v>0</v>
      </c>
      <c r="G76" s="8">
        <v>0</v>
      </c>
      <c r="H76" s="8">
        <v>0</v>
      </c>
      <c r="I76">
        <v>0</v>
      </c>
      <c r="J76">
        <v>0</v>
      </c>
      <c r="K76">
        <v>0</v>
      </c>
      <c r="L76" s="26">
        <v>0</v>
      </c>
      <c r="M76" s="34">
        <v>0</v>
      </c>
      <c r="N76" t="str">
        <f>CONCATENATE("REV","_",Table2[[#This Row],[UD1 Name/Sub-LOB]])</f>
        <v>REV_RTS Head Office</v>
      </c>
    </row>
    <row r="77" spans="1:14" x14ac:dyDescent="0.3">
      <c r="A77" t="s">
        <v>223</v>
      </c>
      <c r="B77" t="s">
        <v>177</v>
      </c>
      <c r="C77" t="s">
        <v>177</v>
      </c>
      <c r="D77" s="8">
        <v>-2.1</v>
      </c>
      <c r="E77" s="8">
        <v>-3.1</v>
      </c>
      <c r="F77" s="8">
        <v>-2</v>
      </c>
      <c r="G77" s="8">
        <v>-0.7</v>
      </c>
      <c r="H77" s="8">
        <v>0.8</v>
      </c>
      <c r="I77">
        <v>8.1999999999999904</v>
      </c>
      <c r="J77">
        <v>-2.2000000000000002</v>
      </c>
      <c r="K77">
        <v>-24.3</v>
      </c>
      <c r="L77" s="27">
        <v>-1.7999999999999998</v>
      </c>
      <c r="M77" s="34">
        <v>-2.1</v>
      </c>
      <c r="N77" t="str">
        <f>CONCATENATE("REV","_",Table2[[#This Row],[UD1 Name/Sub-LOB]])</f>
        <v>REV_Corporate Australia</v>
      </c>
    </row>
    <row r="78" spans="1:14" x14ac:dyDescent="0.3">
      <c r="A78" t="s">
        <v>223</v>
      </c>
      <c r="B78" t="s">
        <v>178</v>
      </c>
      <c r="C78" t="s">
        <v>178</v>
      </c>
      <c r="D78" s="8">
        <v>0</v>
      </c>
      <c r="E78" s="8">
        <v>0</v>
      </c>
      <c r="F78" s="8">
        <v>0</v>
      </c>
      <c r="G78" s="8">
        <v>0</v>
      </c>
      <c r="H78" s="8">
        <v>0</v>
      </c>
      <c r="I78">
        <v>0.1</v>
      </c>
      <c r="J78">
        <v>0</v>
      </c>
      <c r="K78">
        <v>0</v>
      </c>
      <c r="L78" s="26">
        <v>0</v>
      </c>
      <c r="M78" s="34">
        <v>0.1</v>
      </c>
      <c r="N78" t="str">
        <f>CONCATENATE("REV","_",Table2[[#This Row],[UD1 Name/Sub-LOB]])</f>
        <v>REV_NZ NSC, IT, Property, WF &amp; Elins</v>
      </c>
    </row>
    <row r="79" spans="1:14" ht="15.75" customHeight="1" x14ac:dyDescent="0.3">
      <c r="A79" t="s">
        <v>224</v>
      </c>
      <c r="B79" t="s">
        <v>182</v>
      </c>
      <c r="C79" t="s">
        <v>182</v>
      </c>
      <c r="D79" s="8">
        <v>0.1</v>
      </c>
      <c r="E79" s="8">
        <v>0.1</v>
      </c>
      <c r="F79" s="8">
        <v>0.2</v>
      </c>
      <c r="G79" s="8">
        <v>0.1</v>
      </c>
      <c r="H79" s="8">
        <v>0.1</v>
      </c>
      <c r="I79">
        <v>0.1</v>
      </c>
      <c r="J79">
        <v>0</v>
      </c>
      <c r="K79">
        <v>0</v>
      </c>
      <c r="L79" s="27">
        <v>0.1</v>
      </c>
      <c r="M79" s="34">
        <v>0</v>
      </c>
      <c r="N79" t="str">
        <f>CONCATENATE("REV","_",Table2[[#This Row],[UD1 Name/Sub-LOB]])</f>
        <v>REV_Infrastructure Projects</v>
      </c>
    </row>
    <row r="80" spans="1:14" ht="15.75" customHeight="1" thickBot="1" x14ac:dyDescent="0.35">
      <c r="A80" t="s">
        <v>186</v>
      </c>
      <c r="B80" t="s">
        <v>186</v>
      </c>
      <c r="C80" t="s">
        <v>186</v>
      </c>
      <c r="D80" s="8">
        <v>-9.9999999999863601E-2</v>
      </c>
      <c r="E80" s="8">
        <v>-9.9999999999909106E-2</v>
      </c>
      <c r="F80" s="8">
        <v>-9.9999999999886305E-2</v>
      </c>
      <c r="G80" s="8">
        <v>0.2</v>
      </c>
      <c r="H80" s="8">
        <v>-0.100000000000091</v>
      </c>
      <c r="I80">
        <v>-0.200000000000114</v>
      </c>
      <c r="J80">
        <v>0.2</v>
      </c>
      <c r="K80">
        <v>0.20000000000002299</v>
      </c>
      <c r="L80" s="26">
        <v>9.9999999999886319E-2</v>
      </c>
      <c r="M80" s="34">
        <v>-0.1</v>
      </c>
      <c r="N80" t="str">
        <f>CONCATENATE("REV","_",Table2[[#This Row],[UD1 Name/Sub-LOB]])</f>
        <v>REV_Intra Elim</v>
      </c>
    </row>
    <row r="81" spans="2:13" ht="15" thickTop="1" x14ac:dyDescent="0.3">
      <c r="M81" s="35">
        <f t="shared" ref="M81" si="0">SUM(M2:M80)</f>
        <v>847.9</v>
      </c>
    </row>
    <row r="89" spans="2:13" x14ac:dyDescent="0.3">
      <c r="B89" s="7"/>
      <c r="C89" s="7"/>
    </row>
    <row r="90" spans="2:13" x14ac:dyDescent="0.3">
      <c r="B90" s="4"/>
      <c r="C90" s="4"/>
    </row>
    <row r="91" spans="2:13" x14ac:dyDescent="0.3">
      <c r="B91" s="7"/>
      <c r="C91" s="7"/>
    </row>
    <row r="92" spans="2:13" x14ac:dyDescent="0.3">
      <c r="B92" s="4"/>
      <c r="C92" s="4"/>
    </row>
  </sheetData>
  <phoneticPr fontId="9" type="noConversion"/>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437"/>
  <sheetViews>
    <sheetView zoomScaleNormal="100" workbookViewId="0"/>
  </sheetViews>
  <sheetFormatPr defaultColWidth="8.5546875" defaultRowHeight="14.4" x14ac:dyDescent="0.3"/>
  <sheetData>
    <row r="1" spans="1:28" x14ac:dyDescent="0.3">
      <c r="A1" t="s">
        <v>225</v>
      </c>
      <c r="B1" t="s">
        <v>226</v>
      </c>
      <c r="C1" t="s">
        <v>227</v>
      </c>
      <c r="D1" t="s">
        <v>228</v>
      </c>
      <c r="E1" t="s">
        <v>3</v>
      </c>
      <c r="F1" t="s">
        <v>229</v>
      </c>
      <c r="G1" t="s">
        <v>230</v>
      </c>
      <c r="H1" t="s">
        <v>231</v>
      </c>
      <c r="I1" t="s">
        <v>232</v>
      </c>
      <c r="J1" t="s">
        <v>233</v>
      </c>
      <c r="K1" t="s">
        <v>234</v>
      </c>
      <c r="L1" t="s">
        <v>235</v>
      </c>
      <c r="M1" t="s">
        <v>236</v>
      </c>
      <c r="N1" t="s">
        <v>237</v>
      </c>
      <c r="O1" t="s">
        <v>238</v>
      </c>
      <c r="P1" t="s">
        <v>239</v>
      </c>
      <c r="Q1" t="s">
        <v>240</v>
      </c>
      <c r="R1" t="s">
        <v>241</v>
      </c>
      <c r="S1" t="s">
        <v>242</v>
      </c>
      <c r="T1" t="s">
        <v>243</v>
      </c>
      <c r="U1" t="s">
        <v>244</v>
      </c>
      <c r="V1" t="s">
        <v>245</v>
      </c>
      <c r="W1" t="s">
        <v>246</v>
      </c>
      <c r="X1" t="s">
        <v>247</v>
      </c>
      <c r="Y1" t="s">
        <v>248</v>
      </c>
      <c r="Z1" t="s">
        <v>249</v>
      </c>
      <c r="AA1" t="s">
        <v>250</v>
      </c>
      <c r="AB1" t="s">
        <v>251</v>
      </c>
    </row>
    <row r="2" spans="1:28" x14ac:dyDescent="0.3">
      <c r="A2" t="s">
        <v>21</v>
      </c>
      <c r="B2" t="s">
        <v>252</v>
      </c>
      <c r="C2" t="s">
        <v>253</v>
      </c>
      <c r="D2" t="s">
        <v>254</v>
      </c>
      <c r="E2">
        <v>170751</v>
      </c>
      <c r="G2" t="s">
        <v>255</v>
      </c>
      <c r="H2" t="s">
        <v>256</v>
      </c>
      <c r="I2" t="s">
        <v>257</v>
      </c>
      <c r="J2" t="s">
        <v>258</v>
      </c>
      <c r="K2">
        <v>7170</v>
      </c>
      <c r="M2" t="s">
        <v>257</v>
      </c>
      <c r="N2" t="s">
        <v>259</v>
      </c>
      <c r="P2" t="s">
        <v>260</v>
      </c>
      <c r="Q2" t="s">
        <v>260</v>
      </c>
      <c r="R2" t="s">
        <v>261</v>
      </c>
      <c r="S2" t="s">
        <v>21</v>
      </c>
      <c r="T2">
        <v>100</v>
      </c>
      <c r="W2" t="s">
        <v>262</v>
      </c>
      <c r="AB2" s="9">
        <v>45808</v>
      </c>
    </row>
    <row r="3" spans="1:28" x14ac:dyDescent="0.3">
      <c r="A3" t="s">
        <v>21</v>
      </c>
      <c r="B3" t="s">
        <v>263</v>
      </c>
      <c r="C3" t="s">
        <v>264</v>
      </c>
      <c r="D3" t="s">
        <v>265</v>
      </c>
      <c r="E3">
        <v>2001</v>
      </c>
      <c r="F3">
        <v>2001</v>
      </c>
      <c r="G3" t="s">
        <v>266</v>
      </c>
      <c r="M3" t="s">
        <v>267</v>
      </c>
      <c r="N3" t="s">
        <v>259</v>
      </c>
      <c r="P3" t="s">
        <v>260</v>
      </c>
      <c r="Q3" t="s">
        <v>260</v>
      </c>
      <c r="R3" t="s">
        <v>268</v>
      </c>
      <c r="S3" t="s">
        <v>21</v>
      </c>
      <c r="T3">
        <v>100</v>
      </c>
      <c r="U3" s="9">
        <v>43405</v>
      </c>
      <c r="V3" s="9">
        <v>44500</v>
      </c>
      <c r="W3" t="s">
        <v>262</v>
      </c>
      <c r="X3">
        <v>-35.273000000000003</v>
      </c>
      <c r="Y3">
        <v>149.13300000000001</v>
      </c>
      <c r="Z3">
        <v>760</v>
      </c>
      <c r="AA3" s="9">
        <v>42583</v>
      </c>
      <c r="AB3" s="9">
        <v>44901</v>
      </c>
    </row>
    <row r="4" spans="1:28" x14ac:dyDescent="0.3">
      <c r="A4" t="s">
        <v>21</v>
      </c>
      <c r="B4" t="s">
        <v>269</v>
      </c>
      <c r="C4" t="s">
        <v>270</v>
      </c>
      <c r="D4" t="s">
        <v>271</v>
      </c>
      <c r="E4">
        <v>5088</v>
      </c>
      <c r="G4" t="s">
        <v>272</v>
      </c>
      <c r="H4" t="s">
        <v>273</v>
      </c>
      <c r="I4" t="s">
        <v>274</v>
      </c>
      <c r="J4" t="s">
        <v>275</v>
      </c>
      <c r="K4">
        <v>2104</v>
      </c>
      <c r="L4" t="s">
        <v>276</v>
      </c>
      <c r="M4" t="s">
        <v>274</v>
      </c>
      <c r="N4" t="s">
        <v>276</v>
      </c>
      <c r="P4" t="s">
        <v>260</v>
      </c>
      <c r="Q4" t="s">
        <v>260</v>
      </c>
      <c r="R4" t="s">
        <v>261</v>
      </c>
      <c r="S4" t="s">
        <v>21</v>
      </c>
      <c r="T4">
        <v>100</v>
      </c>
      <c r="W4" t="s">
        <v>262</v>
      </c>
      <c r="X4">
        <v>-45.097848199999902</v>
      </c>
      <c r="Y4">
        <v>170.9606991</v>
      </c>
      <c r="Z4">
        <v>731</v>
      </c>
      <c r="AA4" s="9">
        <v>42917</v>
      </c>
    </row>
    <row r="5" spans="1:28" x14ac:dyDescent="0.3">
      <c r="A5" t="s">
        <v>21</v>
      </c>
      <c r="B5" t="s">
        <v>277</v>
      </c>
      <c r="C5" t="s">
        <v>278</v>
      </c>
      <c r="D5" t="s">
        <v>279</v>
      </c>
      <c r="E5" t="s">
        <v>280</v>
      </c>
      <c r="G5" t="s">
        <v>281</v>
      </c>
      <c r="M5" t="s">
        <v>282</v>
      </c>
      <c r="N5" t="s">
        <v>259</v>
      </c>
      <c r="P5" t="s">
        <v>260</v>
      </c>
      <c r="Q5" t="s">
        <v>260</v>
      </c>
      <c r="R5" t="s">
        <v>283</v>
      </c>
      <c r="S5" t="s">
        <v>21</v>
      </c>
      <c r="T5">
        <v>100</v>
      </c>
      <c r="W5" t="s">
        <v>262</v>
      </c>
      <c r="AB5" s="9">
        <v>44835</v>
      </c>
    </row>
    <row r="6" spans="1:28" x14ac:dyDescent="0.3">
      <c r="A6" t="s">
        <v>21</v>
      </c>
      <c r="B6" t="s">
        <v>284</v>
      </c>
      <c r="C6" t="s">
        <v>278</v>
      </c>
      <c r="D6" t="s">
        <v>285</v>
      </c>
      <c r="E6" t="s">
        <v>286</v>
      </c>
      <c r="G6" t="s">
        <v>287</v>
      </c>
      <c r="M6" t="s">
        <v>282</v>
      </c>
      <c r="N6" t="s">
        <v>259</v>
      </c>
      <c r="P6" t="s">
        <v>260</v>
      </c>
      <c r="Q6" t="s">
        <v>260</v>
      </c>
      <c r="R6" t="s">
        <v>283</v>
      </c>
      <c r="S6" t="s">
        <v>21</v>
      </c>
      <c r="T6">
        <v>100</v>
      </c>
      <c r="W6" t="s">
        <v>262</v>
      </c>
      <c r="AB6" s="9">
        <v>45629</v>
      </c>
    </row>
    <row r="7" spans="1:28" ht="90" customHeight="1" x14ac:dyDescent="0.3">
      <c r="A7" t="s">
        <v>21</v>
      </c>
      <c r="B7" t="s">
        <v>288</v>
      </c>
      <c r="C7" t="s">
        <v>289</v>
      </c>
      <c r="D7" t="s">
        <v>290</v>
      </c>
      <c r="E7">
        <v>9164</v>
      </c>
      <c r="G7" s="10" t="s">
        <v>291</v>
      </c>
      <c r="M7" t="s">
        <v>292</v>
      </c>
      <c r="N7" t="s">
        <v>259</v>
      </c>
      <c r="P7" t="s">
        <v>260</v>
      </c>
      <c r="Q7" t="s">
        <v>260</v>
      </c>
      <c r="R7" t="s">
        <v>293</v>
      </c>
      <c r="S7" t="s">
        <v>21</v>
      </c>
      <c r="T7">
        <v>100</v>
      </c>
      <c r="W7" t="s">
        <v>262</v>
      </c>
      <c r="Z7">
        <v>692</v>
      </c>
    </row>
    <row r="8" spans="1:28" x14ac:dyDescent="0.3">
      <c r="A8" t="s">
        <v>21</v>
      </c>
      <c r="B8" t="s">
        <v>294</v>
      </c>
      <c r="C8" t="s">
        <v>295</v>
      </c>
      <c r="D8" t="s">
        <v>296</v>
      </c>
      <c r="E8" t="s">
        <v>296</v>
      </c>
      <c r="M8" t="s">
        <v>297</v>
      </c>
      <c r="N8" t="s">
        <v>276</v>
      </c>
      <c r="P8" t="s">
        <v>260</v>
      </c>
      <c r="Q8" t="s">
        <v>260</v>
      </c>
      <c r="R8" t="s">
        <v>293</v>
      </c>
      <c r="S8" t="s">
        <v>21</v>
      </c>
      <c r="T8">
        <v>100</v>
      </c>
      <c r="W8" t="s">
        <v>262</v>
      </c>
    </row>
    <row r="9" spans="1:28" x14ac:dyDescent="0.3">
      <c r="A9" t="s">
        <v>21</v>
      </c>
      <c r="B9" t="s">
        <v>298</v>
      </c>
      <c r="C9" t="s">
        <v>299</v>
      </c>
      <c r="D9" t="s">
        <v>300</v>
      </c>
      <c r="E9" t="s">
        <v>300</v>
      </c>
      <c r="G9" t="s">
        <v>301</v>
      </c>
      <c r="M9" t="s">
        <v>302</v>
      </c>
      <c r="N9" t="s">
        <v>259</v>
      </c>
      <c r="P9" t="s">
        <v>260</v>
      </c>
      <c r="Q9" t="s">
        <v>260</v>
      </c>
      <c r="R9" t="s">
        <v>283</v>
      </c>
      <c r="S9" t="s">
        <v>21</v>
      </c>
      <c r="T9">
        <v>100</v>
      </c>
      <c r="W9" t="s">
        <v>262</v>
      </c>
      <c r="AB9" s="9">
        <v>44742</v>
      </c>
    </row>
    <row r="10" spans="1:28" x14ac:dyDescent="0.3">
      <c r="A10" t="s">
        <v>21</v>
      </c>
      <c r="B10" t="s">
        <v>303</v>
      </c>
      <c r="C10" t="s">
        <v>270</v>
      </c>
      <c r="D10" t="s">
        <v>304</v>
      </c>
      <c r="E10" t="s">
        <v>304</v>
      </c>
      <c r="H10" t="s">
        <v>305</v>
      </c>
      <c r="I10" t="s">
        <v>306</v>
      </c>
      <c r="J10" t="s">
        <v>305</v>
      </c>
      <c r="M10" t="s">
        <v>307</v>
      </c>
      <c r="N10" t="s">
        <v>259</v>
      </c>
      <c r="P10" t="s">
        <v>260</v>
      </c>
      <c r="Q10" t="s">
        <v>260</v>
      </c>
      <c r="R10" t="s">
        <v>308</v>
      </c>
      <c r="S10" t="s">
        <v>21</v>
      </c>
      <c r="T10">
        <v>100</v>
      </c>
      <c r="V10" s="9">
        <v>45199</v>
      </c>
      <c r="W10" t="s">
        <v>262</v>
      </c>
      <c r="X10">
        <v>-34.921297000000003</v>
      </c>
      <c r="Y10">
        <v>138.60465500000001</v>
      </c>
      <c r="Z10">
        <v>310</v>
      </c>
    </row>
    <row r="11" spans="1:28" ht="105" customHeight="1" x14ac:dyDescent="0.3">
      <c r="A11" t="s">
        <v>21</v>
      </c>
      <c r="B11" t="s">
        <v>309</v>
      </c>
      <c r="C11" t="s">
        <v>289</v>
      </c>
      <c r="D11" t="s">
        <v>310</v>
      </c>
      <c r="E11">
        <v>9165</v>
      </c>
      <c r="G11" s="10" t="s">
        <v>311</v>
      </c>
      <c r="M11" t="s">
        <v>312</v>
      </c>
      <c r="N11" t="s">
        <v>259</v>
      </c>
      <c r="P11" t="s">
        <v>260</v>
      </c>
      <c r="Q11" t="s">
        <v>260</v>
      </c>
      <c r="R11" t="s">
        <v>313</v>
      </c>
      <c r="S11" t="s">
        <v>21</v>
      </c>
      <c r="T11">
        <v>100</v>
      </c>
      <c r="V11" s="9">
        <v>45107</v>
      </c>
      <c r="W11" t="s">
        <v>262</v>
      </c>
      <c r="Z11">
        <v>692</v>
      </c>
    </row>
    <row r="12" spans="1:28" x14ac:dyDescent="0.3">
      <c r="A12" t="s">
        <v>21</v>
      </c>
      <c r="B12" t="s">
        <v>314</v>
      </c>
      <c r="C12" t="s">
        <v>289</v>
      </c>
      <c r="D12" t="s">
        <v>315</v>
      </c>
      <c r="E12">
        <v>9013</v>
      </c>
      <c r="H12" t="s">
        <v>316</v>
      </c>
      <c r="I12" t="s">
        <v>317</v>
      </c>
      <c r="J12" t="s">
        <v>318</v>
      </c>
      <c r="K12">
        <v>4009</v>
      </c>
      <c r="M12" t="s">
        <v>302</v>
      </c>
      <c r="N12" t="s">
        <v>259</v>
      </c>
      <c r="P12" t="s">
        <v>260</v>
      </c>
      <c r="Q12" t="s">
        <v>260</v>
      </c>
      <c r="R12" t="s">
        <v>313</v>
      </c>
      <c r="S12" t="s">
        <v>21</v>
      </c>
      <c r="T12">
        <v>100</v>
      </c>
      <c r="V12" s="9">
        <v>45107</v>
      </c>
      <c r="W12" t="s">
        <v>262</v>
      </c>
      <c r="X12">
        <v>-27.436443000000001</v>
      </c>
      <c r="Y12">
        <v>153.08636799999999</v>
      </c>
      <c r="Z12">
        <v>692</v>
      </c>
    </row>
    <row r="13" spans="1:28" x14ac:dyDescent="0.3">
      <c r="A13" t="s">
        <v>21</v>
      </c>
      <c r="B13" t="s">
        <v>319</v>
      </c>
      <c r="C13" t="s">
        <v>264</v>
      </c>
      <c r="D13" t="s">
        <v>320</v>
      </c>
      <c r="E13">
        <v>9128</v>
      </c>
      <c r="H13" t="s">
        <v>321</v>
      </c>
      <c r="I13" t="s">
        <v>317</v>
      </c>
      <c r="J13" t="s">
        <v>318</v>
      </c>
      <c r="K13">
        <v>4009</v>
      </c>
      <c r="M13" t="s">
        <v>322</v>
      </c>
      <c r="N13" t="s">
        <v>259</v>
      </c>
      <c r="P13" t="s">
        <v>260</v>
      </c>
      <c r="Q13" t="s">
        <v>260</v>
      </c>
      <c r="R13" t="s">
        <v>313</v>
      </c>
      <c r="S13" t="s">
        <v>21</v>
      </c>
      <c r="T13">
        <v>100</v>
      </c>
      <c r="V13" s="9">
        <v>45107</v>
      </c>
      <c r="W13" t="s">
        <v>262</v>
      </c>
      <c r="X13">
        <v>-27.437252000000001</v>
      </c>
      <c r="Y13">
        <v>153.093614</v>
      </c>
      <c r="Z13">
        <v>692</v>
      </c>
    </row>
    <row r="14" spans="1:28" x14ac:dyDescent="0.3">
      <c r="A14" t="s">
        <v>21</v>
      </c>
      <c r="B14" t="s">
        <v>323</v>
      </c>
      <c r="C14" t="s">
        <v>289</v>
      </c>
      <c r="D14" t="s">
        <v>324</v>
      </c>
      <c r="E14">
        <v>9127</v>
      </c>
      <c r="H14" t="s">
        <v>325</v>
      </c>
      <c r="I14" t="s">
        <v>317</v>
      </c>
      <c r="J14" t="s">
        <v>318</v>
      </c>
      <c r="K14">
        <v>4009</v>
      </c>
      <c r="L14" t="s">
        <v>259</v>
      </c>
      <c r="M14" t="s">
        <v>322</v>
      </c>
      <c r="N14" t="s">
        <v>259</v>
      </c>
      <c r="P14" t="s">
        <v>260</v>
      </c>
      <c r="Q14" t="s">
        <v>260</v>
      </c>
      <c r="R14" t="s">
        <v>313</v>
      </c>
      <c r="S14" t="s">
        <v>21</v>
      </c>
      <c r="T14">
        <v>100</v>
      </c>
      <c r="V14" s="9">
        <v>45107</v>
      </c>
      <c r="W14" t="s">
        <v>262</v>
      </c>
      <c r="X14">
        <v>-27.423891999999999</v>
      </c>
      <c r="Y14">
        <v>153.08506199999999</v>
      </c>
      <c r="Z14">
        <v>692</v>
      </c>
    </row>
    <row r="15" spans="1:28" x14ac:dyDescent="0.3">
      <c r="A15" t="s">
        <v>21</v>
      </c>
      <c r="B15" t="s">
        <v>326</v>
      </c>
      <c r="C15" t="s">
        <v>289</v>
      </c>
      <c r="D15" t="s">
        <v>327</v>
      </c>
      <c r="E15">
        <v>9014</v>
      </c>
      <c r="H15" t="s">
        <v>328</v>
      </c>
      <c r="I15" t="s">
        <v>329</v>
      </c>
      <c r="J15" t="s">
        <v>258</v>
      </c>
      <c r="K15">
        <v>7018</v>
      </c>
      <c r="L15" t="s">
        <v>259</v>
      </c>
      <c r="M15" t="s">
        <v>257</v>
      </c>
      <c r="N15" t="s">
        <v>259</v>
      </c>
      <c r="P15" t="s">
        <v>260</v>
      </c>
      <c r="Q15" t="s">
        <v>260</v>
      </c>
      <c r="R15" t="s">
        <v>313</v>
      </c>
      <c r="S15" t="s">
        <v>21</v>
      </c>
      <c r="T15">
        <v>100</v>
      </c>
      <c r="V15" s="9">
        <v>45107</v>
      </c>
      <c r="W15" t="s">
        <v>262</v>
      </c>
      <c r="X15">
        <v>-42.862696</v>
      </c>
      <c r="Y15">
        <v>147.39980199999999</v>
      </c>
      <c r="Z15">
        <v>692</v>
      </c>
    </row>
    <row r="16" spans="1:28" x14ac:dyDescent="0.3">
      <c r="A16" t="s">
        <v>21</v>
      </c>
      <c r="B16" t="s">
        <v>330</v>
      </c>
      <c r="C16" t="s">
        <v>289</v>
      </c>
      <c r="D16" t="s">
        <v>331</v>
      </c>
      <c r="E16">
        <v>9016</v>
      </c>
      <c r="G16" t="s">
        <v>332</v>
      </c>
      <c r="H16" t="s">
        <v>333</v>
      </c>
      <c r="I16" t="s">
        <v>334</v>
      </c>
      <c r="J16" t="s">
        <v>335</v>
      </c>
      <c r="K16">
        <v>3170</v>
      </c>
      <c r="M16" t="s">
        <v>334</v>
      </c>
      <c r="N16" t="s">
        <v>259</v>
      </c>
      <c r="P16" t="s">
        <v>260</v>
      </c>
      <c r="Q16" t="s">
        <v>260</v>
      </c>
      <c r="R16" t="s">
        <v>313</v>
      </c>
      <c r="S16" t="s">
        <v>21</v>
      </c>
      <c r="T16">
        <v>100</v>
      </c>
      <c r="V16" s="9">
        <v>45107</v>
      </c>
      <c r="W16" t="s">
        <v>262</v>
      </c>
      <c r="X16">
        <v>-37.923023999999998</v>
      </c>
      <c r="Y16">
        <v>145.15337400000001</v>
      </c>
      <c r="Z16">
        <v>692</v>
      </c>
    </row>
    <row r="17" spans="1:28" x14ac:dyDescent="0.3">
      <c r="A17" t="s">
        <v>21</v>
      </c>
      <c r="B17" t="s">
        <v>336</v>
      </c>
      <c r="C17" t="s">
        <v>289</v>
      </c>
      <c r="D17" t="s">
        <v>337</v>
      </c>
      <c r="E17">
        <v>9018</v>
      </c>
      <c r="H17" t="s">
        <v>338</v>
      </c>
      <c r="I17" t="s">
        <v>339</v>
      </c>
      <c r="J17" t="s">
        <v>335</v>
      </c>
      <c r="K17">
        <v>3179</v>
      </c>
      <c r="M17" t="s">
        <v>282</v>
      </c>
      <c r="N17" t="s">
        <v>259</v>
      </c>
      <c r="P17" t="s">
        <v>260</v>
      </c>
      <c r="Q17" t="s">
        <v>260</v>
      </c>
      <c r="R17" t="s">
        <v>313</v>
      </c>
      <c r="S17" t="s">
        <v>21</v>
      </c>
      <c r="T17">
        <v>100</v>
      </c>
      <c r="V17" s="9">
        <v>45107</v>
      </c>
      <c r="W17" t="s">
        <v>262</v>
      </c>
      <c r="X17">
        <v>-37.900964999999999</v>
      </c>
      <c r="Y17">
        <v>145.230266</v>
      </c>
      <c r="Z17">
        <v>692</v>
      </c>
    </row>
    <row r="18" spans="1:28" x14ac:dyDescent="0.3">
      <c r="A18" t="s">
        <v>21</v>
      </c>
      <c r="B18" t="s">
        <v>340</v>
      </c>
      <c r="C18" t="s">
        <v>278</v>
      </c>
      <c r="D18" t="s">
        <v>341</v>
      </c>
      <c r="M18" t="s">
        <v>302</v>
      </c>
      <c r="N18" t="s">
        <v>259</v>
      </c>
      <c r="P18" t="s">
        <v>260</v>
      </c>
      <c r="Q18" t="s">
        <v>260</v>
      </c>
      <c r="R18" t="s">
        <v>283</v>
      </c>
      <c r="S18" t="s">
        <v>21</v>
      </c>
      <c r="T18">
        <v>100</v>
      </c>
      <c r="W18" t="s">
        <v>262</v>
      </c>
      <c r="AB18" s="9">
        <v>45112</v>
      </c>
    </row>
    <row r="19" spans="1:28" x14ac:dyDescent="0.3">
      <c r="A19" t="s">
        <v>21</v>
      </c>
      <c r="B19" t="s">
        <v>342</v>
      </c>
      <c r="C19" t="s">
        <v>278</v>
      </c>
      <c r="D19" t="s">
        <v>343</v>
      </c>
      <c r="E19">
        <v>37240023</v>
      </c>
      <c r="M19" t="s">
        <v>344</v>
      </c>
      <c r="N19" t="s">
        <v>259</v>
      </c>
      <c r="P19" t="s">
        <v>260</v>
      </c>
      <c r="Q19" t="s">
        <v>260</v>
      </c>
      <c r="R19" t="s">
        <v>283</v>
      </c>
      <c r="S19" t="s">
        <v>21</v>
      </c>
      <c r="T19">
        <v>100</v>
      </c>
      <c r="W19" t="s">
        <v>262</v>
      </c>
      <c r="Z19">
        <v>310</v>
      </c>
      <c r="AA19" s="9">
        <v>45266</v>
      </c>
      <c r="AB19" s="9">
        <v>45577</v>
      </c>
    </row>
    <row r="20" spans="1:28" x14ac:dyDescent="0.3">
      <c r="A20" t="s">
        <v>21</v>
      </c>
      <c r="B20" t="s">
        <v>345</v>
      </c>
      <c r="C20" t="s">
        <v>299</v>
      </c>
      <c r="D20" t="s">
        <v>346</v>
      </c>
      <c r="E20" t="s">
        <v>346</v>
      </c>
      <c r="G20" t="s">
        <v>347</v>
      </c>
      <c r="M20" t="s">
        <v>307</v>
      </c>
      <c r="N20" t="s">
        <v>259</v>
      </c>
      <c r="P20" t="s">
        <v>260</v>
      </c>
      <c r="Q20" t="s">
        <v>260</v>
      </c>
      <c r="R20" t="s">
        <v>283</v>
      </c>
      <c r="S20" t="s">
        <v>21</v>
      </c>
      <c r="T20">
        <v>100</v>
      </c>
      <c r="W20" t="s">
        <v>262</v>
      </c>
      <c r="AB20" s="9">
        <v>44742</v>
      </c>
    </row>
    <row r="21" spans="1:28" x14ac:dyDescent="0.3">
      <c r="A21" t="s">
        <v>21</v>
      </c>
      <c r="B21" t="s">
        <v>348</v>
      </c>
      <c r="C21" t="s">
        <v>270</v>
      </c>
      <c r="D21" t="s">
        <v>349</v>
      </c>
      <c r="E21">
        <v>5010</v>
      </c>
      <c r="G21" t="s">
        <v>350</v>
      </c>
      <c r="H21" t="s">
        <v>351</v>
      </c>
      <c r="I21" t="s">
        <v>352</v>
      </c>
      <c r="J21" t="s">
        <v>353</v>
      </c>
      <c r="K21">
        <v>9016</v>
      </c>
      <c r="L21" t="s">
        <v>276</v>
      </c>
      <c r="M21" t="s">
        <v>352</v>
      </c>
      <c r="N21" t="s">
        <v>276</v>
      </c>
      <c r="P21" t="s">
        <v>260</v>
      </c>
      <c r="Q21" t="s">
        <v>260</v>
      </c>
      <c r="R21" t="s">
        <v>261</v>
      </c>
      <c r="S21" t="s">
        <v>21</v>
      </c>
      <c r="T21">
        <v>100</v>
      </c>
      <c r="U21" t="s">
        <v>354</v>
      </c>
      <c r="W21" t="s">
        <v>262</v>
      </c>
      <c r="X21">
        <v>-35.743169399999999</v>
      </c>
      <c r="Y21">
        <v>174.34159030000001</v>
      </c>
      <c r="Z21">
        <v>310</v>
      </c>
      <c r="AA21" s="9">
        <v>42917</v>
      </c>
    </row>
    <row r="22" spans="1:28" x14ac:dyDescent="0.3">
      <c r="A22" t="s">
        <v>21</v>
      </c>
      <c r="B22" t="s">
        <v>355</v>
      </c>
      <c r="C22" t="s">
        <v>356</v>
      </c>
      <c r="D22" t="s">
        <v>357</v>
      </c>
      <c r="E22">
        <v>182</v>
      </c>
      <c r="G22" t="s">
        <v>358</v>
      </c>
      <c r="H22" t="s">
        <v>359</v>
      </c>
      <c r="I22" t="s">
        <v>360</v>
      </c>
      <c r="J22" t="s">
        <v>258</v>
      </c>
      <c r="K22">
        <v>7248</v>
      </c>
      <c r="L22" t="s">
        <v>259</v>
      </c>
      <c r="M22" t="s">
        <v>257</v>
      </c>
      <c r="N22" t="s">
        <v>259</v>
      </c>
      <c r="P22" t="s">
        <v>260</v>
      </c>
      <c r="Q22" t="s">
        <v>260</v>
      </c>
      <c r="R22" t="s">
        <v>261</v>
      </c>
      <c r="S22" t="s">
        <v>21</v>
      </c>
      <c r="T22">
        <v>100</v>
      </c>
      <c r="W22" t="s">
        <v>262</v>
      </c>
      <c r="X22">
        <v>-41.399000000000001</v>
      </c>
      <c r="Y22">
        <v>147.16200000000001</v>
      </c>
      <c r="Z22">
        <v>170</v>
      </c>
    </row>
    <row r="23" spans="1:28" x14ac:dyDescent="0.3">
      <c r="A23" t="s">
        <v>21</v>
      </c>
      <c r="B23" t="s">
        <v>361</v>
      </c>
      <c r="C23" t="s">
        <v>356</v>
      </c>
      <c r="D23" t="s">
        <v>362</v>
      </c>
      <c r="E23">
        <v>248</v>
      </c>
      <c r="G23" t="s">
        <v>363</v>
      </c>
      <c r="H23" t="s">
        <v>364</v>
      </c>
      <c r="I23" t="s">
        <v>365</v>
      </c>
      <c r="J23" t="s">
        <v>366</v>
      </c>
      <c r="K23">
        <v>2142</v>
      </c>
      <c r="L23" t="s">
        <v>259</v>
      </c>
      <c r="M23" t="s">
        <v>367</v>
      </c>
      <c r="N23" t="s">
        <v>259</v>
      </c>
      <c r="P23" t="s">
        <v>260</v>
      </c>
      <c r="Q23" t="s">
        <v>260</v>
      </c>
      <c r="R23" t="s">
        <v>261</v>
      </c>
      <c r="S23" t="s">
        <v>21</v>
      </c>
      <c r="T23">
        <v>100</v>
      </c>
      <c r="W23" t="s">
        <v>262</v>
      </c>
      <c r="X23">
        <v>-33.828000000000003</v>
      </c>
      <c r="Y23">
        <v>151.023</v>
      </c>
      <c r="Z23">
        <v>170</v>
      </c>
      <c r="AB23" s="9">
        <v>44985</v>
      </c>
    </row>
    <row r="24" spans="1:28" x14ac:dyDescent="0.3">
      <c r="A24" t="s">
        <v>21</v>
      </c>
      <c r="B24" t="s">
        <v>368</v>
      </c>
      <c r="C24" t="s">
        <v>270</v>
      </c>
      <c r="D24" t="s">
        <v>369</v>
      </c>
      <c r="E24">
        <v>5011</v>
      </c>
      <c r="G24" t="s">
        <v>350</v>
      </c>
      <c r="H24" t="s">
        <v>370</v>
      </c>
      <c r="I24" t="s">
        <v>297</v>
      </c>
      <c r="J24" t="s">
        <v>297</v>
      </c>
      <c r="K24">
        <v>3200</v>
      </c>
      <c r="L24" t="s">
        <v>276</v>
      </c>
      <c r="M24" t="s">
        <v>371</v>
      </c>
      <c r="N24" t="s">
        <v>276</v>
      </c>
      <c r="P24" t="s">
        <v>260</v>
      </c>
      <c r="Q24" t="s">
        <v>260</v>
      </c>
      <c r="R24" t="s">
        <v>261</v>
      </c>
      <c r="S24" t="s">
        <v>21</v>
      </c>
      <c r="T24">
        <v>100</v>
      </c>
      <c r="U24" t="s">
        <v>354</v>
      </c>
      <c r="W24" t="s">
        <v>262</v>
      </c>
      <c r="X24">
        <v>-36.915213600000001</v>
      </c>
      <c r="Y24">
        <v>174.82028089999901</v>
      </c>
      <c r="Z24">
        <v>310</v>
      </c>
      <c r="AA24" s="9">
        <v>42917</v>
      </c>
    </row>
    <row r="25" spans="1:28" x14ac:dyDescent="0.3">
      <c r="A25" t="s">
        <v>21</v>
      </c>
      <c r="B25" t="s">
        <v>372</v>
      </c>
      <c r="C25" t="s">
        <v>270</v>
      </c>
      <c r="D25" t="s">
        <v>373</v>
      </c>
      <c r="E25">
        <v>5012</v>
      </c>
      <c r="G25" t="s">
        <v>350</v>
      </c>
      <c r="H25" t="s">
        <v>374</v>
      </c>
      <c r="I25" t="s">
        <v>375</v>
      </c>
      <c r="J25" t="s">
        <v>275</v>
      </c>
      <c r="K25">
        <v>9810</v>
      </c>
      <c r="L25" t="s">
        <v>276</v>
      </c>
      <c r="M25" t="s">
        <v>375</v>
      </c>
      <c r="N25" t="s">
        <v>276</v>
      </c>
      <c r="P25" t="s">
        <v>260</v>
      </c>
      <c r="Q25" t="s">
        <v>260</v>
      </c>
      <c r="R25" t="s">
        <v>261</v>
      </c>
      <c r="S25" t="s">
        <v>21</v>
      </c>
      <c r="T25">
        <v>100</v>
      </c>
      <c r="U25" t="s">
        <v>354</v>
      </c>
      <c r="W25" t="s">
        <v>262</v>
      </c>
      <c r="X25">
        <v>-45.869839300000002</v>
      </c>
      <c r="Y25">
        <v>170.53156480000001</v>
      </c>
      <c r="Z25">
        <v>310</v>
      </c>
      <c r="AA25" s="9">
        <v>42917</v>
      </c>
    </row>
    <row r="26" spans="1:28" x14ac:dyDescent="0.3">
      <c r="A26" t="s">
        <v>21</v>
      </c>
      <c r="B26" t="s">
        <v>376</v>
      </c>
      <c r="C26" t="s">
        <v>270</v>
      </c>
      <c r="D26" t="s">
        <v>377</v>
      </c>
      <c r="E26">
        <v>5013</v>
      </c>
      <c r="G26" t="s">
        <v>350</v>
      </c>
      <c r="H26" t="s">
        <v>378</v>
      </c>
      <c r="I26" t="s">
        <v>379</v>
      </c>
      <c r="J26" t="s">
        <v>380</v>
      </c>
      <c r="K26">
        <v>4312</v>
      </c>
      <c r="L26" t="s">
        <v>276</v>
      </c>
      <c r="M26" t="s">
        <v>379</v>
      </c>
      <c r="N26" t="s">
        <v>276</v>
      </c>
      <c r="P26" t="s">
        <v>260</v>
      </c>
      <c r="Q26" t="s">
        <v>260</v>
      </c>
      <c r="R26" t="s">
        <v>261</v>
      </c>
      <c r="S26" t="s">
        <v>21</v>
      </c>
      <c r="T26">
        <v>100</v>
      </c>
      <c r="U26" t="s">
        <v>354</v>
      </c>
      <c r="W26" t="s">
        <v>262</v>
      </c>
      <c r="X26">
        <v>-37.754067999999997</v>
      </c>
      <c r="Y26">
        <v>175.23705870000001</v>
      </c>
      <c r="Z26">
        <v>310</v>
      </c>
      <c r="AA26" s="9">
        <v>42917</v>
      </c>
    </row>
    <row r="27" spans="1:28" x14ac:dyDescent="0.3">
      <c r="A27" t="s">
        <v>21</v>
      </c>
      <c r="B27" t="s">
        <v>381</v>
      </c>
      <c r="C27" t="s">
        <v>270</v>
      </c>
      <c r="D27" t="s">
        <v>382</v>
      </c>
      <c r="E27">
        <v>5014</v>
      </c>
      <c r="G27" t="s">
        <v>350</v>
      </c>
      <c r="H27" t="s">
        <v>383</v>
      </c>
      <c r="I27" t="s">
        <v>384</v>
      </c>
      <c r="J27" t="s">
        <v>385</v>
      </c>
      <c r="K27">
        <v>6035</v>
      </c>
      <c r="L27" t="s">
        <v>276</v>
      </c>
      <c r="M27" t="s">
        <v>384</v>
      </c>
      <c r="N27" t="s">
        <v>276</v>
      </c>
      <c r="P27" t="s">
        <v>260</v>
      </c>
      <c r="Q27" t="s">
        <v>260</v>
      </c>
      <c r="R27" t="s">
        <v>261</v>
      </c>
      <c r="S27" t="s">
        <v>21</v>
      </c>
      <c r="T27">
        <v>100</v>
      </c>
      <c r="U27" t="s">
        <v>354</v>
      </c>
      <c r="W27" t="s">
        <v>262</v>
      </c>
      <c r="X27">
        <v>-46.415218699999997</v>
      </c>
      <c r="Y27">
        <v>168.3417097</v>
      </c>
      <c r="Z27">
        <v>310</v>
      </c>
      <c r="AA27" s="9">
        <v>42917</v>
      </c>
    </row>
    <row r="28" spans="1:28" x14ac:dyDescent="0.3">
      <c r="A28" t="s">
        <v>21</v>
      </c>
      <c r="B28" t="s">
        <v>386</v>
      </c>
      <c r="C28" t="s">
        <v>387</v>
      </c>
      <c r="D28" t="s">
        <v>388</v>
      </c>
      <c r="E28">
        <v>5294</v>
      </c>
      <c r="G28" t="s">
        <v>389</v>
      </c>
      <c r="M28" t="s">
        <v>390</v>
      </c>
      <c r="N28" t="s">
        <v>276</v>
      </c>
      <c r="P28" t="s">
        <v>260</v>
      </c>
      <c r="Q28" t="s">
        <v>260</v>
      </c>
      <c r="R28" t="s">
        <v>261</v>
      </c>
      <c r="S28" t="s">
        <v>21</v>
      </c>
      <c r="T28">
        <v>100</v>
      </c>
      <c r="U28" t="s">
        <v>354</v>
      </c>
      <c r="W28" t="s">
        <v>262</v>
      </c>
      <c r="Z28">
        <v>310</v>
      </c>
    </row>
    <row r="29" spans="1:28" x14ac:dyDescent="0.3">
      <c r="A29" t="s">
        <v>21</v>
      </c>
      <c r="B29" t="s">
        <v>391</v>
      </c>
      <c r="C29" t="s">
        <v>356</v>
      </c>
      <c r="D29" t="s">
        <v>392</v>
      </c>
      <c r="E29">
        <v>5286</v>
      </c>
      <c r="G29" t="s">
        <v>393</v>
      </c>
      <c r="M29" t="s">
        <v>394</v>
      </c>
      <c r="N29" t="s">
        <v>276</v>
      </c>
      <c r="P29" t="s">
        <v>260</v>
      </c>
      <c r="Q29" t="s">
        <v>260</v>
      </c>
      <c r="R29" t="s">
        <v>261</v>
      </c>
      <c r="S29" t="s">
        <v>21</v>
      </c>
      <c r="T29">
        <v>100</v>
      </c>
      <c r="U29" t="s">
        <v>354</v>
      </c>
      <c r="W29" t="s">
        <v>262</v>
      </c>
    </row>
    <row r="30" spans="1:28" x14ac:dyDescent="0.3">
      <c r="A30" t="s">
        <v>21</v>
      </c>
      <c r="B30" t="s">
        <v>395</v>
      </c>
      <c r="C30" t="s">
        <v>270</v>
      </c>
      <c r="D30" t="s">
        <v>396</v>
      </c>
      <c r="E30">
        <v>5015</v>
      </c>
      <c r="G30" t="s">
        <v>350</v>
      </c>
      <c r="H30" t="s">
        <v>397</v>
      </c>
      <c r="I30" t="s">
        <v>398</v>
      </c>
      <c r="J30" t="s">
        <v>399</v>
      </c>
      <c r="K30">
        <v>9814</v>
      </c>
      <c r="L30" t="s">
        <v>276</v>
      </c>
      <c r="M30" t="s">
        <v>398</v>
      </c>
      <c r="N30" t="s">
        <v>276</v>
      </c>
      <c r="P30" t="s">
        <v>260</v>
      </c>
      <c r="Q30" t="s">
        <v>260</v>
      </c>
      <c r="R30" t="s">
        <v>261</v>
      </c>
      <c r="S30" t="s">
        <v>21</v>
      </c>
      <c r="T30">
        <v>100</v>
      </c>
      <c r="U30" t="s">
        <v>354</v>
      </c>
      <c r="W30" t="s">
        <v>262</v>
      </c>
      <c r="X30">
        <v>-39.042341999999998</v>
      </c>
      <c r="Y30">
        <v>174.11916829999899</v>
      </c>
      <c r="Z30">
        <v>310</v>
      </c>
      <c r="AA30" s="9">
        <v>42917</v>
      </c>
    </row>
    <row r="31" spans="1:28" x14ac:dyDescent="0.3">
      <c r="A31" t="s">
        <v>21</v>
      </c>
      <c r="B31" t="s">
        <v>400</v>
      </c>
      <c r="C31" t="s">
        <v>270</v>
      </c>
      <c r="D31" t="s">
        <v>401</v>
      </c>
      <c r="E31">
        <v>5016</v>
      </c>
      <c r="G31" t="s">
        <v>350</v>
      </c>
      <c r="H31" t="s">
        <v>402</v>
      </c>
      <c r="I31" t="s">
        <v>403</v>
      </c>
      <c r="J31" t="s">
        <v>403</v>
      </c>
      <c r="K31">
        <v>8082</v>
      </c>
      <c r="L31" t="s">
        <v>276</v>
      </c>
      <c r="M31" t="s">
        <v>403</v>
      </c>
      <c r="N31" t="s">
        <v>276</v>
      </c>
      <c r="P31" t="s">
        <v>260</v>
      </c>
      <c r="Q31" t="s">
        <v>260</v>
      </c>
      <c r="R31" t="s">
        <v>261</v>
      </c>
      <c r="S31" t="s">
        <v>21</v>
      </c>
      <c r="T31">
        <v>100</v>
      </c>
      <c r="U31" t="s">
        <v>354</v>
      </c>
      <c r="W31" t="s">
        <v>262</v>
      </c>
      <c r="X31">
        <v>-41.237631</v>
      </c>
      <c r="Y31">
        <v>174.80508599999899</v>
      </c>
      <c r="Z31">
        <v>310</v>
      </c>
      <c r="AA31" s="9">
        <v>42917</v>
      </c>
    </row>
    <row r="32" spans="1:28" ht="90" customHeight="1" x14ac:dyDescent="0.3">
      <c r="A32" t="s">
        <v>21</v>
      </c>
      <c r="B32" t="s">
        <v>404</v>
      </c>
      <c r="C32" t="s">
        <v>270</v>
      </c>
      <c r="D32" t="s">
        <v>405</v>
      </c>
      <c r="E32" t="s">
        <v>406</v>
      </c>
      <c r="G32" s="10" t="s">
        <v>407</v>
      </c>
      <c r="M32" t="s">
        <v>312</v>
      </c>
      <c r="N32" t="s">
        <v>259</v>
      </c>
      <c r="P32" t="s">
        <v>260</v>
      </c>
      <c r="Q32" t="s">
        <v>260</v>
      </c>
      <c r="R32" t="s">
        <v>283</v>
      </c>
      <c r="S32" t="s">
        <v>21</v>
      </c>
      <c r="T32">
        <v>100</v>
      </c>
      <c r="W32" t="s">
        <v>262</v>
      </c>
    </row>
    <row r="33" spans="1:28" x14ac:dyDescent="0.3">
      <c r="A33" t="s">
        <v>21</v>
      </c>
      <c r="B33" t="s">
        <v>408</v>
      </c>
      <c r="C33" t="s">
        <v>270</v>
      </c>
      <c r="D33" t="s">
        <v>409</v>
      </c>
      <c r="E33">
        <v>7037</v>
      </c>
      <c r="H33" t="s">
        <v>410</v>
      </c>
      <c r="I33" t="s">
        <v>411</v>
      </c>
      <c r="J33" t="s">
        <v>366</v>
      </c>
      <c r="K33">
        <v>2113</v>
      </c>
      <c r="L33" t="s">
        <v>259</v>
      </c>
      <c r="M33" t="s">
        <v>412</v>
      </c>
      <c r="N33" t="s">
        <v>259</v>
      </c>
      <c r="P33" t="s">
        <v>260</v>
      </c>
      <c r="Q33" t="s">
        <v>260</v>
      </c>
      <c r="R33" t="s">
        <v>283</v>
      </c>
      <c r="S33" t="s">
        <v>21</v>
      </c>
      <c r="T33">
        <v>100</v>
      </c>
      <c r="W33" t="s">
        <v>262</v>
      </c>
      <c r="X33">
        <v>-33.799819999999997</v>
      </c>
      <c r="Y33">
        <v>151.14323400000001</v>
      </c>
      <c r="Z33">
        <v>310</v>
      </c>
    </row>
    <row r="34" spans="1:28" x14ac:dyDescent="0.3">
      <c r="A34" t="s">
        <v>21</v>
      </c>
      <c r="B34" t="s">
        <v>413</v>
      </c>
      <c r="C34" t="s">
        <v>270</v>
      </c>
      <c r="D34" t="s">
        <v>414</v>
      </c>
      <c r="E34">
        <v>5017</v>
      </c>
      <c r="G34" t="s">
        <v>415</v>
      </c>
      <c r="H34" t="s">
        <v>416</v>
      </c>
      <c r="I34" t="s">
        <v>417</v>
      </c>
      <c r="J34" t="s">
        <v>385</v>
      </c>
      <c r="K34">
        <v>3116</v>
      </c>
      <c r="L34" t="s">
        <v>276</v>
      </c>
      <c r="M34" t="s">
        <v>417</v>
      </c>
      <c r="N34" t="s">
        <v>276</v>
      </c>
      <c r="P34" t="s">
        <v>260</v>
      </c>
      <c r="Q34" t="s">
        <v>260</v>
      </c>
      <c r="R34" t="s">
        <v>261</v>
      </c>
      <c r="S34" t="s">
        <v>21</v>
      </c>
      <c r="T34">
        <v>100</v>
      </c>
      <c r="U34" t="s">
        <v>354</v>
      </c>
      <c r="W34" t="s">
        <v>262</v>
      </c>
      <c r="X34">
        <v>-46.597974699999902</v>
      </c>
      <c r="Y34">
        <v>168.34253899999999</v>
      </c>
      <c r="Z34">
        <v>170</v>
      </c>
      <c r="AA34" s="9">
        <v>42917</v>
      </c>
    </row>
    <row r="35" spans="1:28" x14ac:dyDescent="0.3">
      <c r="A35" t="s">
        <v>21</v>
      </c>
      <c r="B35" t="s">
        <v>418</v>
      </c>
      <c r="C35" t="s">
        <v>387</v>
      </c>
      <c r="D35" t="s">
        <v>419</v>
      </c>
      <c r="E35">
        <v>5296</v>
      </c>
      <c r="G35" t="s">
        <v>389</v>
      </c>
      <c r="M35" t="s">
        <v>420</v>
      </c>
      <c r="N35" t="s">
        <v>276</v>
      </c>
      <c r="P35" t="s">
        <v>260</v>
      </c>
      <c r="Q35" t="s">
        <v>260</v>
      </c>
      <c r="R35" t="s">
        <v>261</v>
      </c>
      <c r="S35" t="s">
        <v>21</v>
      </c>
      <c r="T35">
        <v>100</v>
      </c>
      <c r="U35" t="s">
        <v>354</v>
      </c>
      <c r="W35" t="s">
        <v>262</v>
      </c>
      <c r="Z35">
        <v>310</v>
      </c>
    </row>
    <row r="36" spans="1:28" x14ac:dyDescent="0.3">
      <c r="A36" t="s">
        <v>21</v>
      </c>
      <c r="B36" t="s">
        <v>421</v>
      </c>
      <c r="C36" t="s">
        <v>270</v>
      </c>
      <c r="D36" t="s">
        <v>422</v>
      </c>
      <c r="E36">
        <v>5018</v>
      </c>
      <c r="G36" t="s">
        <v>415</v>
      </c>
      <c r="H36" t="s">
        <v>423</v>
      </c>
      <c r="I36" t="s">
        <v>424</v>
      </c>
      <c r="J36" t="s">
        <v>425</v>
      </c>
      <c r="K36">
        <v>4340</v>
      </c>
      <c r="L36" t="s">
        <v>276</v>
      </c>
      <c r="M36" t="s">
        <v>390</v>
      </c>
      <c r="N36" t="s">
        <v>276</v>
      </c>
      <c r="P36" t="s">
        <v>260</v>
      </c>
      <c r="Q36" t="s">
        <v>260</v>
      </c>
      <c r="R36" t="s">
        <v>261</v>
      </c>
      <c r="S36" t="s">
        <v>21</v>
      </c>
      <c r="T36">
        <v>100</v>
      </c>
      <c r="U36" t="s">
        <v>354</v>
      </c>
      <c r="W36" t="s">
        <v>262</v>
      </c>
      <c r="X36">
        <v>-43.610561099999998</v>
      </c>
      <c r="Y36">
        <v>172.70419039999999</v>
      </c>
      <c r="Z36">
        <v>170</v>
      </c>
      <c r="AA36" s="9">
        <v>42917</v>
      </c>
    </row>
    <row r="37" spans="1:28" x14ac:dyDescent="0.3">
      <c r="A37" t="s">
        <v>21</v>
      </c>
      <c r="B37" t="s">
        <v>426</v>
      </c>
      <c r="C37" t="s">
        <v>270</v>
      </c>
      <c r="D37" t="s">
        <v>427</v>
      </c>
      <c r="E37">
        <v>5019</v>
      </c>
      <c r="G37" t="s">
        <v>415</v>
      </c>
      <c r="H37" t="s">
        <v>428</v>
      </c>
      <c r="I37" t="s">
        <v>429</v>
      </c>
      <c r="J37" t="s">
        <v>430</v>
      </c>
      <c r="K37">
        <v>3116</v>
      </c>
      <c r="L37" t="s">
        <v>276</v>
      </c>
      <c r="M37" t="s">
        <v>429</v>
      </c>
      <c r="N37" t="s">
        <v>276</v>
      </c>
      <c r="P37" t="s">
        <v>260</v>
      </c>
      <c r="Q37" t="s">
        <v>260</v>
      </c>
      <c r="R37" t="s">
        <v>261</v>
      </c>
      <c r="S37" t="s">
        <v>21</v>
      </c>
      <c r="T37">
        <v>100</v>
      </c>
      <c r="U37" t="s">
        <v>354</v>
      </c>
      <c r="W37" t="s">
        <v>262</v>
      </c>
      <c r="X37">
        <v>-37.663865700000002</v>
      </c>
      <c r="Y37">
        <v>176.18689499999999</v>
      </c>
      <c r="Z37">
        <v>170</v>
      </c>
      <c r="AA37" s="9">
        <v>42917</v>
      </c>
    </row>
    <row r="38" spans="1:28" x14ac:dyDescent="0.3">
      <c r="A38" t="s">
        <v>21</v>
      </c>
      <c r="B38" t="s">
        <v>431</v>
      </c>
      <c r="C38" t="s">
        <v>270</v>
      </c>
      <c r="D38" t="s">
        <v>432</v>
      </c>
      <c r="E38">
        <v>5020</v>
      </c>
      <c r="G38" t="s">
        <v>415</v>
      </c>
      <c r="H38" t="s">
        <v>433</v>
      </c>
      <c r="I38" t="s">
        <v>398</v>
      </c>
      <c r="J38" t="s">
        <v>399</v>
      </c>
      <c r="K38">
        <v>9230</v>
      </c>
      <c r="L38" t="s">
        <v>276</v>
      </c>
      <c r="M38" t="s">
        <v>398</v>
      </c>
      <c r="N38" t="s">
        <v>276</v>
      </c>
      <c r="P38" t="s">
        <v>260</v>
      </c>
      <c r="Q38" t="s">
        <v>260</v>
      </c>
      <c r="R38" t="s">
        <v>261</v>
      </c>
      <c r="S38" t="s">
        <v>21</v>
      </c>
      <c r="T38">
        <v>100</v>
      </c>
      <c r="U38" t="s">
        <v>354</v>
      </c>
      <c r="W38" t="s">
        <v>262</v>
      </c>
      <c r="X38">
        <v>-39.0577994</v>
      </c>
      <c r="Y38">
        <v>174.031262999999</v>
      </c>
      <c r="Z38">
        <v>170</v>
      </c>
      <c r="AA38" s="9">
        <v>42917</v>
      </c>
    </row>
    <row r="39" spans="1:28" x14ac:dyDescent="0.3">
      <c r="A39" t="s">
        <v>21</v>
      </c>
      <c r="B39" t="s">
        <v>434</v>
      </c>
      <c r="C39" t="s">
        <v>270</v>
      </c>
      <c r="D39" t="s">
        <v>435</v>
      </c>
      <c r="E39">
        <v>5021</v>
      </c>
      <c r="G39" t="s">
        <v>436</v>
      </c>
      <c r="H39" t="s">
        <v>437</v>
      </c>
      <c r="I39" t="s">
        <v>429</v>
      </c>
      <c r="J39" t="s">
        <v>430</v>
      </c>
      <c r="K39">
        <v>7201</v>
      </c>
      <c r="L39" t="s">
        <v>276</v>
      </c>
      <c r="M39" t="s">
        <v>429</v>
      </c>
      <c r="N39" t="s">
        <v>276</v>
      </c>
      <c r="P39" t="s">
        <v>260</v>
      </c>
      <c r="Q39" t="s">
        <v>260</v>
      </c>
      <c r="R39" t="s">
        <v>261</v>
      </c>
      <c r="S39" t="s">
        <v>21</v>
      </c>
      <c r="T39">
        <v>100</v>
      </c>
      <c r="U39" t="s">
        <v>354</v>
      </c>
      <c r="W39" t="s">
        <v>262</v>
      </c>
      <c r="X39">
        <v>-37.678293799999999</v>
      </c>
      <c r="Y39">
        <v>176.22236429999899</v>
      </c>
      <c r="Z39">
        <v>461</v>
      </c>
      <c r="AA39" s="9">
        <v>42917</v>
      </c>
    </row>
    <row r="40" spans="1:28" x14ac:dyDescent="0.3">
      <c r="A40" t="s">
        <v>21</v>
      </c>
      <c r="B40" t="s">
        <v>438</v>
      </c>
      <c r="C40" t="s">
        <v>439</v>
      </c>
      <c r="D40" t="s">
        <v>440</v>
      </c>
      <c r="E40">
        <v>5309</v>
      </c>
      <c r="M40" t="s">
        <v>297</v>
      </c>
      <c r="N40" t="s">
        <v>276</v>
      </c>
      <c r="P40" t="s">
        <v>260</v>
      </c>
      <c r="Q40" t="s">
        <v>260</v>
      </c>
      <c r="R40" t="s">
        <v>261</v>
      </c>
      <c r="S40" t="s">
        <v>21</v>
      </c>
      <c r="T40">
        <v>100</v>
      </c>
      <c r="W40" t="s">
        <v>262</v>
      </c>
    </row>
    <row r="41" spans="1:28" x14ac:dyDescent="0.3">
      <c r="A41" t="s">
        <v>21</v>
      </c>
      <c r="B41" t="s">
        <v>441</v>
      </c>
      <c r="C41" t="s">
        <v>439</v>
      </c>
      <c r="D41" t="s">
        <v>442</v>
      </c>
      <c r="E41">
        <v>5310</v>
      </c>
      <c r="M41" t="s">
        <v>297</v>
      </c>
      <c r="N41" t="s">
        <v>276</v>
      </c>
      <c r="P41" t="s">
        <v>260</v>
      </c>
      <c r="Q41" t="s">
        <v>260</v>
      </c>
      <c r="R41" t="s">
        <v>261</v>
      </c>
      <c r="S41" t="s">
        <v>21</v>
      </c>
      <c r="T41">
        <v>100</v>
      </c>
      <c r="W41" t="s">
        <v>262</v>
      </c>
    </row>
    <row r="42" spans="1:28" x14ac:dyDescent="0.3">
      <c r="A42" t="s">
        <v>21</v>
      </c>
      <c r="B42" t="s">
        <v>443</v>
      </c>
      <c r="C42" t="s">
        <v>439</v>
      </c>
      <c r="D42" t="s">
        <v>444</v>
      </c>
      <c r="E42">
        <v>5311</v>
      </c>
      <c r="M42" t="s">
        <v>297</v>
      </c>
      <c r="N42" t="s">
        <v>276</v>
      </c>
      <c r="P42" t="s">
        <v>260</v>
      </c>
      <c r="Q42" t="s">
        <v>260</v>
      </c>
      <c r="R42" t="s">
        <v>261</v>
      </c>
      <c r="S42" t="s">
        <v>21</v>
      </c>
      <c r="T42">
        <v>100</v>
      </c>
      <c r="W42" t="s">
        <v>262</v>
      </c>
    </row>
    <row r="43" spans="1:28" x14ac:dyDescent="0.3">
      <c r="A43" t="s">
        <v>21</v>
      </c>
      <c r="B43" t="s">
        <v>445</v>
      </c>
      <c r="C43" t="s">
        <v>439</v>
      </c>
      <c r="D43" t="s">
        <v>446</v>
      </c>
      <c r="E43">
        <v>5308</v>
      </c>
      <c r="M43" t="s">
        <v>297</v>
      </c>
      <c r="N43" t="s">
        <v>276</v>
      </c>
      <c r="P43" t="s">
        <v>260</v>
      </c>
      <c r="Q43" t="s">
        <v>260</v>
      </c>
      <c r="R43" t="s">
        <v>261</v>
      </c>
      <c r="S43" t="s">
        <v>21</v>
      </c>
      <c r="T43">
        <v>100</v>
      </c>
      <c r="U43" t="s">
        <v>354</v>
      </c>
      <c r="W43" t="s">
        <v>262</v>
      </c>
    </row>
    <row r="44" spans="1:28" x14ac:dyDescent="0.3">
      <c r="A44" t="s">
        <v>21</v>
      </c>
      <c r="B44" t="s">
        <v>447</v>
      </c>
      <c r="C44" t="s">
        <v>448</v>
      </c>
      <c r="D44" t="s">
        <v>449</v>
      </c>
      <c r="E44">
        <v>5255</v>
      </c>
      <c r="G44" t="s">
        <v>450</v>
      </c>
      <c r="M44" t="s">
        <v>394</v>
      </c>
      <c r="N44" t="s">
        <v>276</v>
      </c>
      <c r="P44" t="s">
        <v>260</v>
      </c>
      <c r="Q44" t="s">
        <v>260</v>
      </c>
      <c r="R44" t="s">
        <v>261</v>
      </c>
      <c r="S44" t="s">
        <v>21</v>
      </c>
      <c r="T44">
        <v>100</v>
      </c>
      <c r="W44" t="s">
        <v>262</v>
      </c>
    </row>
    <row r="45" spans="1:28" x14ac:dyDescent="0.3">
      <c r="A45" t="s">
        <v>21</v>
      </c>
      <c r="B45" t="s">
        <v>451</v>
      </c>
      <c r="C45" t="s">
        <v>439</v>
      </c>
      <c r="D45" t="s">
        <v>452</v>
      </c>
      <c r="E45">
        <v>5256</v>
      </c>
      <c r="G45" t="s">
        <v>453</v>
      </c>
      <c r="M45" t="s">
        <v>429</v>
      </c>
      <c r="N45" t="s">
        <v>276</v>
      </c>
      <c r="P45" t="s">
        <v>260</v>
      </c>
      <c r="Q45" t="s">
        <v>260</v>
      </c>
      <c r="R45" t="s">
        <v>261</v>
      </c>
      <c r="S45" t="s">
        <v>21</v>
      </c>
      <c r="T45">
        <v>100</v>
      </c>
      <c r="W45" t="s">
        <v>262</v>
      </c>
    </row>
    <row r="46" spans="1:28" x14ac:dyDescent="0.3">
      <c r="A46" t="s">
        <v>21</v>
      </c>
      <c r="B46" t="s">
        <v>454</v>
      </c>
      <c r="C46" t="s">
        <v>270</v>
      </c>
      <c r="D46" t="s">
        <v>455</v>
      </c>
      <c r="E46">
        <v>5205</v>
      </c>
      <c r="G46" t="s">
        <v>456</v>
      </c>
      <c r="H46" t="s">
        <v>457</v>
      </c>
      <c r="I46" t="s">
        <v>420</v>
      </c>
      <c r="J46" t="s">
        <v>430</v>
      </c>
      <c r="K46">
        <v>3110</v>
      </c>
      <c r="L46" t="s">
        <v>276</v>
      </c>
      <c r="M46" t="s">
        <v>458</v>
      </c>
      <c r="N46" t="s">
        <v>276</v>
      </c>
      <c r="P46" t="s">
        <v>260</v>
      </c>
      <c r="Q46" t="s">
        <v>260</v>
      </c>
      <c r="R46" t="s">
        <v>261</v>
      </c>
      <c r="S46" t="s">
        <v>21</v>
      </c>
      <c r="T46">
        <v>100</v>
      </c>
      <c r="W46" t="s">
        <v>262</v>
      </c>
      <c r="X46">
        <v>-37.838121000000001</v>
      </c>
      <c r="Y46">
        <v>176.42131000000001</v>
      </c>
      <c r="Z46">
        <v>302</v>
      </c>
      <c r="AA46" s="9">
        <v>42954</v>
      </c>
      <c r="AB46" s="9">
        <v>43190</v>
      </c>
    </row>
    <row r="47" spans="1:28" x14ac:dyDescent="0.3">
      <c r="A47" t="s">
        <v>21</v>
      </c>
      <c r="B47" t="s">
        <v>459</v>
      </c>
      <c r="C47" t="s">
        <v>270</v>
      </c>
      <c r="D47" t="s">
        <v>460</v>
      </c>
      <c r="E47">
        <v>5196</v>
      </c>
      <c r="G47" t="s">
        <v>461</v>
      </c>
      <c r="H47" t="s">
        <v>462</v>
      </c>
      <c r="I47" t="s">
        <v>379</v>
      </c>
      <c r="J47" t="s">
        <v>380</v>
      </c>
      <c r="K47">
        <v>3110</v>
      </c>
      <c r="L47" t="s">
        <v>276</v>
      </c>
      <c r="M47" t="s">
        <v>379</v>
      </c>
      <c r="N47" t="s">
        <v>276</v>
      </c>
      <c r="P47" t="s">
        <v>260</v>
      </c>
      <c r="Q47" t="s">
        <v>260</v>
      </c>
      <c r="R47" t="s">
        <v>261</v>
      </c>
      <c r="S47" t="s">
        <v>21</v>
      </c>
      <c r="T47">
        <v>100</v>
      </c>
      <c r="W47" t="s">
        <v>262</v>
      </c>
      <c r="X47">
        <v>-37.800446999999998</v>
      </c>
      <c r="Y47">
        <v>175.25784999999999</v>
      </c>
      <c r="Z47">
        <v>301</v>
      </c>
      <c r="AA47" s="9">
        <v>42917</v>
      </c>
    </row>
    <row r="48" spans="1:28" x14ac:dyDescent="0.3">
      <c r="A48" t="s">
        <v>21</v>
      </c>
      <c r="B48" t="s">
        <v>463</v>
      </c>
      <c r="C48" t="s">
        <v>448</v>
      </c>
      <c r="D48" t="s">
        <v>464</v>
      </c>
      <c r="E48">
        <v>5257</v>
      </c>
      <c r="G48" t="s">
        <v>465</v>
      </c>
      <c r="M48" t="s">
        <v>379</v>
      </c>
      <c r="N48" t="s">
        <v>276</v>
      </c>
      <c r="P48" t="s">
        <v>260</v>
      </c>
      <c r="Q48" t="s">
        <v>260</v>
      </c>
      <c r="R48" t="s">
        <v>261</v>
      </c>
      <c r="S48" t="s">
        <v>21</v>
      </c>
      <c r="T48">
        <v>100</v>
      </c>
      <c r="W48" t="s">
        <v>262</v>
      </c>
    </row>
    <row r="49" spans="1:28" x14ac:dyDescent="0.3">
      <c r="A49" t="s">
        <v>21</v>
      </c>
      <c r="B49" t="s">
        <v>466</v>
      </c>
      <c r="C49" t="s">
        <v>270</v>
      </c>
      <c r="D49" t="s">
        <v>467</v>
      </c>
      <c r="E49">
        <v>5229</v>
      </c>
      <c r="G49" t="s">
        <v>468</v>
      </c>
      <c r="H49" t="s">
        <v>469</v>
      </c>
      <c r="I49" t="s">
        <v>390</v>
      </c>
      <c r="J49" t="s">
        <v>425</v>
      </c>
      <c r="K49">
        <v>8041</v>
      </c>
      <c r="L49" t="s">
        <v>276</v>
      </c>
      <c r="M49" t="s">
        <v>390</v>
      </c>
      <c r="N49" t="s">
        <v>276</v>
      </c>
      <c r="P49" t="s">
        <v>260</v>
      </c>
      <c r="Q49" t="s">
        <v>260</v>
      </c>
      <c r="R49" t="s">
        <v>261</v>
      </c>
      <c r="S49" t="s">
        <v>21</v>
      </c>
      <c r="T49">
        <v>100</v>
      </c>
      <c r="W49" t="s">
        <v>262</v>
      </c>
      <c r="X49">
        <v>-43.526955899999997</v>
      </c>
      <c r="Y49">
        <v>172.63482999999999</v>
      </c>
      <c r="Z49">
        <v>302</v>
      </c>
      <c r="AA49" s="9">
        <v>42917</v>
      </c>
    </row>
    <row r="50" spans="1:28" x14ac:dyDescent="0.3">
      <c r="A50" t="s">
        <v>21</v>
      </c>
      <c r="B50" t="s">
        <v>470</v>
      </c>
      <c r="C50" t="s">
        <v>270</v>
      </c>
      <c r="D50" t="s">
        <v>471</v>
      </c>
      <c r="E50">
        <v>5226</v>
      </c>
      <c r="G50" t="s">
        <v>472</v>
      </c>
      <c r="H50" t="s">
        <v>473</v>
      </c>
      <c r="I50" t="s">
        <v>474</v>
      </c>
      <c r="J50" t="s">
        <v>425</v>
      </c>
      <c r="K50">
        <v>8011</v>
      </c>
      <c r="L50" t="s">
        <v>276</v>
      </c>
      <c r="M50" t="s">
        <v>390</v>
      </c>
      <c r="N50" t="s">
        <v>276</v>
      </c>
      <c r="P50" t="s">
        <v>260</v>
      </c>
      <c r="Q50" t="s">
        <v>260</v>
      </c>
      <c r="R50" t="s">
        <v>261</v>
      </c>
      <c r="S50" t="s">
        <v>21</v>
      </c>
      <c r="T50">
        <v>100</v>
      </c>
      <c r="W50" t="s">
        <v>262</v>
      </c>
      <c r="X50">
        <v>-43.5406926</v>
      </c>
      <c r="Y50">
        <v>172.59974030000001</v>
      </c>
      <c r="Z50">
        <v>301</v>
      </c>
      <c r="AA50" s="9">
        <v>42917</v>
      </c>
    </row>
    <row r="51" spans="1:28" x14ac:dyDescent="0.3">
      <c r="A51" t="s">
        <v>21</v>
      </c>
      <c r="B51" t="s">
        <v>475</v>
      </c>
      <c r="C51" t="s">
        <v>448</v>
      </c>
      <c r="D51" t="s">
        <v>476</v>
      </c>
      <c r="E51">
        <v>5259</v>
      </c>
      <c r="G51" t="s">
        <v>477</v>
      </c>
      <c r="M51" t="s">
        <v>425</v>
      </c>
      <c r="N51" t="s">
        <v>276</v>
      </c>
      <c r="P51" t="s">
        <v>260</v>
      </c>
      <c r="Q51" t="s">
        <v>260</v>
      </c>
      <c r="R51" t="s">
        <v>261</v>
      </c>
      <c r="S51" t="s">
        <v>21</v>
      </c>
      <c r="T51">
        <v>100</v>
      </c>
      <c r="W51" t="s">
        <v>262</v>
      </c>
    </row>
    <row r="52" spans="1:28" x14ac:dyDescent="0.3">
      <c r="A52" t="s">
        <v>21</v>
      </c>
      <c r="B52" t="s">
        <v>478</v>
      </c>
      <c r="C52" t="s">
        <v>270</v>
      </c>
      <c r="D52" t="s">
        <v>449</v>
      </c>
      <c r="E52">
        <v>5320</v>
      </c>
      <c r="M52" t="s">
        <v>297</v>
      </c>
      <c r="N52" t="s">
        <v>276</v>
      </c>
      <c r="P52" t="s">
        <v>260</v>
      </c>
      <c r="Q52" t="s">
        <v>260</v>
      </c>
      <c r="R52" t="s">
        <v>261</v>
      </c>
      <c r="S52" t="s">
        <v>21</v>
      </c>
      <c r="T52">
        <v>100</v>
      </c>
      <c r="W52" t="s">
        <v>262</v>
      </c>
    </row>
    <row r="53" spans="1:28" x14ac:dyDescent="0.3">
      <c r="A53" t="s">
        <v>21</v>
      </c>
      <c r="B53" t="s">
        <v>479</v>
      </c>
      <c r="C53" t="s">
        <v>270</v>
      </c>
      <c r="D53" t="s">
        <v>480</v>
      </c>
      <c r="E53">
        <v>5221</v>
      </c>
      <c r="G53" t="s">
        <v>481</v>
      </c>
      <c r="H53" t="s">
        <v>482</v>
      </c>
      <c r="I53" t="s">
        <v>403</v>
      </c>
      <c r="J53" t="s">
        <v>403</v>
      </c>
      <c r="K53">
        <v>6011</v>
      </c>
      <c r="L53" t="s">
        <v>276</v>
      </c>
      <c r="M53" t="s">
        <v>403</v>
      </c>
      <c r="N53" t="s">
        <v>276</v>
      </c>
      <c r="P53" t="s">
        <v>260</v>
      </c>
      <c r="Q53" t="s">
        <v>260</v>
      </c>
      <c r="R53" t="s">
        <v>261</v>
      </c>
      <c r="S53" t="s">
        <v>21</v>
      </c>
      <c r="T53">
        <v>100</v>
      </c>
      <c r="W53" t="s">
        <v>262</v>
      </c>
      <c r="X53">
        <v>-41.280732</v>
      </c>
      <c r="Y53">
        <v>174.77936800000001</v>
      </c>
      <c r="Z53">
        <v>302</v>
      </c>
      <c r="AA53" s="9">
        <v>42917</v>
      </c>
    </row>
    <row r="54" spans="1:28" x14ac:dyDescent="0.3">
      <c r="A54" t="s">
        <v>21</v>
      </c>
      <c r="B54" t="s">
        <v>483</v>
      </c>
      <c r="C54" t="s">
        <v>270</v>
      </c>
      <c r="D54" t="s">
        <v>484</v>
      </c>
      <c r="E54">
        <v>5210</v>
      </c>
      <c r="G54" t="s">
        <v>485</v>
      </c>
      <c r="H54" t="s">
        <v>486</v>
      </c>
      <c r="I54" t="s">
        <v>403</v>
      </c>
      <c r="J54" t="s">
        <v>403</v>
      </c>
      <c r="K54">
        <v>6011</v>
      </c>
      <c r="L54" t="s">
        <v>276</v>
      </c>
      <c r="M54" t="s">
        <v>403</v>
      </c>
      <c r="N54" t="s">
        <v>276</v>
      </c>
      <c r="P54" t="s">
        <v>260</v>
      </c>
      <c r="Q54" t="s">
        <v>260</v>
      </c>
      <c r="R54" t="s">
        <v>261</v>
      </c>
      <c r="S54" t="s">
        <v>21</v>
      </c>
      <c r="T54">
        <v>100</v>
      </c>
      <c r="W54" t="s">
        <v>262</v>
      </c>
      <c r="X54">
        <v>-41.292406999999997</v>
      </c>
      <c r="Y54">
        <v>174.78313299999999</v>
      </c>
      <c r="Z54">
        <v>301</v>
      </c>
      <c r="AA54" s="9">
        <v>42917</v>
      </c>
    </row>
    <row r="55" spans="1:28" x14ac:dyDescent="0.3">
      <c r="A55" t="s">
        <v>21</v>
      </c>
      <c r="B55" t="s">
        <v>487</v>
      </c>
      <c r="C55" t="s">
        <v>448</v>
      </c>
      <c r="D55" t="s">
        <v>449</v>
      </c>
      <c r="E55">
        <v>5258</v>
      </c>
      <c r="G55" t="s">
        <v>488</v>
      </c>
      <c r="M55" t="s">
        <v>403</v>
      </c>
      <c r="N55" t="s">
        <v>276</v>
      </c>
      <c r="P55" t="s">
        <v>260</v>
      </c>
      <c r="Q55" t="s">
        <v>260</v>
      </c>
      <c r="R55" t="s">
        <v>261</v>
      </c>
      <c r="S55" t="s">
        <v>21</v>
      </c>
      <c r="T55">
        <v>100</v>
      </c>
      <c r="W55" t="s">
        <v>262</v>
      </c>
    </row>
    <row r="56" spans="1:28" x14ac:dyDescent="0.3">
      <c r="A56" t="s">
        <v>21</v>
      </c>
      <c r="B56" t="s">
        <v>489</v>
      </c>
      <c r="C56" t="s">
        <v>289</v>
      </c>
      <c r="D56" t="s">
        <v>490</v>
      </c>
      <c r="G56" t="s">
        <v>491</v>
      </c>
      <c r="H56" t="s">
        <v>492</v>
      </c>
      <c r="I56" t="s">
        <v>493</v>
      </c>
      <c r="J56" t="s">
        <v>335</v>
      </c>
      <c r="K56">
        <v>3175</v>
      </c>
      <c r="M56" t="s">
        <v>282</v>
      </c>
      <c r="N56" t="s">
        <v>259</v>
      </c>
      <c r="P56" t="s">
        <v>260</v>
      </c>
      <c r="Q56" t="s">
        <v>260</v>
      </c>
      <c r="R56" t="s">
        <v>293</v>
      </c>
      <c r="S56" t="s">
        <v>21</v>
      </c>
      <c r="T56">
        <v>100</v>
      </c>
      <c r="W56" t="s">
        <v>262</v>
      </c>
      <c r="Z56">
        <v>696</v>
      </c>
    </row>
    <row r="57" spans="1:28" ht="225" customHeight="1" x14ac:dyDescent="0.3">
      <c r="A57" t="s">
        <v>21</v>
      </c>
      <c r="B57" t="s">
        <v>494</v>
      </c>
      <c r="C57" t="s">
        <v>299</v>
      </c>
      <c r="D57" t="s">
        <v>495</v>
      </c>
      <c r="E57">
        <v>8020</v>
      </c>
      <c r="F57">
        <v>8020</v>
      </c>
      <c r="G57" s="10" t="s">
        <v>496</v>
      </c>
      <c r="H57" t="s">
        <v>497</v>
      </c>
      <c r="I57" t="s">
        <v>322</v>
      </c>
      <c r="J57" t="s">
        <v>318</v>
      </c>
      <c r="K57">
        <v>4008</v>
      </c>
      <c r="L57" t="s">
        <v>259</v>
      </c>
      <c r="M57" t="s">
        <v>322</v>
      </c>
      <c r="N57" t="s">
        <v>259</v>
      </c>
      <c r="P57" t="s">
        <v>260</v>
      </c>
      <c r="Q57" t="s">
        <v>260</v>
      </c>
      <c r="R57" t="s">
        <v>261</v>
      </c>
      <c r="S57" t="s">
        <v>21</v>
      </c>
      <c r="T57">
        <v>100</v>
      </c>
      <c r="W57" t="s">
        <v>262</v>
      </c>
      <c r="X57">
        <v>-27.414473999999998</v>
      </c>
      <c r="Y57">
        <v>153.091364</v>
      </c>
      <c r="Z57">
        <v>310</v>
      </c>
      <c r="AB57" s="9">
        <v>44377</v>
      </c>
    </row>
    <row r="58" spans="1:28" x14ac:dyDescent="0.3">
      <c r="A58" t="s">
        <v>21</v>
      </c>
      <c r="B58" t="s">
        <v>498</v>
      </c>
      <c r="C58" t="s">
        <v>499</v>
      </c>
      <c r="D58" t="s">
        <v>500</v>
      </c>
      <c r="E58">
        <v>31</v>
      </c>
      <c r="H58" t="s">
        <v>501</v>
      </c>
      <c r="I58" t="s">
        <v>502</v>
      </c>
      <c r="J58" t="s">
        <v>503</v>
      </c>
      <c r="K58">
        <v>6725</v>
      </c>
      <c r="L58" t="s">
        <v>259</v>
      </c>
      <c r="M58" t="s">
        <v>503</v>
      </c>
      <c r="N58" t="s">
        <v>259</v>
      </c>
      <c r="P58" t="s">
        <v>260</v>
      </c>
      <c r="Q58" t="s">
        <v>260</v>
      </c>
      <c r="R58" t="s">
        <v>261</v>
      </c>
      <c r="S58" t="s">
        <v>21</v>
      </c>
      <c r="T58">
        <v>100</v>
      </c>
      <c r="W58" t="s">
        <v>262</v>
      </c>
      <c r="X58">
        <v>-17.988226000000001</v>
      </c>
      <c r="Y58">
        <v>122.202073</v>
      </c>
      <c r="Z58">
        <v>310</v>
      </c>
    </row>
    <row r="59" spans="1:28" x14ac:dyDescent="0.3">
      <c r="A59" t="s">
        <v>21</v>
      </c>
      <c r="B59" t="s">
        <v>504</v>
      </c>
      <c r="C59" t="s">
        <v>299</v>
      </c>
      <c r="D59" t="s">
        <v>505</v>
      </c>
      <c r="E59">
        <v>36</v>
      </c>
      <c r="G59" t="s">
        <v>506</v>
      </c>
      <c r="H59" t="s">
        <v>507</v>
      </c>
      <c r="I59" t="s">
        <v>508</v>
      </c>
      <c r="J59" t="s">
        <v>366</v>
      </c>
      <c r="K59">
        <v>2142</v>
      </c>
      <c r="L59" t="s">
        <v>259</v>
      </c>
      <c r="M59" t="s">
        <v>312</v>
      </c>
      <c r="N59" t="s">
        <v>259</v>
      </c>
      <c r="P59" t="s">
        <v>260</v>
      </c>
      <c r="Q59" t="s">
        <v>260</v>
      </c>
      <c r="R59" t="s">
        <v>261</v>
      </c>
      <c r="S59" t="s">
        <v>21</v>
      </c>
      <c r="T59">
        <v>100</v>
      </c>
      <c r="W59" t="s">
        <v>262</v>
      </c>
      <c r="X59">
        <v>-33.819000000000003</v>
      </c>
      <c r="Y59">
        <v>151.03200000000001</v>
      </c>
      <c r="Z59">
        <v>310</v>
      </c>
    </row>
    <row r="60" spans="1:28" x14ac:dyDescent="0.3">
      <c r="A60" t="s">
        <v>21</v>
      </c>
      <c r="B60" t="s">
        <v>509</v>
      </c>
      <c r="C60" t="s">
        <v>270</v>
      </c>
      <c r="D60" t="s">
        <v>510</v>
      </c>
      <c r="E60" t="s">
        <v>510</v>
      </c>
      <c r="F60">
        <v>40</v>
      </c>
      <c r="H60" t="s">
        <v>511</v>
      </c>
      <c r="I60" t="s">
        <v>512</v>
      </c>
      <c r="J60" t="s">
        <v>503</v>
      </c>
      <c r="K60">
        <v>6155</v>
      </c>
      <c r="L60" t="s">
        <v>259</v>
      </c>
      <c r="M60" t="s">
        <v>503</v>
      </c>
      <c r="N60" t="s">
        <v>259</v>
      </c>
      <c r="P60" t="s">
        <v>260</v>
      </c>
      <c r="Q60" t="s">
        <v>260</v>
      </c>
      <c r="R60" t="s">
        <v>513</v>
      </c>
      <c r="S60" t="s">
        <v>21</v>
      </c>
      <c r="T60">
        <v>100</v>
      </c>
      <c r="W60" t="s">
        <v>262</v>
      </c>
      <c r="X60">
        <v>-32.061556000000003</v>
      </c>
      <c r="Y60">
        <v>115.927723</v>
      </c>
      <c r="Z60">
        <v>239</v>
      </c>
      <c r="AA60" s="9">
        <v>40360</v>
      </c>
      <c r="AB60" s="9">
        <v>43281</v>
      </c>
    </row>
    <row r="61" spans="1:28" x14ac:dyDescent="0.3">
      <c r="A61" t="s">
        <v>21</v>
      </c>
      <c r="B61" t="s">
        <v>514</v>
      </c>
      <c r="C61" t="s">
        <v>289</v>
      </c>
      <c r="D61" t="s">
        <v>515</v>
      </c>
      <c r="E61">
        <v>9046</v>
      </c>
      <c r="H61" t="s">
        <v>516</v>
      </c>
      <c r="I61" t="s">
        <v>517</v>
      </c>
      <c r="J61" t="s">
        <v>366</v>
      </c>
      <c r="K61">
        <v>2263</v>
      </c>
      <c r="L61" t="s">
        <v>259</v>
      </c>
      <c r="M61" t="s">
        <v>312</v>
      </c>
      <c r="N61" t="s">
        <v>259</v>
      </c>
      <c r="P61" t="s">
        <v>260</v>
      </c>
      <c r="Q61" t="s">
        <v>260</v>
      </c>
      <c r="R61" t="s">
        <v>268</v>
      </c>
      <c r="S61" t="s">
        <v>21</v>
      </c>
      <c r="T61">
        <v>100</v>
      </c>
      <c r="W61" t="s">
        <v>262</v>
      </c>
      <c r="X61">
        <v>-33.238376000000002</v>
      </c>
      <c r="Y61">
        <v>151.49433200000001</v>
      </c>
      <c r="Z61">
        <v>692</v>
      </c>
      <c r="AB61" s="9">
        <v>45473</v>
      </c>
    </row>
    <row r="62" spans="1:28" x14ac:dyDescent="0.3">
      <c r="A62" t="s">
        <v>21</v>
      </c>
      <c r="B62" t="s">
        <v>518</v>
      </c>
      <c r="C62" t="s">
        <v>439</v>
      </c>
      <c r="D62" t="s">
        <v>519</v>
      </c>
      <c r="E62" t="s">
        <v>520</v>
      </c>
      <c r="G62" t="s">
        <v>521</v>
      </c>
      <c r="M62" t="s">
        <v>522</v>
      </c>
      <c r="N62" t="s">
        <v>259</v>
      </c>
      <c r="P62" t="s">
        <v>260</v>
      </c>
      <c r="Q62" t="s">
        <v>260</v>
      </c>
      <c r="R62" t="s">
        <v>283</v>
      </c>
      <c r="S62" t="s">
        <v>21</v>
      </c>
      <c r="T62">
        <v>100</v>
      </c>
      <c r="W62" t="s">
        <v>262</v>
      </c>
      <c r="AB62" s="9">
        <v>45632</v>
      </c>
    </row>
    <row r="63" spans="1:28" x14ac:dyDescent="0.3">
      <c r="A63" t="s">
        <v>21</v>
      </c>
      <c r="B63" t="s">
        <v>523</v>
      </c>
      <c r="C63" t="s">
        <v>299</v>
      </c>
      <c r="D63" t="s">
        <v>524</v>
      </c>
      <c r="E63">
        <v>6008</v>
      </c>
      <c r="H63" t="s">
        <v>525</v>
      </c>
      <c r="I63" t="s">
        <v>526</v>
      </c>
      <c r="J63" t="s">
        <v>335</v>
      </c>
      <c r="K63">
        <v>3000</v>
      </c>
      <c r="M63" t="s">
        <v>282</v>
      </c>
      <c r="N63" t="s">
        <v>259</v>
      </c>
      <c r="P63" t="s">
        <v>260</v>
      </c>
      <c r="Q63" t="s">
        <v>260</v>
      </c>
      <c r="R63" t="s">
        <v>308</v>
      </c>
      <c r="S63" t="s">
        <v>21</v>
      </c>
      <c r="T63">
        <v>100</v>
      </c>
      <c r="V63" s="9">
        <v>45199</v>
      </c>
      <c r="W63" t="s">
        <v>262</v>
      </c>
      <c r="X63">
        <v>-37.818120999999998</v>
      </c>
      <c r="Y63">
        <v>144.95728</v>
      </c>
      <c r="Z63">
        <v>692</v>
      </c>
    </row>
    <row r="64" spans="1:28" x14ac:dyDescent="0.3">
      <c r="A64" t="s">
        <v>21</v>
      </c>
      <c r="B64" t="s">
        <v>527</v>
      </c>
      <c r="C64" t="s">
        <v>528</v>
      </c>
      <c r="D64" t="s">
        <v>529</v>
      </c>
      <c r="M64" t="s">
        <v>267</v>
      </c>
      <c r="N64" t="s">
        <v>259</v>
      </c>
      <c r="P64" t="s">
        <v>260</v>
      </c>
      <c r="Q64" t="s">
        <v>260</v>
      </c>
      <c r="R64" t="s">
        <v>283</v>
      </c>
      <c r="S64" t="s">
        <v>21</v>
      </c>
      <c r="T64">
        <v>100</v>
      </c>
      <c r="W64" t="s">
        <v>262</v>
      </c>
      <c r="AB64" s="9">
        <v>44742</v>
      </c>
    </row>
    <row r="65" spans="1:28" x14ac:dyDescent="0.3">
      <c r="A65" t="s">
        <v>21</v>
      </c>
      <c r="B65" t="s">
        <v>530</v>
      </c>
      <c r="C65" t="s">
        <v>299</v>
      </c>
      <c r="D65" t="s">
        <v>531</v>
      </c>
      <c r="E65">
        <v>7035</v>
      </c>
      <c r="H65" t="s">
        <v>366</v>
      </c>
      <c r="I65" t="s">
        <v>366</v>
      </c>
      <c r="M65" t="s">
        <v>312</v>
      </c>
      <c r="N65" t="s">
        <v>259</v>
      </c>
      <c r="P65" t="s">
        <v>260</v>
      </c>
      <c r="Q65" t="s">
        <v>260</v>
      </c>
      <c r="R65" t="s">
        <v>283</v>
      </c>
      <c r="S65" t="s">
        <v>21</v>
      </c>
      <c r="T65">
        <v>100</v>
      </c>
      <c r="W65" t="s">
        <v>262</v>
      </c>
      <c r="Z65">
        <v>310</v>
      </c>
      <c r="AB65" s="9">
        <v>43921</v>
      </c>
    </row>
    <row r="66" spans="1:28" x14ac:dyDescent="0.3">
      <c r="A66" t="s">
        <v>21</v>
      </c>
      <c r="B66" t="s">
        <v>532</v>
      </c>
      <c r="C66" t="s">
        <v>528</v>
      </c>
      <c r="D66" t="s">
        <v>533</v>
      </c>
      <c r="E66">
        <v>7014</v>
      </c>
      <c r="H66" t="s">
        <v>534</v>
      </c>
      <c r="I66" t="s">
        <v>411</v>
      </c>
      <c r="J66" t="s">
        <v>366</v>
      </c>
      <c r="K66">
        <v>2113</v>
      </c>
      <c r="L66" t="s">
        <v>259</v>
      </c>
      <c r="M66" t="s">
        <v>312</v>
      </c>
      <c r="N66" t="s">
        <v>259</v>
      </c>
      <c r="P66" t="s">
        <v>260</v>
      </c>
      <c r="Q66" t="s">
        <v>260</v>
      </c>
      <c r="R66" t="s">
        <v>283</v>
      </c>
      <c r="S66" t="s">
        <v>21</v>
      </c>
      <c r="T66">
        <v>100</v>
      </c>
      <c r="W66" t="s">
        <v>262</v>
      </c>
      <c r="X66">
        <v>-33.823624000000002</v>
      </c>
      <c r="Y66">
        <v>151.12253799999999</v>
      </c>
      <c r="Z66">
        <v>310</v>
      </c>
      <c r="AB66" s="9">
        <v>45107</v>
      </c>
    </row>
    <row r="67" spans="1:28" x14ac:dyDescent="0.3">
      <c r="A67" t="s">
        <v>21</v>
      </c>
      <c r="B67" t="s">
        <v>535</v>
      </c>
      <c r="C67" t="s">
        <v>528</v>
      </c>
      <c r="D67" t="s">
        <v>536</v>
      </c>
      <c r="M67" t="s">
        <v>537</v>
      </c>
      <c r="N67" t="s">
        <v>259</v>
      </c>
      <c r="P67" t="s">
        <v>260</v>
      </c>
      <c r="Q67" t="s">
        <v>260</v>
      </c>
      <c r="R67" t="s">
        <v>283</v>
      </c>
      <c r="S67" t="s">
        <v>21</v>
      </c>
      <c r="T67">
        <v>100</v>
      </c>
      <c r="W67" t="s">
        <v>262</v>
      </c>
      <c r="AB67" s="9">
        <v>44742</v>
      </c>
    </row>
    <row r="68" spans="1:28" x14ac:dyDescent="0.3">
      <c r="A68" t="s">
        <v>21</v>
      </c>
      <c r="B68" t="s">
        <v>538</v>
      </c>
      <c r="C68" t="s">
        <v>539</v>
      </c>
      <c r="D68" t="s">
        <v>540</v>
      </c>
      <c r="E68">
        <v>7015</v>
      </c>
      <c r="H68" t="s">
        <v>541</v>
      </c>
      <c r="I68" t="s">
        <v>542</v>
      </c>
      <c r="J68" t="s">
        <v>318</v>
      </c>
      <c r="K68">
        <v>4102</v>
      </c>
      <c r="L68" t="s">
        <v>259</v>
      </c>
      <c r="M68" t="s">
        <v>302</v>
      </c>
      <c r="N68" t="s">
        <v>259</v>
      </c>
      <c r="P68" t="s">
        <v>260</v>
      </c>
      <c r="Q68" t="s">
        <v>260</v>
      </c>
      <c r="R68" t="s">
        <v>283</v>
      </c>
      <c r="S68" t="s">
        <v>21</v>
      </c>
      <c r="T68">
        <v>100</v>
      </c>
      <c r="W68" t="s">
        <v>262</v>
      </c>
      <c r="X68">
        <v>-27.495134</v>
      </c>
      <c r="Y68">
        <v>153.03398200000001</v>
      </c>
      <c r="Z68">
        <v>310</v>
      </c>
      <c r="AB68" s="9">
        <v>44742</v>
      </c>
    </row>
    <row r="69" spans="1:28" x14ac:dyDescent="0.3">
      <c r="A69" t="s">
        <v>21</v>
      </c>
      <c r="B69" t="s">
        <v>543</v>
      </c>
      <c r="C69" t="s">
        <v>539</v>
      </c>
      <c r="D69" t="s">
        <v>544</v>
      </c>
      <c r="E69">
        <v>7025</v>
      </c>
      <c r="H69" t="s">
        <v>545</v>
      </c>
      <c r="I69" t="s">
        <v>546</v>
      </c>
      <c r="J69" t="s">
        <v>305</v>
      </c>
      <c r="K69">
        <v>5065</v>
      </c>
      <c r="L69" t="s">
        <v>259</v>
      </c>
      <c r="M69" t="s">
        <v>307</v>
      </c>
      <c r="N69" t="s">
        <v>259</v>
      </c>
      <c r="P69" t="s">
        <v>260</v>
      </c>
      <c r="Q69" t="s">
        <v>260</v>
      </c>
      <c r="R69" t="s">
        <v>283</v>
      </c>
      <c r="S69" t="s">
        <v>21</v>
      </c>
      <c r="T69">
        <v>100</v>
      </c>
      <c r="W69" t="s">
        <v>262</v>
      </c>
      <c r="X69">
        <v>-34.859690000000001</v>
      </c>
      <c r="Y69">
        <v>138.572406</v>
      </c>
      <c r="Z69">
        <v>310</v>
      </c>
      <c r="AB69" s="9">
        <v>44926</v>
      </c>
    </row>
    <row r="70" spans="1:28" x14ac:dyDescent="0.3">
      <c r="A70" t="s">
        <v>21</v>
      </c>
      <c r="B70" t="s">
        <v>547</v>
      </c>
      <c r="C70" t="s">
        <v>528</v>
      </c>
      <c r="D70" t="s">
        <v>548</v>
      </c>
      <c r="M70" t="s">
        <v>257</v>
      </c>
      <c r="N70" t="s">
        <v>259</v>
      </c>
      <c r="P70" t="s">
        <v>260</v>
      </c>
      <c r="Q70" t="s">
        <v>260</v>
      </c>
      <c r="R70" t="s">
        <v>283</v>
      </c>
      <c r="S70" t="s">
        <v>21</v>
      </c>
      <c r="T70">
        <v>100</v>
      </c>
      <c r="W70" t="s">
        <v>262</v>
      </c>
      <c r="AB70" s="9">
        <v>44742</v>
      </c>
    </row>
    <row r="71" spans="1:28" x14ac:dyDescent="0.3">
      <c r="A71" t="s">
        <v>21</v>
      </c>
      <c r="B71" t="s">
        <v>549</v>
      </c>
      <c r="C71" t="s">
        <v>539</v>
      </c>
      <c r="D71" t="s">
        <v>550</v>
      </c>
      <c r="E71">
        <v>7016</v>
      </c>
      <c r="H71" t="s">
        <v>551</v>
      </c>
      <c r="I71" t="s">
        <v>526</v>
      </c>
      <c r="J71" t="s">
        <v>335</v>
      </c>
      <c r="K71">
        <v>3000</v>
      </c>
      <c r="L71" t="s">
        <v>259</v>
      </c>
      <c r="M71" t="s">
        <v>282</v>
      </c>
      <c r="N71" t="s">
        <v>259</v>
      </c>
      <c r="P71" t="s">
        <v>260</v>
      </c>
      <c r="Q71" t="s">
        <v>260</v>
      </c>
      <c r="R71" t="s">
        <v>283</v>
      </c>
      <c r="S71" t="s">
        <v>21</v>
      </c>
      <c r="T71">
        <v>100</v>
      </c>
      <c r="W71" t="s">
        <v>262</v>
      </c>
      <c r="X71">
        <v>-37.819015</v>
      </c>
      <c r="Y71">
        <v>144.95576199999999</v>
      </c>
      <c r="Z71">
        <v>310</v>
      </c>
      <c r="AB71" s="9">
        <v>44742</v>
      </c>
    </row>
    <row r="72" spans="1:28" x14ac:dyDescent="0.3">
      <c r="A72" t="s">
        <v>21</v>
      </c>
      <c r="B72" t="s">
        <v>552</v>
      </c>
      <c r="C72" t="s">
        <v>539</v>
      </c>
      <c r="D72" t="s">
        <v>553</v>
      </c>
      <c r="E72">
        <v>7026</v>
      </c>
      <c r="H72" t="s">
        <v>554</v>
      </c>
      <c r="I72" t="s">
        <v>512</v>
      </c>
      <c r="J72" t="s">
        <v>555</v>
      </c>
      <c r="K72">
        <v>6155</v>
      </c>
      <c r="L72" t="s">
        <v>259</v>
      </c>
      <c r="M72" t="s">
        <v>503</v>
      </c>
      <c r="N72" t="s">
        <v>259</v>
      </c>
      <c r="P72" t="s">
        <v>260</v>
      </c>
      <c r="Q72" t="s">
        <v>260</v>
      </c>
      <c r="R72" t="s">
        <v>283</v>
      </c>
      <c r="S72" t="s">
        <v>21</v>
      </c>
      <c r="T72">
        <v>100</v>
      </c>
      <c r="W72" t="s">
        <v>262</v>
      </c>
      <c r="X72">
        <v>-32.071835999999998</v>
      </c>
      <c r="Y72">
        <v>115.91158799999999</v>
      </c>
      <c r="Z72">
        <v>310</v>
      </c>
      <c r="AB72" s="9">
        <v>44742</v>
      </c>
    </row>
    <row r="73" spans="1:28" x14ac:dyDescent="0.3">
      <c r="A73" t="s">
        <v>21</v>
      </c>
      <c r="B73" t="s">
        <v>556</v>
      </c>
      <c r="C73" t="s">
        <v>557</v>
      </c>
      <c r="D73" t="s">
        <v>558</v>
      </c>
      <c r="M73" t="s">
        <v>257</v>
      </c>
      <c r="N73" t="s">
        <v>259</v>
      </c>
      <c r="P73" t="s">
        <v>260</v>
      </c>
      <c r="Q73" t="s">
        <v>260</v>
      </c>
      <c r="R73" t="s">
        <v>261</v>
      </c>
      <c r="S73" t="s">
        <v>21</v>
      </c>
      <c r="T73">
        <v>100</v>
      </c>
      <c r="W73" t="s">
        <v>262</v>
      </c>
      <c r="AB73" s="9">
        <v>45473</v>
      </c>
    </row>
    <row r="74" spans="1:28" x14ac:dyDescent="0.3">
      <c r="A74" t="s">
        <v>21</v>
      </c>
      <c r="B74" t="s">
        <v>559</v>
      </c>
      <c r="C74" t="s">
        <v>560</v>
      </c>
      <c r="D74" t="s">
        <v>561</v>
      </c>
      <c r="E74">
        <v>9029</v>
      </c>
      <c r="H74" t="s">
        <v>562</v>
      </c>
      <c r="I74" t="s">
        <v>526</v>
      </c>
      <c r="J74" t="s">
        <v>335</v>
      </c>
      <c r="K74">
        <v>3004</v>
      </c>
      <c r="M74" t="s">
        <v>282</v>
      </c>
      <c r="N74" t="s">
        <v>259</v>
      </c>
      <c r="P74" t="s">
        <v>260</v>
      </c>
      <c r="Q74" t="s">
        <v>260</v>
      </c>
      <c r="R74" t="s">
        <v>293</v>
      </c>
      <c r="S74" t="s">
        <v>21</v>
      </c>
      <c r="T74">
        <v>100</v>
      </c>
      <c r="W74" t="s">
        <v>262</v>
      </c>
      <c r="X74">
        <v>-37.846581</v>
      </c>
      <c r="Y74">
        <v>144.97995700000001</v>
      </c>
      <c r="Z74">
        <v>729</v>
      </c>
      <c r="AB74" s="9">
        <v>45596</v>
      </c>
    </row>
    <row r="75" spans="1:28" x14ac:dyDescent="0.3">
      <c r="A75" t="s">
        <v>21</v>
      </c>
      <c r="B75" t="s">
        <v>563</v>
      </c>
      <c r="C75" t="s">
        <v>289</v>
      </c>
      <c r="D75" t="s">
        <v>564</v>
      </c>
      <c r="E75" t="s">
        <v>564</v>
      </c>
      <c r="H75" t="s">
        <v>565</v>
      </c>
      <c r="I75" t="s">
        <v>566</v>
      </c>
      <c r="J75" t="s">
        <v>318</v>
      </c>
      <c r="K75">
        <v>4006</v>
      </c>
      <c r="M75" t="s">
        <v>302</v>
      </c>
      <c r="N75" t="s">
        <v>259</v>
      </c>
      <c r="P75" t="s">
        <v>260</v>
      </c>
      <c r="Q75" t="s">
        <v>260</v>
      </c>
      <c r="R75" t="s">
        <v>293</v>
      </c>
      <c r="S75" t="s">
        <v>21</v>
      </c>
      <c r="T75">
        <v>100</v>
      </c>
      <c r="W75" t="s">
        <v>262</v>
      </c>
      <c r="X75">
        <v>-27.456261999999999</v>
      </c>
      <c r="Y75">
        <v>153.03891899999999</v>
      </c>
      <c r="Z75">
        <v>696</v>
      </c>
    </row>
    <row r="76" spans="1:28" x14ac:dyDescent="0.3">
      <c r="A76" t="s">
        <v>21</v>
      </c>
      <c r="B76" t="s">
        <v>567</v>
      </c>
      <c r="C76" t="s">
        <v>289</v>
      </c>
      <c r="D76" t="s">
        <v>568</v>
      </c>
      <c r="E76">
        <v>9028</v>
      </c>
      <c r="H76" t="s">
        <v>569</v>
      </c>
      <c r="I76" t="s">
        <v>570</v>
      </c>
      <c r="J76" t="s">
        <v>555</v>
      </c>
      <c r="K76">
        <v>6105</v>
      </c>
      <c r="M76" t="s">
        <v>503</v>
      </c>
      <c r="N76" t="s">
        <v>259</v>
      </c>
      <c r="P76" t="s">
        <v>260</v>
      </c>
      <c r="Q76" t="s">
        <v>260</v>
      </c>
      <c r="R76" t="s">
        <v>293</v>
      </c>
      <c r="S76" t="s">
        <v>21</v>
      </c>
      <c r="T76">
        <v>100</v>
      </c>
      <c r="W76" t="s">
        <v>262</v>
      </c>
      <c r="X76">
        <v>-31.973943999999999</v>
      </c>
      <c r="Y76">
        <v>115.950557</v>
      </c>
      <c r="Z76">
        <v>729</v>
      </c>
    </row>
    <row r="77" spans="1:28" x14ac:dyDescent="0.3">
      <c r="A77" t="s">
        <v>21</v>
      </c>
      <c r="B77" t="s">
        <v>571</v>
      </c>
      <c r="C77" t="s">
        <v>289</v>
      </c>
      <c r="D77" t="s">
        <v>572</v>
      </c>
      <c r="E77">
        <v>9030</v>
      </c>
      <c r="G77" t="s">
        <v>573</v>
      </c>
      <c r="H77" t="s">
        <v>574</v>
      </c>
      <c r="I77" t="s">
        <v>575</v>
      </c>
      <c r="J77" t="s">
        <v>258</v>
      </c>
      <c r="K77">
        <v>7009</v>
      </c>
      <c r="M77" t="s">
        <v>257</v>
      </c>
      <c r="N77" t="s">
        <v>259</v>
      </c>
      <c r="P77" t="s">
        <v>260</v>
      </c>
      <c r="Q77" t="s">
        <v>260</v>
      </c>
      <c r="R77" t="s">
        <v>293</v>
      </c>
      <c r="S77" t="s">
        <v>21</v>
      </c>
      <c r="T77">
        <v>100</v>
      </c>
      <c r="W77" t="s">
        <v>262</v>
      </c>
      <c r="X77">
        <v>-42.845115</v>
      </c>
      <c r="Y77">
        <v>147.293125</v>
      </c>
      <c r="Z77">
        <v>729</v>
      </c>
      <c r="AB77" s="9">
        <v>44075</v>
      </c>
    </row>
    <row r="78" spans="1:28" x14ac:dyDescent="0.3">
      <c r="A78" t="s">
        <v>21</v>
      </c>
      <c r="B78" t="s">
        <v>576</v>
      </c>
      <c r="C78" t="s">
        <v>289</v>
      </c>
      <c r="D78" t="s">
        <v>577</v>
      </c>
      <c r="E78">
        <v>9023</v>
      </c>
      <c r="G78" t="s">
        <v>578</v>
      </c>
      <c r="H78" t="s">
        <v>579</v>
      </c>
      <c r="I78" t="s">
        <v>580</v>
      </c>
      <c r="J78" t="s">
        <v>366</v>
      </c>
      <c r="K78">
        <v>2285</v>
      </c>
      <c r="M78" t="s">
        <v>312</v>
      </c>
      <c r="N78" t="s">
        <v>259</v>
      </c>
      <c r="P78" t="s">
        <v>260</v>
      </c>
      <c r="Q78" t="s">
        <v>260</v>
      </c>
      <c r="R78" t="s">
        <v>293</v>
      </c>
      <c r="S78" t="s">
        <v>21</v>
      </c>
      <c r="T78">
        <v>100</v>
      </c>
      <c r="W78" t="s">
        <v>262</v>
      </c>
      <c r="X78">
        <v>-32.943041999999998</v>
      </c>
      <c r="Y78">
        <v>151.63910999999999</v>
      </c>
      <c r="Z78">
        <v>696</v>
      </c>
      <c r="AB78" s="9">
        <v>41783</v>
      </c>
    </row>
    <row r="79" spans="1:28" x14ac:dyDescent="0.3">
      <c r="A79" t="s">
        <v>21</v>
      </c>
      <c r="B79" t="s">
        <v>581</v>
      </c>
      <c r="C79" t="s">
        <v>289</v>
      </c>
      <c r="D79" t="s">
        <v>296</v>
      </c>
      <c r="E79" t="s">
        <v>296</v>
      </c>
      <c r="H79" t="s">
        <v>582</v>
      </c>
      <c r="I79" t="s">
        <v>583</v>
      </c>
      <c r="J79" t="s">
        <v>366</v>
      </c>
      <c r="K79">
        <v>2138</v>
      </c>
      <c r="L79" t="s">
        <v>259</v>
      </c>
      <c r="M79" t="s">
        <v>312</v>
      </c>
      <c r="N79" t="s">
        <v>259</v>
      </c>
      <c r="P79" t="s">
        <v>260</v>
      </c>
      <c r="Q79" t="s">
        <v>260</v>
      </c>
      <c r="R79" t="s">
        <v>293</v>
      </c>
      <c r="S79" t="s">
        <v>21</v>
      </c>
      <c r="T79">
        <v>100</v>
      </c>
      <c r="W79" t="s">
        <v>262</v>
      </c>
      <c r="X79">
        <v>-33.832374000000002</v>
      </c>
      <c r="Y79">
        <v>151.086164</v>
      </c>
      <c r="Z79">
        <v>729</v>
      </c>
      <c r="AB79" s="9">
        <v>44943</v>
      </c>
    </row>
    <row r="80" spans="1:28" x14ac:dyDescent="0.3">
      <c r="A80" t="s">
        <v>21</v>
      </c>
      <c r="B80" t="s">
        <v>584</v>
      </c>
      <c r="C80" t="s">
        <v>289</v>
      </c>
      <c r="D80" t="s">
        <v>585</v>
      </c>
      <c r="E80" t="s">
        <v>585</v>
      </c>
      <c r="H80" t="s">
        <v>586</v>
      </c>
      <c r="I80" t="s">
        <v>583</v>
      </c>
      <c r="J80" t="s">
        <v>366</v>
      </c>
      <c r="K80">
        <v>2138</v>
      </c>
      <c r="M80" t="s">
        <v>312</v>
      </c>
      <c r="N80" t="s">
        <v>259</v>
      </c>
      <c r="P80" t="s">
        <v>260</v>
      </c>
      <c r="Q80" t="s">
        <v>260</v>
      </c>
      <c r="R80" t="s">
        <v>293</v>
      </c>
      <c r="S80" t="s">
        <v>21</v>
      </c>
      <c r="T80">
        <v>100</v>
      </c>
      <c r="W80" t="s">
        <v>262</v>
      </c>
    </row>
    <row r="81" spans="1:28" x14ac:dyDescent="0.3">
      <c r="A81" t="s">
        <v>21</v>
      </c>
      <c r="B81" t="s">
        <v>587</v>
      </c>
      <c r="C81" t="s">
        <v>289</v>
      </c>
      <c r="D81" t="s">
        <v>588</v>
      </c>
      <c r="H81" t="s">
        <v>589</v>
      </c>
      <c r="I81" t="s">
        <v>590</v>
      </c>
      <c r="J81" t="s">
        <v>366</v>
      </c>
      <c r="K81">
        <v>2285</v>
      </c>
      <c r="M81" t="s">
        <v>312</v>
      </c>
      <c r="N81" t="s">
        <v>259</v>
      </c>
      <c r="P81" t="s">
        <v>260</v>
      </c>
      <c r="Q81" t="s">
        <v>260</v>
      </c>
      <c r="R81" t="s">
        <v>268</v>
      </c>
      <c r="S81" t="s">
        <v>21</v>
      </c>
      <c r="T81">
        <v>100</v>
      </c>
      <c r="W81" t="s">
        <v>262</v>
      </c>
      <c r="Z81">
        <v>696</v>
      </c>
    </row>
    <row r="82" spans="1:28" x14ac:dyDescent="0.3">
      <c r="A82" t="s">
        <v>21</v>
      </c>
      <c r="B82" t="s">
        <v>591</v>
      </c>
      <c r="C82" t="s">
        <v>289</v>
      </c>
      <c r="D82" t="s">
        <v>592</v>
      </c>
      <c r="H82" t="s">
        <v>593</v>
      </c>
      <c r="I82" t="s">
        <v>594</v>
      </c>
      <c r="J82" t="s">
        <v>318</v>
      </c>
      <c r="K82">
        <v>4211</v>
      </c>
      <c r="M82" t="s">
        <v>302</v>
      </c>
      <c r="N82" t="s">
        <v>259</v>
      </c>
      <c r="P82" t="s">
        <v>260</v>
      </c>
      <c r="Q82" t="s">
        <v>260</v>
      </c>
      <c r="R82" t="s">
        <v>268</v>
      </c>
      <c r="S82" t="s">
        <v>21</v>
      </c>
      <c r="T82">
        <v>100</v>
      </c>
      <c r="W82" t="s">
        <v>262</v>
      </c>
      <c r="Z82">
        <v>696</v>
      </c>
    </row>
    <row r="83" spans="1:28" x14ac:dyDescent="0.3">
      <c r="A83" t="s">
        <v>21</v>
      </c>
      <c r="B83" t="s">
        <v>595</v>
      </c>
      <c r="C83" t="s">
        <v>289</v>
      </c>
      <c r="D83" t="s">
        <v>596</v>
      </c>
      <c r="H83" t="s">
        <v>597</v>
      </c>
      <c r="I83" t="s">
        <v>598</v>
      </c>
      <c r="J83" t="s">
        <v>318</v>
      </c>
      <c r="K83">
        <v>4700</v>
      </c>
      <c r="M83" t="s">
        <v>302</v>
      </c>
      <c r="N83" t="s">
        <v>259</v>
      </c>
      <c r="P83" t="s">
        <v>260</v>
      </c>
      <c r="Q83" t="s">
        <v>260</v>
      </c>
      <c r="R83" t="s">
        <v>268</v>
      </c>
      <c r="S83" t="s">
        <v>21</v>
      </c>
      <c r="T83">
        <v>100</v>
      </c>
      <c r="W83" t="s">
        <v>262</v>
      </c>
      <c r="Z83">
        <v>696</v>
      </c>
    </row>
    <row r="84" spans="1:28" x14ac:dyDescent="0.3">
      <c r="A84" t="s">
        <v>21</v>
      </c>
      <c r="B84" t="s">
        <v>599</v>
      </c>
      <c r="C84" t="s">
        <v>289</v>
      </c>
      <c r="D84" t="s">
        <v>600</v>
      </c>
      <c r="G84" t="s">
        <v>601</v>
      </c>
      <c r="H84" t="s">
        <v>602</v>
      </c>
      <c r="I84" t="s">
        <v>603</v>
      </c>
      <c r="J84" t="s">
        <v>555</v>
      </c>
      <c r="K84">
        <v>6017</v>
      </c>
      <c r="M84" t="s">
        <v>503</v>
      </c>
      <c r="N84" t="s">
        <v>259</v>
      </c>
      <c r="P84" t="s">
        <v>260</v>
      </c>
      <c r="Q84" t="s">
        <v>260</v>
      </c>
      <c r="R84" t="s">
        <v>268</v>
      </c>
      <c r="S84" t="s">
        <v>21</v>
      </c>
      <c r="T84">
        <v>100</v>
      </c>
      <c r="W84" t="s">
        <v>262</v>
      </c>
      <c r="Z84">
        <v>696</v>
      </c>
    </row>
    <row r="85" spans="1:28" ht="270" customHeight="1" x14ac:dyDescent="0.3">
      <c r="A85" t="s">
        <v>21</v>
      </c>
      <c r="B85" t="s">
        <v>604</v>
      </c>
      <c r="C85" t="s">
        <v>270</v>
      </c>
      <c r="D85" t="s">
        <v>605</v>
      </c>
      <c r="E85">
        <v>7040</v>
      </c>
      <c r="G85" s="10" t="s">
        <v>606</v>
      </c>
      <c r="H85" t="s">
        <v>607</v>
      </c>
      <c r="I85" t="s">
        <v>608</v>
      </c>
      <c r="J85" t="s">
        <v>537</v>
      </c>
      <c r="K85" t="s">
        <v>609</v>
      </c>
      <c r="L85" t="s">
        <v>259</v>
      </c>
      <c r="M85" t="s">
        <v>537</v>
      </c>
      <c r="N85" t="s">
        <v>259</v>
      </c>
      <c r="P85" t="s">
        <v>260</v>
      </c>
      <c r="Q85" t="s">
        <v>260</v>
      </c>
      <c r="R85" t="s">
        <v>283</v>
      </c>
      <c r="S85" t="s">
        <v>21</v>
      </c>
      <c r="T85">
        <v>100</v>
      </c>
      <c r="W85" t="s">
        <v>262</v>
      </c>
      <c r="X85">
        <v>-12.427989999999999</v>
      </c>
      <c r="Y85">
        <v>130.880349</v>
      </c>
      <c r="Z85">
        <v>692</v>
      </c>
      <c r="AB85" s="9">
        <v>44197</v>
      </c>
    </row>
    <row r="86" spans="1:28" x14ac:dyDescent="0.3">
      <c r="A86" t="s">
        <v>21</v>
      </c>
      <c r="B86" t="s">
        <v>610</v>
      </c>
      <c r="C86" t="s">
        <v>528</v>
      </c>
      <c r="D86" t="s">
        <v>611</v>
      </c>
      <c r="E86">
        <v>9169</v>
      </c>
      <c r="G86" t="s">
        <v>612</v>
      </c>
      <c r="M86" t="s">
        <v>267</v>
      </c>
      <c r="N86" t="s">
        <v>259</v>
      </c>
      <c r="P86" t="s">
        <v>260</v>
      </c>
      <c r="Q86" t="s">
        <v>260</v>
      </c>
      <c r="R86" t="s">
        <v>268</v>
      </c>
      <c r="S86" t="s">
        <v>21</v>
      </c>
      <c r="T86">
        <v>100</v>
      </c>
      <c r="W86" t="s">
        <v>262</v>
      </c>
    </row>
    <row r="87" spans="1:28" x14ac:dyDescent="0.3">
      <c r="A87" t="s">
        <v>21</v>
      </c>
      <c r="B87" t="s">
        <v>613</v>
      </c>
      <c r="C87" t="s">
        <v>528</v>
      </c>
      <c r="D87" t="s">
        <v>614</v>
      </c>
      <c r="E87">
        <v>9168</v>
      </c>
      <c r="G87" t="s">
        <v>612</v>
      </c>
      <c r="M87" t="s">
        <v>312</v>
      </c>
      <c r="N87" t="s">
        <v>259</v>
      </c>
      <c r="P87" t="s">
        <v>260</v>
      </c>
      <c r="Q87" t="s">
        <v>260</v>
      </c>
      <c r="R87" t="s">
        <v>268</v>
      </c>
      <c r="S87" t="s">
        <v>21</v>
      </c>
      <c r="T87">
        <v>100</v>
      </c>
      <c r="W87" t="s">
        <v>262</v>
      </c>
    </row>
    <row r="88" spans="1:28" x14ac:dyDescent="0.3">
      <c r="A88" t="s">
        <v>21</v>
      </c>
      <c r="B88" t="s">
        <v>615</v>
      </c>
      <c r="C88" t="s">
        <v>528</v>
      </c>
      <c r="D88" t="s">
        <v>616</v>
      </c>
      <c r="E88">
        <v>9207</v>
      </c>
      <c r="G88" t="s">
        <v>612</v>
      </c>
      <c r="M88" t="s">
        <v>537</v>
      </c>
      <c r="N88" t="s">
        <v>259</v>
      </c>
      <c r="P88" t="s">
        <v>260</v>
      </c>
      <c r="Q88" t="s">
        <v>260</v>
      </c>
      <c r="R88" t="s">
        <v>268</v>
      </c>
      <c r="S88" t="s">
        <v>21</v>
      </c>
      <c r="T88">
        <v>100</v>
      </c>
      <c r="W88" t="s">
        <v>262</v>
      </c>
    </row>
    <row r="89" spans="1:28" x14ac:dyDescent="0.3">
      <c r="A89" t="s">
        <v>21</v>
      </c>
      <c r="B89" t="s">
        <v>617</v>
      </c>
      <c r="C89" t="s">
        <v>528</v>
      </c>
      <c r="D89" t="s">
        <v>618</v>
      </c>
      <c r="E89">
        <v>9170</v>
      </c>
      <c r="G89" t="s">
        <v>612</v>
      </c>
      <c r="M89" t="s">
        <v>302</v>
      </c>
      <c r="N89" t="s">
        <v>259</v>
      </c>
      <c r="P89" t="s">
        <v>260</v>
      </c>
      <c r="Q89" t="s">
        <v>260</v>
      </c>
      <c r="R89" t="s">
        <v>268</v>
      </c>
      <c r="S89" t="s">
        <v>21</v>
      </c>
      <c r="T89">
        <v>100</v>
      </c>
      <c r="W89" t="s">
        <v>262</v>
      </c>
    </row>
    <row r="90" spans="1:28" x14ac:dyDescent="0.3">
      <c r="A90" t="s">
        <v>21</v>
      </c>
      <c r="B90" t="s">
        <v>619</v>
      </c>
      <c r="C90" t="s">
        <v>528</v>
      </c>
      <c r="D90" t="s">
        <v>620</v>
      </c>
      <c r="E90">
        <v>9208</v>
      </c>
      <c r="G90" t="s">
        <v>612</v>
      </c>
      <c r="M90" t="s">
        <v>307</v>
      </c>
      <c r="N90" t="s">
        <v>259</v>
      </c>
      <c r="P90" t="s">
        <v>260</v>
      </c>
      <c r="Q90" t="s">
        <v>260</v>
      </c>
      <c r="R90" t="s">
        <v>268</v>
      </c>
      <c r="S90" t="s">
        <v>21</v>
      </c>
      <c r="T90">
        <v>100</v>
      </c>
      <c r="W90" t="s">
        <v>262</v>
      </c>
    </row>
    <row r="91" spans="1:28" x14ac:dyDescent="0.3">
      <c r="A91" t="s">
        <v>21</v>
      </c>
      <c r="B91" t="s">
        <v>621</v>
      </c>
      <c r="C91" t="s">
        <v>528</v>
      </c>
      <c r="D91" t="s">
        <v>622</v>
      </c>
      <c r="E91">
        <v>9171</v>
      </c>
      <c r="G91" t="s">
        <v>612</v>
      </c>
      <c r="M91" t="s">
        <v>282</v>
      </c>
      <c r="N91" t="s">
        <v>259</v>
      </c>
      <c r="P91" t="s">
        <v>260</v>
      </c>
      <c r="Q91" t="s">
        <v>260</v>
      </c>
      <c r="R91" t="s">
        <v>268</v>
      </c>
      <c r="S91" t="s">
        <v>21</v>
      </c>
      <c r="T91">
        <v>100</v>
      </c>
      <c r="W91" t="s">
        <v>262</v>
      </c>
    </row>
    <row r="92" spans="1:28" x14ac:dyDescent="0.3">
      <c r="A92" t="s">
        <v>21</v>
      </c>
      <c r="B92" t="s">
        <v>623</v>
      </c>
      <c r="C92" t="s">
        <v>528</v>
      </c>
      <c r="D92" t="s">
        <v>624</v>
      </c>
      <c r="E92">
        <v>9214</v>
      </c>
      <c r="G92" t="s">
        <v>612</v>
      </c>
      <c r="M92" t="s">
        <v>503</v>
      </c>
      <c r="N92" t="s">
        <v>259</v>
      </c>
      <c r="P92" t="s">
        <v>260</v>
      </c>
      <c r="Q92" t="s">
        <v>260</v>
      </c>
      <c r="R92" t="s">
        <v>268</v>
      </c>
      <c r="S92" t="s">
        <v>21</v>
      </c>
      <c r="T92">
        <v>100</v>
      </c>
      <c r="W92" t="s">
        <v>262</v>
      </c>
    </row>
    <row r="93" spans="1:28" x14ac:dyDescent="0.3">
      <c r="A93" t="s">
        <v>21</v>
      </c>
      <c r="B93" t="s">
        <v>625</v>
      </c>
      <c r="C93" t="s">
        <v>439</v>
      </c>
      <c r="D93" t="s">
        <v>626</v>
      </c>
      <c r="M93" t="s">
        <v>627</v>
      </c>
      <c r="N93" t="s">
        <v>259</v>
      </c>
      <c r="P93" t="s">
        <v>260</v>
      </c>
      <c r="Q93" t="s">
        <v>260</v>
      </c>
      <c r="R93" t="s">
        <v>308</v>
      </c>
      <c r="S93" t="s">
        <v>21</v>
      </c>
      <c r="T93">
        <v>100</v>
      </c>
      <c r="V93" s="9">
        <v>45199</v>
      </c>
      <c r="W93" t="s">
        <v>262</v>
      </c>
    </row>
    <row r="94" spans="1:28" x14ac:dyDescent="0.3">
      <c r="A94" t="s">
        <v>21</v>
      </c>
      <c r="B94" t="s">
        <v>628</v>
      </c>
      <c r="C94" t="s">
        <v>270</v>
      </c>
      <c r="D94" t="s">
        <v>455</v>
      </c>
      <c r="E94">
        <v>5186</v>
      </c>
      <c r="G94" t="s">
        <v>629</v>
      </c>
      <c r="H94" t="s">
        <v>630</v>
      </c>
      <c r="I94" t="s">
        <v>297</v>
      </c>
      <c r="J94" t="s">
        <v>297</v>
      </c>
      <c r="K94">
        <v>2022</v>
      </c>
      <c r="L94" t="s">
        <v>276</v>
      </c>
      <c r="M94" t="s">
        <v>631</v>
      </c>
      <c r="N94" t="s">
        <v>276</v>
      </c>
      <c r="P94" t="s">
        <v>260</v>
      </c>
      <c r="Q94" t="s">
        <v>260</v>
      </c>
      <c r="R94" t="s">
        <v>261</v>
      </c>
      <c r="S94" t="s">
        <v>21</v>
      </c>
      <c r="T94">
        <v>100</v>
      </c>
      <c r="W94" t="s">
        <v>262</v>
      </c>
      <c r="X94">
        <v>-37.002533999999997</v>
      </c>
      <c r="Y94">
        <v>174.86511400000001</v>
      </c>
      <c r="Z94">
        <v>663</v>
      </c>
      <c r="AA94" s="9">
        <v>42917</v>
      </c>
    </row>
    <row r="95" spans="1:28" x14ac:dyDescent="0.3">
      <c r="A95" t="s">
        <v>21</v>
      </c>
      <c r="B95" t="s">
        <v>632</v>
      </c>
      <c r="C95" t="s">
        <v>270</v>
      </c>
      <c r="D95" t="s">
        <v>633</v>
      </c>
      <c r="E95">
        <v>5022</v>
      </c>
      <c r="G95" t="s">
        <v>634</v>
      </c>
      <c r="H95" t="s">
        <v>635</v>
      </c>
      <c r="I95" t="s">
        <v>636</v>
      </c>
      <c r="J95" t="s">
        <v>275</v>
      </c>
      <c r="K95">
        <v>8051</v>
      </c>
      <c r="L95" t="s">
        <v>276</v>
      </c>
      <c r="M95" t="s">
        <v>636</v>
      </c>
      <c r="N95" t="s">
        <v>276</v>
      </c>
      <c r="P95" t="s">
        <v>260</v>
      </c>
      <c r="Q95" t="s">
        <v>260</v>
      </c>
      <c r="R95" t="s">
        <v>261</v>
      </c>
      <c r="S95" t="s">
        <v>21</v>
      </c>
      <c r="T95">
        <v>100</v>
      </c>
      <c r="U95" t="s">
        <v>354</v>
      </c>
      <c r="W95" t="s">
        <v>262</v>
      </c>
      <c r="X95">
        <v>-46.232926399999997</v>
      </c>
      <c r="Y95">
        <v>169.75259019999999</v>
      </c>
      <c r="Z95">
        <v>729</v>
      </c>
      <c r="AA95" s="9">
        <v>42917</v>
      </c>
    </row>
    <row r="96" spans="1:28" x14ac:dyDescent="0.3">
      <c r="A96" t="s">
        <v>21</v>
      </c>
      <c r="B96" t="s">
        <v>637</v>
      </c>
      <c r="C96" t="s">
        <v>270</v>
      </c>
      <c r="D96" t="s">
        <v>638</v>
      </c>
      <c r="E96">
        <v>5023</v>
      </c>
      <c r="G96" t="s">
        <v>634</v>
      </c>
      <c r="H96" t="s">
        <v>639</v>
      </c>
      <c r="I96" t="s">
        <v>640</v>
      </c>
      <c r="J96" t="s">
        <v>641</v>
      </c>
      <c r="K96">
        <v>7391</v>
      </c>
      <c r="L96" t="s">
        <v>276</v>
      </c>
      <c r="M96" t="s">
        <v>640</v>
      </c>
      <c r="N96" t="s">
        <v>276</v>
      </c>
      <c r="P96" t="s">
        <v>260</v>
      </c>
      <c r="Q96" t="s">
        <v>260</v>
      </c>
      <c r="R96" t="s">
        <v>261</v>
      </c>
      <c r="S96" t="s">
        <v>21</v>
      </c>
      <c r="T96">
        <v>100</v>
      </c>
      <c r="U96" t="s">
        <v>354</v>
      </c>
      <c r="W96" t="s">
        <v>262</v>
      </c>
      <c r="X96">
        <v>-41.514532199999998</v>
      </c>
      <c r="Y96">
        <v>173.96193270000001</v>
      </c>
      <c r="Z96">
        <v>729</v>
      </c>
      <c r="AA96" s="9">
        <v>42917</v>
      </c>
    </row>
    <row r="97" spans="1:27" x14ac:dyDescent="0.3">
      <c r="A97" t="s">
        <v>21</v>
      </c>
      <c r="B97" t="s">
        <v>642</v>
      </c>
      <c r="C97" t="s">
        <v>270</v>
      </c>
      <c r="D97" t="s">
        <v>643</v>
      </c>
      <c r="E97">
        <v>5024</v>
      </c>
      <c r="G97" t="s">
        <v>634</v>
      </c>
      <c r="H97" t="s">
        <v>644</v>
      </c>
      <c r="I97" t="s">
        <v>390</v>
      </c>
      <c r="J97" t="s">
        <v>425</v>
      </c>
      <c r="K97">
        <v>9018</v>
      </c>
      <c r="L97" t="s">
        <v>276</v>
      </c>
      <c r="M97" t="s">
        <v>390</v>
      </c>
      <c r="N97" t="s">
        <v>276</v>
      </c>
      <c r="P97" t="s">
        <v>260</v>
      </c>
      <c r="Q97" t="s">
        <v>260</v>
      </c>
      <c r="R97" t="s">
        <v>261</v>
      </c>
      <c r="S97" t="s">
        <v>21</v>
      </c>
      <c r="T97">
        <v>100</v>
      </c>
      <c r="U97" t="s">
        <v>354</v>
      </c>
      <c r="W97" t="s">
        <v>262</v>
      </c>
      <c r="X97">
        <v>-43.476427299999997</v>
      </c>
      <c r="Y97">
        <v>172.51673359999899</v>
      </c>
      <c r="Z97">
        <v>729</v>
      </c>
      <c r="AA97" s="9">
        <v>42917</v>
      </c>
    </row>
    <row r="98" spans="1:27" x14ac:dyDescent="0.3">
      <c r="A98" t="s">
        <v>21</v>
      </c>
      <c r="B98" t="s">
        <v>645</v>
      </c>
      <c r="C98" t="s">
        <v>270</v>
      </c>
      <c r="D98" t="s">
        <v>646</v>
      </c>
      <c r="E98">
        <v>5028</v>
      </c>
      <c r="G98" t="s">
        <v>634</v>
      </c>
      <c r="H98" t="s">
        <v>647</v>
      </c>
      <c r="I98" t="s">
        <v>648</v>
      </c>
      <c r="J98" t="s">
        <v>275</v>
      </c>
      <c r="K98">
        <v>9710</v>
      </c>
      <c r="L98" t="s">
        <v>276</v>
      </c>
      <c r="M98" t="s">
        <v>649</v>
      </c>
      <c r="N98" t="s">
        <v>276</v>
      </c>
      <c r="P98" t="s">
        <v>260</v>
      </c>
      <c r="Q98" t="s">
        <v>260</v>
      </c>
      <c r="R98" t="s">
        <v>261</v>
      </c>
      <c r="S98" t="s">
        <v>21</v>
      </c>
      <c r="T98">
        <v>100</v>
      </c>
      <c r="U98" t="s">
        <v>354</v>
      </c>
      <c r="W98" t="s">
        <v>262</v>
      </c>
      <c r="X98">
        <v>-44.962848999999999</v>
      </c>
      <c r="Y98">
        <v>169.245137</v>
      </c>
      <c r="Z98">
        <v>729</v>
      </c>
      <c r="AA98" s="9">
        <v>42917</v>
      </c>
    </row>
    <row r="99" spans="1:27" x14ac:dyDescent="0.3">
      <c r="A99" t="s">
        <v>21</v>
      </c>
      <c r="B99" t="s">
        <v>650</v>
      </c>
      <c r="C99" t="s">
        <v>270</v>
      </c>
      <c r="D99" t="s">
        <v>651</v>
      </c>
      <c r="E99" t="s">
        <v>651</v>
      </c>
      <c r="G99" t="s">
        <v>634</v>
      </c>
      <c r="H99" t="s">
        <v>652</v>
      </c>
      <c r="I99" t="s">
        <v>653</v>
      </c>
      <c r="J99" t="s">
        <v>425</v>
      </c>
      <c r="K99">
        <v>7392</v>
      </c>
      <c r="L99" t="s">
        <v>276</v>
      </c>
      <c r="M99" t="s">
        <v>390</v>
      </c>
      <c r="N99" t="s">
        <v>276</v>
      </c>
      <c r="P99" t="s">
        <v>260</v>
      </c>
      <c r="Q99" t="s">
        <v>260</v>
      </c>
      <c r="R99" t="s">
        <v>261</v>
      </c>
      <c r="S99" t="s">
        <v>21</v>
      </c>
      <c r="T99">
        <v>100</v>
      </c>
      <c r="U99" t="s">
        <v>354</v>
      </c>
      <c r="W99" t="s">
        <v>262</v>
      </c>
      <c r="X99">
        <v>-43.535876100000003</v>
      </c>
      <c r="Y99">
        <v>172.60216119999899</v>
      </c>
      <c r="Z99">
        <v>729</v>
      </c>
      <c r="AA99" s="9">
        <v>42917</v>
      </c>
    </row>
    <row r="100" spans="1:27" x14ac:dyDescent="0.3">
      <c r="A100" t="s">
        <v>21</v>
      </c>
      <c r="B100" t="s">
        <v>654</v>
      </c>
      <c r="C100" t="s">
        <v>299</v>
      </c>
      <c r="D100" t="s">
        <v>655</v>
      </c>
      <c r="E100">
        <v>5252</v>
      </c>
      <c r="M100" t="s">
        <v>353</v>
      </c>
      <c r="N100" t="s">
        <v>276</v>
      </c>
      <c r="P100" t="s">
        <v>260</v>
      </c>
      <c r="Q100" t="s">
        <v>260</v>
      </c>
      <c r="R100" t="s">
        <v>261</v>
      </c>
      <c r="S100" t="s">
        <v>21</v>
      </c>
      <c r="T100">
        <v>100</v>
      </c>
      <c r="U100" t="s">
        <v>354</v>
      </c>
      <c r="W100" t="s">
        <v>262</v>
      </c>
    </row>
    <row r="101" spans="1:27" x14ac:dyDescent="0.3">
      <c r="A101" t="s">
        <v>21</v>
      </c>
      <c r="B101" t="s">
        <v>656</v>
      </c>
      <c r="C101" t="s">
        <v>270</v>
      </c>
      <c r="D101" t="s">
        <v>657</v>
      </c>
      <c r="E101">
        <v>5026</v>
      </c>
      <c r="G101" t="s">
        <v>634</v>
      </c>
      <c r="H101" t="s">
        <v>658</v>
      </c>
      <c r="I101" t="s">
        <v>375</v>
      </c>
      <c r="J101" t="s">
        <v>275</v>
      </c>
      <c r="K101">
        <v>9383</v>
      </c>
      <c r="L101" t="s">
        <v>276</v>
      </c>
      <c r="M101" t="s">
        <v>659</v>
      </c>
      <c r="N101" t="s">
        <v>276</v>
      </c>
      <c r="P101" t="s">
        <v>260</v>
      </c>
      <c r="Q101" t="s">
        <v>260</v>
      </c>
      <c r="R101" t="s">
        <v>261</v>
      </c>
      <c r="S101" t="s">
        <v>21</v>
      </c>
      <c r="T101">
        <v>100</v>
      </c>
      <c r="U101" t="s">
        <v>354</v>
      </c>
      <c r="W101" t="s">
        <v>262</v>
      </c>
      <c r="X101">
        <v>-45.9016783</v>
      </c>
      <c r="Y101">
        <v>170.4409766</v>
      </c>
      <c r="Z101">
        <v>729</v>
      </c>
      <c r="AA101" s="9">
        <v>42917</v>
      </c>
    </row>
    <row r="102" spans="1:27" x14ac:dyDescent="0.3">
      <c r="A102" t="s">
        <v>21</v>
      </c>
      <c r="B102" t="s">
        <v>660</v>
      </c>
      <c r="C102" t="s">
        <v>270</v>
      </c>
      <c r="D102" t="s">
        <v>661</v>
      </c>
      <c r="E102">
        <v>5027</v>
      </c>
      <c r="G102" t="s">
        <v>634</v>
      </c>
      <c r="H102" t="s">
        <v>662</v>
      </c>
      <c r="I102" t="s">
        <v>663</v>
      </c>
      <c r="J102" t="s">
        <v>664</v>
      </c>
      <c r="K102">
        <v>7925</v>
      </c>
      <c r="L102" t="s">
        <v>276</v>
      </c>
      <c r="M102" t="s">
        <v>665</v>
      </c>
      <c r="N102" t="s">
        <v>276</v>
      </c>
      <c r="P102" t="s">
        <v>260</v>
      </c>
      <c r="Q102" t="s">
        <v>260</v>
      </c>
      <c r="R102" t="s">
        <v>261</v>
      </c>
      <c r="S102" t="s">
        <v>21</v>
      </c>
      <c r="T102">
        <v>100</v>
      </c>
      <c r="U102" t="s">
        <v>354</v>
      </c>
      <c r="W102" t="s">
        <v>262</v>
      </c>
      <c r="X102">
        <v>-42.564753799999998</v>
      </c>
      <c r="Y102">
        <v>172.355699299999</v>
      </c>
      <c r="Z102">
        <v>729</v>
      </c>
      <c r="AA102" s="9">
        <v>42917</v>
      </c>
    </row>
    <row r="103" spans="1:27" x14ac:dyDescent="0.3">
      <c r="A103" t="s">
        <v>21</v>
      </c>
      <c r="B103" t="s">
        <v>666</v>
      </c>
      <c r="C103" t="s">
        <v>270</v>
      </c>
      <c r="D103" t="s">
        <v>667</v>
      </c>
      <c r="E103">
        <v>5071</v>
      </c>
      <c r="G103" t="s">
        <v>634</v>
      </c>
      <c r="H103" t="s">
        <v>668</v>
      </c>
      <c r="I103" t="s">
        <v>669</v>
      </c>
      <c r="J103" t="s">
        <v>669</v>
      </c>
      <c r="K103">
        <v>1061</v>
      </c>
      <c r="L103" t="s">
        <v>276</v>
      </c>
      <c r="M103" t="s">
        <v>669</v>
      </c>
      <c r="N103" t="s">
        <v>276</v>
      </c>
      <c r="P103" t="s">
        <v>260</v>
      </c>
      <c r="Q103" t="s">
        <v>260</v>
      </c>
      <c r="R103" t="s">
        <v>261</v>
      </c>
      <c r="S103" t="s">
        <v>21</v>
      </c>
      <c r="T103">
        <v>100</v>
      </c>
      <c r="U103" t="s">
        <v>354</v>
      </c>
      <c r="W103" t="s">
        <v>262</v>
      </c>
      <c r="X103">
        <v>-38.668144400000003</v>
      </c>
      <c r="Y103">
        <v>178.00672979999999</v>
      </c>
      <c r="Z103">
        <v>729</v>
      </c>
      <c r="AA103" s="9">
        <v>42917</v>
      </c>
    </row>
    <row r="104" spans="1:27" x14ac:dyDescent="0.3">
      <c r="A104" t="s">
        <v>21</v>
      </c>
      <c r="B104" t="s">
        <v>670</v>
      </c>
      <c r="C104" t="s">
        <v>270</v>
      </c>
      <c r="D104" t="s">
        <v>671</v>
      </c>
      <c r="E104">
        <v>5031</v>
      </c>
      <c r="G104" t="s">
        <v>634</v>
      </c>
      <c r="H104" t="s">
        <v>378</v>
      </c>
      <c r="I104" t="s">
        <v>379</v>
      </c>
      <c r="J104" t="s">
        <v>380</v>
      </c>
      <c r="K104">
        <v>4610</v>
      </c>
      <c r="L104" t="s">
        <v>276</v>
      </c>
      <c r="M104" t="s">
        <v>379</v>
      </c>
      <c r="N104" t="s">
        <v>276</v>
      </c>
      <c r="P104" t="s">
        <v>260</v>
      </c>
      <c r="Q104" t="s">
        <v>260</v>
      </c>
      <c r="R104" t="s">
        <v>261</v>
      </c>
      <c r="S104" t="s">
        <v>21</v>
      </c>
      <c r="T104">
        <v>100</v>
      </c>
      <c r="U104" t="s">
        <v>354</v>
      </c>
      <c r="W104" t="s">
        <v>262</v>
      </c>
      <c r="X104">
        <v>-37.754067999999997</v>
      </c>
      <c r="Y104">
        <v>175.23705870000001</v>
      </c>
      <c r="Z104">
        <v>729</v>
      </c>
      <c r="AA104" s="9">
        <v>42917</v>
      </c>
    </row>
    <row r="105" spans="1:27" x14ac:dyDescent="0.3">
      <c r="A105" t="s">
        <v>21</v>
      </c>
      <c r="B105" t="s">
        <v>672</v>
      </c>
      <c r="C105" t="s">
        <v>270</v>
      </c>
      <c r="D105" t="s">
        <v>673</v>
      </c>
      <c r="E105">
        <v>5032</v>
      </c>
      <c r="G105" t="s">
        <v>634</v>
      </c>
      <c r="H105" t="s">
        <v>674</v>
      </c>
      <c r="I105" t="s">
        <v>675</v>
      </c>
      <c r="J105" t="s">
        <v>676</v>
      </c>
      <c r="K105">
        <v>5510</v>
      </c>
      <c r="L105" t="s">
        <v>276</v>
      </c>
      <c r="M105" t="s">
        <v>675</v>
      </c>
      <c r="N105" t="s">
        <v>276</v>
      </c>
      <c r="P105" t="s">
        <v>260</v>
      </c>
      <c r="Q105" t="s">
        <v>260</v>
      </c>
      <c r="R105" t="s">
        <v>261</v>
      </c>
      <c r="S105" t="s">
        <v>21</v>
      </c>
      <c r="T105">
        <v>100</v>
      </c>
      <c r="U105" t="s">
        <v>354</v>
      </c>
      <c r="W105" t="s">
        <v>262</v>
      </c>
      <c r="X105">
        <v>-39.611300499999999</v>
      </c>
      <c r="Y105">
        <v>176.78802010000001</v>
      </c>
      <c r="Z105">
        <v>729</v>
      </c>
      <c r="AA105" s="9">
        <v>42917</v>
      </c>
    </row>
    <row r="106" spans="1:27" x14ac:dyDescent="0.3">
      <c r="A106" t="s">
        <v>21</v>
      </c>
      <c r="B106" t="s">
        <v>677</v>
      </c>
      <c r="C106" t="s">
        <v>270</v>
      </c>
      <c r="D106" t="s">
        <v>678</v>
      </c>
      <c r="E106">
        <v>5033</v>
      </c>
      <c r="G106" t="s">
        <v>634</v>
      </c>
      <c r="H106" t="s">
        <v>679</v>
      </c>
      <c r="I106" t="s">
        <v>680</v>
      </c>
      <c r="J106" t="s">
        <v>399</v>
      </c>
      <c r="K106">
        <v>9810</v>
      </c>
      <c r="L106" t="s">
        <v>276</v>
      </c>
      <c r="M106" t="s">
        <v>680</v>
      </c>
      <c r="N106" t="s">
        <v>276</v>
      </c>
      <c r="P106" t="s">
        <v>260</v>
      </c>
      <c r="Q106" t="s">
        <v>260</v>
      </c>
      <c r="R106" t="s">
        <v>261</v>
      </c>
      <c r="S106" t="s">
        <v>21</v>
      </c>
      <c r="T106">
        <v>100</v>
      </c>
      <c r="U106" t="s">
        <v>354</v>
      </c>
      <c r="W106" t="s">
        <v>262</v>
      </c>
      <c r="X106">
        <v>-39.580428099999999</v>
      </c>
      <c r="Y106">
        <v>174.280404699999</v>
      </c>
      <c r="Z106">
        <v>729</v>
      </c>
      <c r="AA106" s="9">
        <v>42917</v>
      </c>
    </row>
    <row r="107" spans="1:27" x14ac:dyDescent="0.3">
      <c r="A107" t="s">
        <v>21</v>
      </c>
      <c r="B107" t="s">
        <v>681</v>
      </c>
      <c r="C107" t="s">
        <v>270</v>
      </c>
      <c r="D107" t="s">
        <v>682</v>
      </c>
      <c r="E107">
        <v>5034</v>
      </c>
      <c r="G107" t="s">
        <v>634</v>
      </c>
      <c r="H107" t="s">
        <v>683</v>
      </c>
      <c r="I107" t="s">
        <v>684</v>
      </c>
      <c r="J107" t="s">
        <v>685</v>
      </c>
      <c r="K107">
        <v>7371</v>
      </c>
      <c r="L107" t="s">
        <v>276</v>
      </c>
      <c r="M107" t="s">
        <v>684</v>
      </c>
      <c r="N107" t="s">
        <v>276</v>
      </c>
      <c r="P107" t="s">
        <v>260</v>
      </c>
      <c r="Q107" t="s">
        <v>260</v>
      </c>
      <c r="R107" t="s">
        <v>261</v>
      </c>
      <c r="S107" t="s">
        <v>21</v>
      </c>
      <c r="T107">
        <v>100</v>
      </c>
      <c r="U107" t="s">
        <v>354</v>
      </c>
      <c r="W107" t="s">
        <v>262</v>
      </c>
      <c r="X107">
        <v>-40.625162999999901</v>
      </c>
      <c r="Y107">
        <v>175.257604799999</v>
      </c>
      <c r="Z107">
        <v>729</v>
      </c>
      <c r="AA107" s="9">
        <v>42917</v>
      </c>
    </row>
    <row r="108" spans="1:27" x14ac:dyDescent="0.3">
      <c r="A108" t="s">
        <v>21</v>
      </c>
      <c r="B108" t="s">
        <v>686</v>
      </c>
      <c r="C108" t="s">
        <v>270</v>
      </c>
      <c r="D108" t="s">
        <v>687</v>
      </c>
      <c r="E108">
        <v>5035</v>
      </c>
      <c r="G108" t="s">
        <v>634</v>
      </c>
      <c r="H108" t="s">
        <v>688</v>
      </c>
      <c r="I108" t="s">
        <v>384</v>
      </c>
      <c r="J108" t="s">
        <v>385</v>
      </c>
      <c r="K108">
        <v>6035</v>
      </c>
      <c r="L108" t="s">
        <v>276</v>
      </c>
      <c r="M108" t="s">
        <v>384</v>
      </c>
      <c r="N108" t="s">
        <v>276</v>
      </c>
      <c r="P108" t="s">
        <v>260</v>
      </c>
      <c r="Q108" t="s">
        <v>260</v>
      </c>
      <c r="R108" t="s">
        <v>261</v>
      </c>
      <c r="S108" t="s">
        <v>21</v>
      </c>
      <c r="T108">
        <v>100</v>
      </c>
      <c r="U108" t="s">
        <v>354</v>
      </c>
      <c r="W108" t="s">
        <v>262</v>
      </c>
      <c r="X108">
        <v>-46.421402899999997</v>
      </c>
      <c r="Y108">
        <v>168.34534919999999</v>
      </c>
      <c r="Z108">
        <v>729</v>
      </c>
      <c r="AA108" s="9">
        <v>42917</v>
      </c>
    </row>
    <row r="109" spans="1:27" x14ac:dyDescent="0.3">
      <c r="A109" t="s">
        <v>21</v>
      </c>
      <c r="B109" t="s">
        <v>689</v>
      </c>
      <c r="C109" t="s">
        <v>270</v>
      </c>
      <c r="D109" t="s">
        <v>690</v>
      </c>
      <c r="E109">
        <v>5036</v>
      </c>
      <c r="G109" t="s">
        <v>634</v>
      </c>
      <c r="H109" t="s">
        <v>691</v>
      </c>
      <c r="I109" t="s">
        <v>692</v>
      </c>
      <c r="J109" t="s">
        <v>425</v>
      </c>
      <c r="K109">
        <v>9435</v>
      </c>
      <c r="L109" t="s">
        <v>276</v>
      </c>
      <c r="M109" t="s">
        <v>692</v>
      </c>
      <c r="N109" t="s">
        <v>276</v>
      </c>
      <c r="P109" t="s">
        <v>260</v>
      </c>
      <c r="Q109" t="s">
        <v>260</v>
      </c>
      <c r="R109" t="s">
        <v>261</v>
      </c>
      <c r="S109" t="s">
        <v>21</v>
      </c>
      <c r="T109">
        <v>100</v>
      </c>
      <c r="U109" t="s">
        <v>354</v>
      </c>
      <c r="W109" t="s">
        <v>262</v>
      </c>
      <c r="X109">
        <v>-42.384967799999998</v>
      </c>
      <c r="Y109">
        <v>173.62879839999999</v>
      </c>
      <c r="Z109">
        <v>729</v>
      </c>
      <c r="AA109" s="9">
        <v>42917</v>
      </c>
    </row>
    <row r="110" spans="1:27" x14ac:dyDescent="0.3">
      <c r="A110" t="s">
        <v>21</v>
      </c>
      <c r="B110" t="s">
        <v>693</v>
      </c>
      <c r="C110" t="s">
        <v>270</v>
      </c>
      <c r="D110" t="s">
        <v>694</v>
      </c>
      <c r="E110">
        <v>5037</v>
      </c>
      <c r="G110" t="s">
        <v>634</v>
      </c>
      <c r="H110" t="s">
        <v>402</v>
      </c>
      <c r="I110" t="s">
        <v>403</v>
      </c>
      <c r="J110" t="s">
        <v>403</v>
      </c>
      <c r="K110">
        <v>9591</v>
      </c>
      <c r="L110" t="s">
        <v>276</v>
      </c>
      <c r="M110" t="s">
        <v>403</v>
      </c>
      <c r="N110" t="s">
        <v>276</v>
      </c>
      <c r="P110" t="s">
        <v>260</v>
      </c>
      <c r="Q110" t="s">
        <v>260</v>
      </c>
      <c r="R110" t="s">
        <v>261</v>
      </c>
      <c r="S110" t="s">
        <v>21</v>
      </c>
      <c r="T110">
        <v>100</v>
      </c>
      <c r="U110" t="s">
        <v>354</v>
      </c>
      <c r="W110" t="s">
        <v>262</v>
      </c>
      <c r="X110">
        <v>-41.237631</v>
      </c>
      <c r="Y110">
        <v>174.80508599999899</v>
      </c>
      <c r="Z110">
        <v>729</v>
      </c>
      <c r="AA110" s="9">
        <v>42917</v>
      </c>
    </row>
    <row r="111" spans="1:27" x14ac:dyDescent="0.3">
      <c r="A111" t="s">
        <v>21</v>
      </c>
      <c r="B111" t="s">
        <v>695</v>
      </c>
      <c r="C111" t="s">
        <v>270</v>
      </c>
      <c r="D111" t="s">
        <v>696</v>
      </c>
      <c r="E111">
        <v>5039</v>
      </c>
      <c r="G111" t="s">
        <v>634</v>
      </c>
      <c r="H111" t="s">
        <v>697</v>
      </c>
      <c r="I111" t="s">
        <v>698</v>
      </c>
      <c r="J111" t="s">
        <v>425</v>
      </c>
      <c r="K111">
        <v>4710</v>
      </c>
      <c r="L111" t="s">
        <v>276</v>
      </c>
      <c r="M111" t="s">
        <v>699</v>
      </c>
      <c r="N111" t="s">
        <v>276</v>
      </c>
      <c r="P111" t="s">
        <v>260</v>
      </c>
      <c r="Q111" t="s">
        <v>260</v>
      </c>
      <c r="R111" t="s">
        <v>261</v>
      </c>
      <c r="S111" t="s">
        <v>21</v>
      </c>
      <c r="T111">
        <v>100</v>
      </c>
      <c r="U111" t="s">
        <v>354</v>
      </c>
      <c r="W111" t="s">
        <v>262</v>
      </c>
      <c r="X111">
        <v>-45.908564499999997</v>
      </c>
      <c r="Y111">
        <v>169.70072830000001</v>
      </c>
      <c r="Z111">
        <v>729</v>
      </c>
      <c r="AA111" s="9">
        <v>42917</v>
      </c>
    </row>
    <row r="112" spans="1:27" x14ac:dyDescent="0.3">
      <c r="A112" t="s">
        <v>21</v>
      </c>
      <c r="B112" t="s">
        <v>700</v>
      </c>
      <c r="C112" t="s">
        <v>270</v>
      </c>
      <c r="D112" t="s">
        <v>701</v>
      </c>
      <c r="E112">
        <v>5040</v>
      </c>
      <c r="G112" t="s">
        <v>634</v>
      </c>
      <c r="H112" t="s">
        <v>702</v>
      </c>
      <c r="I112" t="s">
        <v>703</v>
      </c>
      <c r="J112" t="s">
        <v>403</v>
      </c>
      <c r="K112">
        <v>7730</v>
      </c>
      <c r="L112" t="s">
        <v>276</v>
      </c>
      <c r="M112" t="s">
        <v>703</v>
      </c>
      <c r="N112" t="s">
        <v>276</v>
      </c>
      <c r="P112" t="s">
        <v>260</v>
      </c>
      <c r="Q112" t="s">
        <v>260</v>
      </c>
      <c r="R112" t="s">
        <v>261</v>
      </c>
      <c r="S112" t="s">
        <v>21</v>
      </c>
      <c r="T112">
        <v>100</v>
      </c>
      <c r="U112" t="s">
        <v>354</v>
      </c>
      <c r="W112" t="s">
        <v>262</v>
      </c>
      <c r="X112">
        <v>-41.223834499999903</v>
      </c>
      <c r="Y112">
        <v>174.89652419999899</v>
      </c>
      <c r="Z112">
        <v>729</v>
      </c>
      <c r="AA112" s="9">
        <v>42917</v>
      </c>
    </row>
    <row r="113" spans="1:27" x14ac:dyDescent="0.3">
      <c r="A113" t="s">
        <v>21</v>
      </c>
      <c r="B113" t="s">
        <v>704</v>
      </c>
      <c r="C113" t="s">
        <v>270</v>
      </c>
      <c r="D113" t="s">
        <v>705</v>
      </c>
      <c r="E113">
        <v>5041</v>
      </c>
      <c r="G113" t="s">
        <v>634</v>
      </c>
      <c r="H113" t="s">
        <v>706</v>
      </c>
      <c r="I113" t="s">
        <v>707</v>
      </c>
      <c r="J113" t="s">
        <v>685</v>
      </c>
      <c r="K113">
        <v>7081</v>
      </c>
      <c r="L113" t="s">
        <v>276</v>
      </c>
      <c r="M113" t="s">
        <v>708</v>
      </c>
      <c r="N113" t="s">
        <v>276</v>
      </c>
      <c r="P113" t="s">
        <v>260</v>
      </c>
      <c r="Q113" t="s">
        <v>260</v>
      </c>
      <c r="R113" t="s">
        <v>261</v>
      </c>
      <c r="S113" t="s">
        <v>21</v>
      </c>
      <c r="T113">
        <v>100</v>
      </c>
      <c r="U113" t="s">
        <v>354</v>
      </c>
      <c r="W113" t="s">
        <v>262</v>
      </c>
      <c r="X113">
        <v>-40.086513500000002</v>
      </c>
      <c r="Y113">
        <v>175.389476599999</v>
      </c>
      <c r="Z113">
        <v>729</v>
      </c>
      <c r="AA113" s="9">
        <v>42917</v>
      </c>
    </row>
    <row r="114" spans="1:27" x14ac:dyDescent="0.3">
      <c r="A114" t="s">
        <v>21</v>
      </c>
      <c r="B114" t="s">
        <v>709</v>
      </c>
      <c r="C114" t="s">
        <v>270</v>
      </c>
      <c r="D114" t="s">
        <v>710</v>
      </c>
      <c r="E114">
        <v>5042</v>
      </c>
      <c r="G114" t="s">
        <v>634</v>
      </c>
      <c r="H114" t="s">
        <v>711</v>
      </c>
      <c r="I114" t="s">
        <v>712</v>
      </c>
      <c r="J114" t="s">
        <v>425</v>
      </c>
      <c r="K114">
        <v>4312</v>
      </c>
      <c r="L114" t="s">
        <v>276</v>
      </c>
      <c r="M114" t="s">
        <v>712</v>
      </c>
      <c r="N114" t="s">
        <v>276</v>
      </c>
      <c r="P114" t="s">
        <v>260</v>
      </c>
      <c r="Q114" t="s">
        <v>260</v>
      </c>
      <c r="R114" t="s">
        <v>261</v>
      </c>
      <c r="S114" t="s">
        <v>21</v>
      </c>
      <c r="T114">
        <v>100</v>
      </c>
      <c r="U114" t="s">
        <v>354</v>
      </c>
      <c r="W114" t="s">
        <v>262</v>
      </c>
      <c r="X114">
        <v>-43.625976299999998</v>
      </c>
      <c r="Y114">
        <v>171.6403076</v>
      </c>
      <c r="Z114">
        <v>729</v>
      </c>
      <c r="AA114" s="9">
        <v>42917</v>
      </c>
    </row>
    <row r="115" spans="1:27" x14ac:dyDescent="0.3">
      <c r="A115" t="s">
        <v>21</v>
      </c>
      <c r="B115" t="s">
        <v>713</v>
      </c>
      <c r="C115" t="s">
        <v>270</v>
      </c>
      <c r="D115" t="s">
        <v>714</v>
      </c>
      <c r="E115">
        <v>5043</v>
      </c>
      <c r="G115" t="s">
        <v>634</v>
      </c>
      <c r="H115" t="s">
        <v>715</v>
      </c>
      <c r="I115" t="s">
        <v>716</v>
      </c>
      <c r="J115" t="s">
        <v>717</v>
      </c>
      <c r="K115">
        <v>9412</v>
      </c>
      <c r="L115" t="s">
        <v>276</v>
      </c>
      <c r="M115" t="s">
        <v>718</v>
      </c>
      <c r="N115" t="s">
        <v>276</v>
      </c>
      <c r="P115" t="s">
        <v>260</v>
      </c>
      <c r="Q115" t="s">
        <v>260</v>
      </c>
      <c r="R115" t="s">
        <v>261</v>
      </c>
      <c r="S115" t="s">
        <v>21</v>
      </c>
      <c r="T115">
        <v>100</v>
      </c>
      <c r="U115" t="s">
        <v>354</v>
      </c>
      <c r="W115" t="s">
        <v>262</v>
      </c>
      <c r="X115">
        <v>-41.307521000000001</v>
      </c>
      <c r="Y115">
        <v>173.152852</v>
      </c>
      <c r="Z115">
        <v>729</v>
      </c>
      <c r="AA115" s="9">
        <v>42917</v>
      </c>
    </row>
    <row r="116" spans="1:27" x14ac:dyDescent="0.3">
      <c r="A116" t="s">
        <v>21</v>
      </c>
      <c r="B116" t="s">
        <v>719</v>
      </c>
      <c r="C116" t="s">
        <v>270</v>
      </c>
      <c r="D116" t="s">
        <v>720</v>
      </c>
      <c r="E116">
        <v>5044</v>
      </c>
      <c r="G116" t="s">
        <v>634</v>
      </c>
      <c r="H116" t="s">
        <v>397</v>
      </c>
      <c r="I116" t="s">
        <v>398</v>
      </c>
      <c r="J116" t="s">
        <v>399</v>
      </c>
      <c r="K116">
        <v>3600</v>
      </c>
      <c r="L116" t="s">
        <v>276</v>
      </c>
      <c r="M116" t="s">
        <v>398</v>
      </c>
      <c r="N116" t="s">
        <v>276</v>
      </c>
      <c r="P116" t="s">
        <v>260</v>
      </c>
      <c r="Q116" t="s">
        <v>260</v>
      </c>
      <c r="R116" t="s">
        <v>261</v>
      </c>
      <c r="S116" t="s">
        <v>21</v>
      </c>
      <c r="T116">
        <v>100</v>
      </c>
      <c r="U116" t="s">
        <v>354</v>
      </c>
      <c r="W116" t="s">
        <v>262</v>
      </c>
      <c r="X116">
        <v>-39.042341999999998</v>
      </c>
      <c r="Y116">
        <v>174.11916829999899</v>
      </c>
      <c r="Z116">
        <v>729</v>
      </c>
      <c r="AA116" s="9">
        <v>42917</v>
      </c>
    </row>
    <row r="117" spans="1:27" x14ac:dyDescent="0.3">
      <c r="A117" t="s">
        <v>21</v>
      </c>
      <c r="B117" t="s">
        <v>721</v>
      </c>
      <c r="C117" t="s">
        <v>299</v>
      </c>
      <c r="D117" t="s">
        <v>722</v>
      </c>
      <c r="E117">
        <v>5289</v>
      </c>
      <c r="G117" t="s">
        <v>723</v>
      </c>
      <c r="M117" t="s">
        <v>274</v>
      </c>
      <c r="N117" t="s">
        <v>276</v>
      </c>
      <c r="P117" t="s">
        <v>260</v>
      </c>
      <c r="Q117" t="s">
        <v>260</v>
      </c>
      <c r="R117" t="s">
        <v>261</v>
      </c>
      <c r="S117" t="s">
        <v>21</v>
      </c>
      <c r="T117">
        <v>100</v>
      </c>
      <c r="U117" t="s">
        <v>354</v>
      </c>
      <c r="W117" t="s">
        <v>262</v>
      </c>
    </row>
    <row r="118" spans="1:27" x14ac:dyDescent="0.3">
      <c r="A118" t="s">
        <v>21</v>
      </c>
      <c r="B118" t="s">
        <v>724</v>
      </c>
      <c r="C118" t="s">
        <v>270</v>
      </c>
      <c r="D118" t="s">
        <v>655</v>
      </c>
      <c r="E118">
        <v>5045</v>
      </c>
      <c r="G118" t="s">
        <v>634</v>
      </c>
      <c r="H118" t="s">
        <v>725</v>
      </c>
      <c r="I118" t="s">
        <v>726</v>
      </c>
      <c r="J118" t="s">
        <v>425</v>
      </c>
      <c r="K118">
        <v>9431</v>
      </c>
      <c r="L118" t="s">
        <v>276</v>
      </c>
      <c r="M118" t="s">
        <v>726</v>
      </c>
      <c r="N118" t="s">
        <v>276</v>
      </c>
      <c r="P118" t="s">
        <v>260</v>
      </c>
      <c r="Q118" t="s">
        <v>260</v>
      </c>
      <c r="R118" t="s">
        <v>261</v>
      </c>
      <c r="S118" t="s">
        <v>21</v>
      </c>
      <c r="T118">
        <v>100</v>
      </c>
      <c r="U118" t="s">
        <v>354</v>
      </c>
      <c r="W118" t="s">
        <v>262</v>
      </c>
      <c r="X118">
        <v>-44.489734299999903</v>
      </c>
      <c r="Y118">
        <v>169.97126419999901</v>
      </c>
      <c r="Z118">
        <v>729</v>
      </c>
      <c r="AA118" s="9">
        <v>42917</v>
      </c>
    </row>
    <row r="119" spans="1:27" x14ac:dyDescent="0.3">
      <c r="A119" t="s">
        <v>21</v>
      </c>
      <c r="B119" t="s">
        <v>727</v>
      </c>
      <c r="C119" t="s">
        <v>270</v>
      </c>
      <c r="D119" t="s">
        <v>728</v>
      </c>
      <c r="E119">
        <v>5046</v>
      </c>
      <c r="G119" t="s">
        <v>634</v>
      </c>
      <c r="H119" t="s">
        <v>729</v>
      </c>
      <c r="I119" t="s">
        <v>730</v>
      </c>
      <c r="J119" t="s">
        <v>380</v>
      </c>
      <c r="K119">
        <v>4478</v>
      </c>
      <c r="L119" t="s">
        <v>276</v>
      </c>
      <c r="M119" t="s">
        <v>730</v>
      </c>
      <c r="N119" t="s">
        <v>276</v>
      </c>
      <c r="P119" t="s">
        <v>260</v>
      </c>
      <c r="Q119" t="s">
        <v>260</v>
      </c>
      <c r="R119" t="s">
        <v>261</v>
      </c>
      <c r="S119" t="s">
        <v>21</v>
      </c>
      <c r="T119">
        <v>100</v>
      </c>
      <c r="U119" t="s">
        <v>354</v>
      </c>
      <c r="W119" t="s">
        <v>262</v>
      </c>
      <c r="X119">
        <v>-37.374656399999999</v>
      </c>
      <c r="Y119">
        <v>175.662224299999</v>
      </c>
      <c r="Z119">
        <v>729</v>
      </c>
      <c r="AA119" s="9">
        <v>42917</v>
      </c>
    </row>
    <row r="120" spans="1:27" x14ac:dyDescent="0.3">
      <c r="A120" t="s">
        <v>21</v>
      </c>
      <c r="B120" t="s">
        <v>731</v>
      </c>
      <c r="C120" t="s">
        <v>270</v>
      </c>
      <c r="D120" t="s">
        <v>732</v>
      </c>
      <c r="E120">
        <v>5047</v>
      </c>
      <c r="G120" t="s">
        <v>634</v>
      </c>
      <c r="H120" t="s">
        <v>733</v>
      </c>
      <c r="I120" t="s">
        <v>734</v>
      </c>
      <c r="J120" t="s">
        <v>275</v>
      </c>
      <c r="K120">
        <v>1061</v>
      </c>
      <c r="L120" t="s">
        <v>276</v>
      </c>
      <c r="M120" t="s">
        <v>735</v>
      </c>
      <c r="N120" t="s">
        <v>276</v>
      </c>
      <c r="P120" t="s">
        <v>260</v>
      </c>
      <c r="Q120" t="s">
        <v>260</v>
      </c>
      <c r="R120" t="s">
        <v>261</v>
      </c>
      <c r="S120" t="s">
        <v>21</v>
      </c>
      <c r="T120">
        <v>100</v>
      </c>
      <c r="U120" t="s">
        <v>354</v>
      </c>
      <c r="W120" t="s">
        <v>262</v>
      </c>
      <c r="X120">
        <v>-45.488918699999999</v>
      </c>
      <c r="Y120">
        <v>170.71522490000001</v>
      </c>
      <c r="Z120">
        <v>729</v>
      </c>
      <c r="AA120" s="9">
        <v>42917</v>
      </c>
    </row>
    <row r="121" spans="1:27" x14ac:dyDescent="0.3">
      <c r="A121" t="s">
        <v>21</v>
      </c>
      <c r="B121" t="s">
        <v>736</v>
      </c>
      <c r="C121" t="s">
        <v>270</v>
      </c>
      <c r="D121" t="s">
        <v>737</v>
      </c>
      <c r="E121">
        <v>5048</v>
      </c>
      <c r="G121" t="s">
        <v>634</v>
      </c>
      <c r="H121" t="s">
        <v>738</v>
      </c>
      <c r="I121" t="s">
        <v>739</v>
      </c>
      <c r="J121" t="s">
        <v>685</v>
      </c>
      <c r="K121">
        <v>7220</v>
      </c>
      <c r="L121" t="s">
        <v>276</v>
      </c>
      <c r="M121" t="s">
        <v>739</v>
      </c>
      <c r="N121" t="s">
        <v>276</v>
      </c>
      <c r="P121" t="s">
        <v>260</v>
      </c>
      <c r="Q121" t="s">
        <v>260</v>
      </c>
      <c r="R121" t="s">
        <v>261</v>
      </c>
      <c r="S121" t="s">
        <v>21</v>
      </c>
      <c r="T121">
        <v>100</v>
      </c>
      <c r="U121" t="s">
        <v>354</v>
      </c>
      <c r="W121" t="s">
        <v>262</v>
      </c>
      <c r="X121">
        <v>-40.3161135</v>
      </c>
      <c r="Y121">
        <v>175.62475910000001</v>
      </c>
      <c r="Z121">
        <v>729</v>
      </c>
      <c r="AA121" s="9">
        <v>42917</v>
      </c>
    </row>
    <row r="122" spans="1:27" x14ac:dyDescent="0.3">
      <c r="A122" t="s">
        <v>21</v>
      </c>
      <c r="B122" t="s">
        <v>740</v>
      </c>
      <c r="C122" t="s">
        <v>270</v>
      </c>
      <c r="D122" t="s">
        <v>741</v>
      </c>
      <c r="E122">
        <v>5049</v>
      </c>
      <c r="G122" t="s">
        <v>634</v>
      </c>
      <c r="H122" t="s">
        <v>370</v>
      </c>
      <c r="I122" t="s">
        <v>297</v>
      </c>
      <c r="J122" t="s">
        <v>297</v>
      </c>
      <c r="K122">
        <v>9371</v>
      </c>
      <c r="L122" t="s">
        <v>276</v>
      </c>
      <c r="M122" t="s">
        <v>371</v>
      </c>
      <c r="N122" t="s">
        <v>276</v>
      </c>
      <c r="P122" t="s">
        <v>260</v>
      </c>
      <c r="Q122" t="s">
        <v>260</v>
      </c>
      <c r="R122" t="s">
        <v>261</v>
      </c>
      <c r="S122" t="s">
        <v>21</v>
      </c>
      <c r="T122">
        <v>100</v>
      </c>
      <c r="U122" t="s">
        <v>354</v>
      </c>
      <c r="W122" t="s">
        <v>262</v>
      </c>
      <c r="X122">
        <v>-36.915213600000001</v>
      </c>
      <c r="Y122">
        <v>174.82028089999901</v>
      </c>
      <c r="Z122">
        <v>729</v>
      </c>
      <c r="AA122" s="9">
        <v>42917</v>
      </c>
    </row>
    <row r="123" spans="1:27" x14ac:dyDescent="0.3">
      <c r="A123" t="s">
        <v>21</v>
      </c>
      <c r="B123" t="s">
        <v>742</v>
      </c>
      <c r="C123" t="s">
        <v>270</v>
      </c>
      <c r="D123" t="s">
        <v>743</v>
      </c>
      <c r="E123">
        <v>5050</v>
      </c>
      <c r="G123" t="s">
        <v>634</v>
      </c>
      <c r="H123" t="s">
        <v>744</v>
      </c>
      <c r="I123" t="s">
        <v>745</v>
      </c>
      <c r="J123" t="s">
        <v>641</v>
      </c>
      <c r="K123">
        <v>4632</v>
      </c>
      <c r="L123" t="s">
        <v>276</v>
      </c>
      <c r="M123" t="s">
        <v>745</v>
      </c>
      <c r="N123" t="s">
        <v>276</v>
      </c>
      <c r="P123" t="s">
        <v>260</v>
      </c>
      <c r="Q123" t="s">
        <v>260</v>
      </c>
      <c r="R123" t="s">
        <v>261</v>
      </c>
      <c r="S123" t="s">
        <v>21</v>
      </c>
      <c r="T123">
        <v>100</v>
      </c>
      <c r="U123" t="s">
        <v>354</v>
      </c>
      <c r="W123" t="s">
        <v>262</v>
      </c>
      <c r="X123">
        <v>-41.292489400000001</v>
      </c>
      <c r="Y123">
        <v>174.003523099999</v>
      </c>
      <c r="Z123">
        <v>729</v>
      </c>
      <c r="AA123" s="9">
        <v>42917</v>
      </c>
    </row>
    <row r="124" spans="1:27" x14ac:dyDescent="0.3">
      <c r="A124" t="s">
        <v>21</v>
      </c>
      <c r="B124" t="s">
        <v>746</v>
      </c>
      <c r="C124" t="s">
        <v>270</v>
      </c>
      <c r="D124" t="s">
        <v>747</v>
      </c>
      <c r="E124">
        <v>5051</v>
      </c>
      <c r="G124" t="s">
        <v>634</v>
      </c>
      <c r="H124" t="s">
        <v>748</v>
      </c>
      <c r="I124" t="s">
        <v>749</v>
      </c>
      <c r="J124" t="s">
        <v>275</v>
      </c>
      <c r="K124">
        <v>7471</v>
      </c>
      <c r="L124" t="s">
        <v>276</v>
      </c>
      <c r="M124" t="s">
        <v>749</v>
      </c>
      <c r="N124" t="s">
        <v>276</v>
      </c>
      <c r="P124" t="s">
        <v>260</v>
      </c>
      <c r="Q124" t="s">
        <v>260</v>
      </c>
      <c r="R124" t="s">
        <v>261</v>
      </c>
      <c r="S124" t="s">
        <v>21</v>
      </c>
      <c r="T124">
        <v>100</v>
      </c>
      <c r="U124" t="s">
        <v>354</v>
      </c>
      <c r="W124" t="s">
        <v>262</v>
      </c>
      <c r="X124">
        <v>-45.0060231</v>
      </c>
      <c r="Y124">
        <v>168.7504003</v>
      </c>
      <c r="Z124">
        <v>729</v>
      </c>
      <c r="AA124" s="9">
        <v>42917</v>
      </c>
    </row>
    <row r="125" spans="1:27" x14ac:dyDescent="0.3">
      <c r="A125" t="s">
        <v>21</v>
      </c>
      <c r="B125" t="s">
        <v>750</v>
      </c>
      <c r="C125" t="s">
        <v>270</v>
      </c>
      <c r="D125" t="s">
        <v>751</v>
      </c>
      <c r="E125">
        <v>5052</v>
      </c>
      <c r="G125" t="s">
        <v>634</v>
      </c>
      <c r="H125" t="s">
        <v>752</v>
      </c>
      <c r="I125" t="s">
        <v>753</v>
      </c>
      <c r="J125" t="s">
        <v>685</v>
      </c>
      <c r="K125">
        <v>4332</v>
      </c>
      <c r="L125" t="s">
        <v>276</v>
      </c>
      <c r="M125" t="s">
        <v>754</v>
      </c>
      <c r="N125" t="s">
        <v>276</v>
      </c>
      <c r="P125" t="s">
        <v>260</v>
      </c>
      <c r="Q125" t="s">
        <v>260</v>
      </c>
      <c r="R125" t="s">
        <v>261</v>
      </c>
      <c r="S125" t="s">
        <v>21</v>
      </c>
      <c r="T125">
        <v>100</v>
      </c>
      <c r="U125" t="s">
        <v>354</v>
      </c>
      <c r="W125" t="s">
        <v>262</v>
      </c>
      <c r="X125">
        <v>-39.432506500000002</v>
      </c>
      <c r="Y125">
        <v>175.28165669999899</v>
      </c>
      <c r="Z125">
        <v>729</v>
      </c>
      <c r="AA125" s="9">
        <v>42917</v>
      </c>
    </row>
    <row r="126" spans="1:27" x14ac:dyDescent="0.3">
      <c r="A126" t="s">
        <v>21</v>
      </c>
      <c r="B126" t="s">
        <v>755</v>
      </c>
      <c r="C126" t="s">
        <v>270</v>
      </c>
      <c r="D126" t="s">
        <v>756</v>
      </c>
      <c r="E126">
        <v>5054</v>
      </c>
      <c r="G126" t="s">
        <v>634</v>
      </c>
      <c r="H126" t="s">
        <v>757</v>
      </c>
      <c r="I126" t="s">
        <v>758</v>
      </c>
      <c r="J126" t="s">
        <v>399</v>
      </c>
      <c r="K126">
        <v>3920</v>
      </c>
      <c r="L126" t="s">
        <v>276</v>
      </c>
      <c r="M126" t="s">
        <v>759</v>
      </c>
      <c r="N126" t="s">
        <v>276</v>
      </c>
      <c r="P126" t="s">
        <v>260</v>
      </c>
      <c r="Q126" t="s">
        <v>260</v>
      </c>
      <c r="R126" t="s">
        <v>261</v>
      </c>
      <c r="S126" t="s">
        <v>21</v>
      </c>
      <c r="T126">
        <v>100</v>
      </c>
      <c r="U126" t="s">
        <v>354</v>
      </c>
      <c r="W126" t="s">
        <v>262</v>
      </c>
      <c r="X126">
        <v>-39.349279799999998</v>
      </c>
      <c r="Y126">
        <v>174.2919713</v>
      </c>
      <c r="Z126">
        <v>729</v>
      </c>
      <c r="AA126" s="9">
        <v>42917</v>
      </c>
    </row>
    <row r="127" spans="1:27" x14ac:dyDescent="0.3">
      <c r="A127" t="s">
        <v>21</v>
      </c>
      <c r="B127" t="s">
        <v>760</v>
      </c>
      <c r="C127" t="s">
        <v>270</v>
      </c>
      <c r="D127" t="s">
        <v>761</v>
      </c>
      <c r="E127" t="s">
        <v>761</v>
      </c>
      <c r="F127" t="s">
        <v>761</v>
      </c>
      <c r="G127" t="s">
        <v>634</v>
      </c>
      <c r="H127" t="s">
        <v>762</v>
      </c>
      <c r="I127" t="s">
        <v>763</v>
      </c>
      <c r="J127" t="s">
        <v>685</v>
      </c>
      <c r="K127">
        <v>3330</v>
      </c>
      <c r="L127" t="s">
        <v>276</v>
      </c>
      <c r="M127" t="s">
        <v>739</v>
      </c>
      <c r="N127" t="s">
        <v>276</v>
      </c>
      <c r="P127" t="s">
        <v>260</v>
      </c>
      <c r="Q127" t="s">
        <v>260</v>
      </c>
      <c r="R127" t="s">
        <v>261</v>
      </c>
      <c r="S127" t="s">
        <v>21</v>
      </c>
      <c r="T127">
        <v>100</v>
      </c>
      <c r="U127" t="s">
        <v>354</v>
      </c>
      <c r="W127" t="s">
        <v>262</v>
      </c>
      <c r="X127">
        <v>-40.263185100000001</v>
      </c>
      <c r="Y127">
        <v>176.03113139999999</v>
      </c>
      <c r="Z127">
        <v>729</v>
      </c>
      <c r="AA127" s="9">
        <v>42917</v>
      </c>
    </row>
    <row r="128" spans="1:27" x14ac:dyDescent="0.3">
      <c r="A128" t="s">
        <v>21</v>
      </c>
      <c r="B128" t="s">
        <v>764</v>
      </c>
      <c r="C128" t="s">
        <v>270</v>
      </c>
      <c r="D128" t="s">
        <v>765</v>
      </c>
      <c r="E128">
        <v>5056</v>
      </c>
      <c r="G128" t="s">
        <v>634</v>
      </c>
      <c r="H128" t="s">
        <v>766</v>
      </c>
      <c r="I128" t="s">
        <v>767</v>
      </c>
      <c r="J128" t="s">
        <v>685</v>
      </c>
      <c r="K128">
        <v>3330</v>
      </c>
      <c r="L128" t="s">
        <v>276</v>
      </c>
      <c r="M128" t="s">
        <v>767</v>
      </c>
      <c r="N128" t="s">
        <v>276</v>
      </c>
      <c r="P128" t="s">
        <v>260</v>
      </c>
      <c r="Q128" t="s">
        <v>260</v>
      </c>
      <c r="R128" t="s">
        <v>261</v>
      </c>
      <c r="S128" t="s">
        <v>21</v>
      </c>
      <c r="T128">
        <v>100</v>
      </c>
      <c r="U128" t="s">
        <v>354</v>
      </c>
      <c r="W128" t="s">
        <v>262</v>
      </c>
      <c r="X128">
        <v>-38.889705499999998</v>
      </c>
      <c r="Y128">
        <v>175.24621249999899</v>
      </c>
      <c r="Z128">
        <v>729</v>
      </c>
      <c r="AA128" s="9">
        <v>42917</v>
      </c>
    </row>
    <row r="129" spans="1:27" x14ac:dyDescent="0.3">
      <c r="A129" t="s">
        <v>21</v>
      </c>
      <c r="B129" t="s">
        <v>768</v>
      </c>
      <c r="C129" t="s">
        <v>270</v>
      </c>
      <c r="D129" t="s">
        <v>769</v>
      </c>
      <c r="E129">
        <v>5057</v>
      </c>
      <c r="G129" t="s">
        <v>634</v>
      </c>
      <c r="H129" t="s">
        <v>770</v>
      </c>
      <c r="I129" t="s">
        <v>771</v>
      </c>
      <c r="J129" t="s">
        <v>380</v>
      </c>
      <c r="K129">
        <v>3171</v>
      </c>
      <c r="L129" t="s">
        <v>276</v>
      </c>
      <c r="M129" t="s">
        <v>771</v>
      </c>
      <c r="N129" t="s">
        <v>276</v>
      </c>
      <c r="P129" t="s">
        <v>260</v>
      </c>
      <c r="Q129" t="s">
        <v>260</v>
      </c>
      <c r="R129" t="s">
        <v>261</v>
      </c>
      <c r="S129" t="s">
        <v>21</v>
      </c>
      <c r="T129">
        <v>100</v>
      </c>
      <c r="U129" t="s">
        <v>354</v>
      </c>
      <c r="W129" t="s">
        <v>262</v>
      </c>
      <c r="X129">
        <v>-38.695047099999996</v>
      </c>
      <c r="Y129">
        <v>176.10950059999999</v>
      </c>
      <c r="Z129">
        <v>729</v>
      </c>
      <c r="AA129" s="9">
        <v>42917</v>
      </c>
    </row>
    <row r="130" spans="1:27" x14ac:dyDescent="0.3">
      <c r="A130" t="s">
        <v>21</v>
      </c>
      <c r="B130" t="s">
        <v>772</v>
      </c>
      <c r="C130" t="s">
        <v>270</v>
      </c>
      <c r="D130" t="s">
        <v>773</v>
      </c>
      <c r="E130">
        <v>5058</v>
      </c>
      <c r="G130" t="s">
        <v>634</v>
      </c>
      <c r="H130" t="s">
        <v>774</v>
      </c>
      <c r="I130" t="s">
        <v>771</v>
      </c>
      <c r="J130" t="s">
        <v>380</v>
      </c>
      <c r="K130">
        <v>9600</v>
      </c>
      <c r="L130" t="s">
        <v>276</v>
      </c>
      <c r="M130" t="s">
        <v>771</v>
      </c>
      <c r="N130" t="s">
        <v>276</v>
      </c>
      <c r="P130" t="s">
        <v>260</v>
      </c>
      <c r="Q130" t="s">
        <v>260</v>
      </c>
      <c r="R130" t="s">
        <v>261</v>
      </c>
      <c r="S130" t="s">
        <v>21</v>
      </c>
      <c r="T130">
        <v>100</v>
      </c>
      <c r="U130" t="s">
        <v>354</v>
      </c>
      <c r="W130" t="s">
        <v>262</v>
      </c>
      <c r="X130">
        <v>-38.692036299999998</v>
      </c>
      <c r="Y130">
        <v>176.106111599999</v>
      </c>
      <c r="Z130">
        <v>729</v>
      </c>
      <c r="AA130" s="9">
        <v>42917</v>
      </c>
    </row>
    <row r="131" spans="1:27" x14ac:dyDescent="0.3">
      <c r="A131" t="s">
        <v>21</v>
      </c>
      <c r="B131" t="s">
        <v>775</v>
      </c>
      <c r="C131" t="s">
        <v>270</v>
      </c>
      <c r="D131" t="s">
        <v>776</v>
      </c>
      <c r="E131">
        <v>5059</v>
      </c>
      <c r="G131" t="s">
        <v>634</v>
      </c>
      <c r="H131" t="s">
        <v>777</v>
      </c>
      <c r="I131" t="s">
        <v>429</v>
      </c>
      <c r="J131" t="s">
        <v>430</v>
      </c>
      <c r="K131">
        <v>3910</v>
      </c>
      <c r="L131" t="s">
        <v>276</v>
      </c>
      <c r="M131" t="s">
        <v>429</v>
      </c>
      <c r="N131" t="s">
        <v>276</v>
      </c>
      <c r="P131" t="s">
        <v>260</v>
      </c>
      <c r="Q131" t="s">
        <v>260</v>
      </c>
      <c r="R131" t="s">
        <v>261</v>
      </c>
      <c r="S131" t="s">
        <v>21</v>
      </c>
      <c r="T131">
        <v>100</v>
      </c>
      <c r="U131" t="s">
        <v>354</v>
      </c>
      <c r="W131" t="s">
        <v>262</v>
      </c>
      <c r="X131">
        <v>-37.742166999999903</v>
      </c>
      <c r="Y131">
        <v>176.10169889999901</v>
      </c>
      <c r="Z131">
        <v>729</v>
      </c>
      <c r="AA131" s="9">
        <v>42917</v>
      </c>
    </row>
    <row r="132" spans="1:27" x14ac:dyDescent="0.3">
      <c r="A132" t="s">
        <v>21</v>
      </c>
      <c r="B132" t="s">
        <v>778</v>
      </c>
      <c r="C132" t="s">
        <v>270</v>
      </c>
      <c r="D132" t="s">
        <v>779</v>
      </c>
      <c r="E132">
        <v>5060</v>
      </c>
      <c r="G132" t="s">
        <v>634</v>
      </c>
      <c r="H132" t="s">
        <v>780</v>
      </c>
      <c r="I132" t="s">
        <v>781</v>
      </c>
      <c r="J132" t="s">
        <v>385</v>
      </c>
      <c r="K132">
        <v>3500</v>
      </c>
      <c r="L132" t="s">
        <v>276</v>
      </c>
      <c r="M132" t="s">
        <v>781</v>
      </c>
      <c r="N132" t="s">
        <v>276</v>
      </c>
      <c r="P132" t="s">
        <v>260</v>
      </c>
      <c r="Q132" t="s">
        <v>260</v>
      </c>
      <c r="R132" t="s">
        <v>261</v>
      </c>
      <c r="S132" t="s">
        <v>21</v>
      </c>
      <c r="T132">
        <v>100</v>
      </c>
      <c r="U132" t="s">
        <v>354</v>
      </c>
      <c r="W132" t="s">
        <v>262</v>
      </c>
      <c r="X132">
        <v>-45.412389400000002</v>
      </c>
      <c r="Y132">
        <v>167.73160050000001</v>
      </c>
      <c r="Z132">
        <v>729</v>
      </c>
      <c r="AA132" s="9">
        <v>42917</v>
      </c>
    </row>
    <row r="133" spans="1:27" x14ac:dyDescent="0.3">
      <c r="A133" t="s">
        <v>21</v>
      </c>
      <c r="B133" t="s">
        <v>782</v>
      </c>
      <c r="C133" t="s">
        <v>270</v>
      </c>
      <c r="D133" t="s">
        <v>783</v>
      </c>
      <c r="E133">
        <v>5063</v>
      </c>
      <c r="G133" t="s">
        <v>634</v>
      </c>
      <c r="H133" t="s">
        <v>784</v>
      </c>
      <c r="I133" t="s">
        <v>698</v>
      </c>
      <c r="J133" t="s">
        <v>425</v>
      </c>
      <c r="K133">
        <v>7901</v>
      </c>
      <c r="L133" t="s">
        <v>276</v>
      </c>
      <c r="M133" t="s">
        <v>698</v>
      </c>
      <c r="N133" t="s">
        <v>276</v>
      </c>
      <c r="P133" t="s">
        <v>260</v>
      </c>
      <c r="Q133" t="s">
        <v>260</v>
      </c>
      <c r="R133" t="s">
        <v>261</v>
      </c>
      <c r="S133" t="s">
        <v>21</v>
      </c>
      <c r="T133">
        <v>100</v>
      </c>
      <c r="U133" t="s">
        <v>354</v>
      </c>
      <c r="W133" t="s">
        <v>262</v>
      </c>
      <c r="X133">
        <v>-44.354093300000002</v>
      </c>
      <c r="Y133">
        <v>171.24662469999899</v>
      </c>
      <c r="Z133">
        <v>729</v>
      </c>
      <c r="AA133" s="9">
        <v>42917</v>
      </c>
    </row>
    <row r="134" spans="1:27" x14ac:dyDescent="0.3">
      <c r="A134" t="s">
        <v>21</v>
      </c>
      <c r="B134" t="s">
        <v>785</v>
      </c>
      <c r="C134" t="s">
        <v>270</v>
      </c>
      <c r="D134" t="s">
        <v>786</v>
      </c>
      <c r="E134">
        <v>5064</v>
      </c>
      <c r="G134" t="s">
        <v>634</v>
      </c>
      <c r="H134" t="s">
        <v>787</v>
      </c>
      <c r="I134" t="s">
        <v>788</v>
      </c>
      <c r="J134" t="s">
        <v>380</v>
      </c>
      <c r="K134">
        <v>4108</v>
      </c>
      <c r="L134" t="s">
        <v>276</v>
      </c>
      <c r="M134" t="s">
        <v>788</v>
      </c>
      <c r="N134" t="s">
        <v>276</v>
      </c>
      <c r="P134" t="s">
        <v>260</v>
      </c>
      <c r="Q134" t="s">
        <v>260</v>
      </c>
      <c r="R134" t="s">
        <v>261</v>
      </c>
      <c r="S134" t="s">
        <v>21</v>
      </c>
      <c r="T134">
        <v>100</v>
      </c>
      <c r="U134" t="s">
        <v>354</v>
      </c>
      <c r="W134" t="s">
        <v>262</v>
      </c>
      <c r="X134">
        <v>-37.974215000000001</v>
      </c>
      <c r="Y134">
        <v>175.75859079999901</v>
      </c>
      <c r="Z134">
        <v>729</v>
      </c>
      <c r="AA134" s="9">
        <v>42917</v>
      </c>
    </row>
    <row r="135" spans="1:27" x14ac:dyDescent="0.3">
      <c r="A135" t="s">
        <v>21</v>
      </c>
      <c r="B135" t="s">
        <v>789</v>
      </c>
      <c r="C135" t="s">
        <v>270</v>
      </c>
      <c r="D135" t="s">
        <v>790</v>
      </c>
      <c r="E135">
        <v>5065</v>
      </c>
      <c r="G135" t="s">
        <v>634</v>
      </c>
      <c r="H135" t="s">
        <v>791</v>
      </c>
      <c r="I135" t="s">
        <v>792</v>
      </c>
      <c r="J135" t="s">
        <v>425</v>
      </c>
      <c r="K135">
        <v>9494</v>
      </c>
      <c r="L135" t="s">
        <v>276</v>
      </c>
      <c r="M135" t="s">
        <v>726</v>
      </c>
      <c r="N135" t="s">
        <v>276</v>
      </c>
      <c r="P135" t="s">
        <v>260</v>
      </c>
      <c r="Q135" t="s">
        <v>260</v>
      </c>
      <c r="R135" t="s">
        <v>261</v>
      </c>
      <c r="S135" t="s">
        <v>21</v>
      </c>
      <c r="T135">
        <v>100</v>
      </c>
      <c r="U135" t="s">
        <v>354</v>
      </c>
      <c r="W135" t="s">
        <v>262</v>
      </c>
      <c r="X135">
        <v>-44.265565100000003</v>
      </c>
      <c r="Y135">
        <v>170.089578399999</v>
      </c>
      <c r="Z135">
        <v>729</v>
      </c>
      <c r="AA135" s="9">
        <v>42917</v>
      </c>
    </row>
    <row r="136" spans="1:27" x14ac:dyDescent="0.3">
      <c r="A136" t="s">
        <v>21</v>
      </c>
      <c r="B136" t="s">
        <v>793</v>
      </c>
      <c r="C136" t="s">
        <v>270</v>
      </c>
      <c r="D136" t="s">
        <v>794</v>
      </c>
      <c r="E136">
        <v>5165</v>
      </c>
      <c r="G136" t="s">
        <v>795</v>
      </c>
      <c r="H136" t="s">
        <v>796</v>
      </c>
      <c r="I136" t="s">
        <v>297</v>
      </c>
      <c r="J136" t="s">
        <v>297</v>
      </c>
      <c r="K136">
        <v>8051</v>
      </c>
      <c r="L136" t="s">
        <v>276</v>
      </c>
      <c r="M136" t="s">
        <v>797</v>
      </c>
      <c r="N136" t="s">
        <v>276</v>
      </c>
      <c r="P136" t="s">
        <v>260</v>
      </c>
      <c r="Q136" t="s">
        <v>260</v>
      </c>
      <c r="R136" t="s">
        <v>261</v>
      </c>
      <c r="S136" t="s">
        <v>21</v>
      </c>
      <c r="T136">
        <v>100</v>
      </c>
      <c r="U136" t="s">
        <v>354</v>
      </c>
      <c r="W136" t="s">
        <v>262</v>
      </c>
      <c r="X136">
        <v>-36.887946499999998</v>
      </c>
      <c r="Y136">
        <v>174.6303298</v>
      </c>
      <c r="Z136">
        <v>729</v>
      </c>
      <c r="AA136" s="9">
        <v>42917</v>
      </c>
    </row>
    <row r="137" spans="1:27" x14ac:dyDescent="0.3">
      <c r="A137" t="s">
        <v>21</v>
      </c>
      <c r="B137" t="s">
        <v>798</v>
      </c>
      <c r="C137" t="s">
        <v>270</v>
      </c>
      <c r="D137" t="s">
        <v>799</v>
      </c>
      <c r="E137">
        <v>5166</v>
      </c>
      <c r="G137" t="s">
        <v>795</v>
      </c>
      <c r="H137" t="s">
        <v>800</v>
      </c>
      <c r="I137" t="s">
        <v>297</v>
      </c>
      <c r="J137" t="s">
        <v>297</v>
      </c>
      <c r="K137">
        <v>1640</v>
      </c>
      <c r="L137" t="s">
        <v>276</v>
      </c>
      <c r="M137" t="s">
        <v>801</v>
      </c>
      <c r="N137" t="s">
        <v>276</v>
      </c>
      <c r="P137" t="s">
        <v>260</v>
      </c>
      <c r="Q137" t="s">
        <v>260</v>
      </c>
      <c r="R137" t="s">
        <v>261</v>
      </c>
      <c r="S137" t="s">
        <v>21</v>
      </c>
      <c r="T137">
        <v>100</v>
      </c>
      <c r="U137" t="s">
        <v>354</v>
      </c>
      <c r="W137" t="s">
        <v>262</v>
      </c>
      <c r="X137">
        <v>-36.6253758</v>
      </c>
      <c r="Y137">
        <v>174.6801863</v>
      </c>
      <c r="Z137">
        <v>729</v>
      </c>
      <c r="AA137" s="9">
        <v>42917</v>
      </c>
    </row>
    <row r="138" spans="1:27" x14ac:dyDescent="0.3">
      <c r="A138" t="s">
        <v>21</v>
      </c>
      <c r="B138" t="s">
        <v>802</v>
      </c>
      <c r="C138" t="s">
        <v>270</v>
      </c>
      <c r="D138" t="s">
        <v>803</v>
      </c>
      <c r="E138">
        <v>5164</v>
      </c>
      <c r="G138" t="s">
        <v>795</v>
      </c>
      <c r="H138" t="s">
        <v>804</v>
      </c>
      <c r="I138" t="s">
        <v>297</v>
      </c>
      <c r="J138" t="s">
        <v>297</v>
      </c>
      <c r="K138">
        <v>932</v>
      </c>
      <c r="L138" t="s">
        <v>276</v>
      </c>
      <c r="M138" t="s">
        <v>805</v>
      </c>
      <c r="N138" t="s">
        <v>276</v>
      </c>
      <c r="P138" t="s">
        <v>260</v>
      </c>
      <c r="Q138" t="s">
        <v>260</v>
      </c>
      <c r="R138" t="s">
        <v>261</v>
      </c>
      <c r="S138" t="s">
        <v>21</v>
      </c>
      <c r="T138">
        <v>100</v>
      </c>
      <c r="U138" t="s">
        <v>354</v>
      </c>
      <c r="W138" t="s">
        <v>262</v>
      </c>
      <c r="X138">
        <v>-36.7539698</v>
      </c>
      <c r="Y138">
        <v>174.70674269999901</v>
      </c>
      <c r="Z138">
        <v>729</v>
      </c>
      <c r="AA138" s="9">
        <v>42917</v>
      </c>
    </row>
    <row r="139" spans="1:27" x14ac:dyDescent="0.3">
      <c r="A139" t="s">
        <v>21</v>
      </c>
      <c r="B139" t="s">
        <v>806</v>
      </c>
      <c r="C139" t="s">
        <v>299</v>
      </c>
      <c r="D139" t="s">
        <v>807</v>
      </c>
      <c r="E139">
        <v>5288</v>
      </c>
      <c r="G139" t="s">
        <v>723</v>
      </c>
      <c r="M139" t="s">
        <v>808</v>
      </c>
      <c r="N139" t="s">
        <v>276</v>
      </c>
      <c r="P139" t="s">
        <v>260</v>
      </c>
      <c r="Q139" t="s">
        <v>260</v>
      </c>
      <c r="R139" t="s">
        <v>261</v>
      </c>
      <c r="S139" t="s">
        <v>21</v>
      </c>
      <c r="T139">
        <v>100</v>
      </c>
      <c r="U139" t="s">
        <v>354</v>
      </c>
      <c r="W139" t="s">
        <v>262</v>
      </c>
    </row>
    <row r="140" spans="1:27" x14ac:dyDescent="0.3">
      <c r="A140" t="s">
        <v>21</v>
      </c>
      <c r="B140" t="s">
        <v>809</v>
      </c>
      <c r="C140" t="s">
        <v>270</v>
      </c>
      <c r="D140" t="s">
        <v>810</v>
      </c>
      <c r="E140">
        <v>5067</v>
      </c>
      <c r="G140" t="s">
        <v>634</v>
      </c>
      <c r="H140" t="s">
        <v>273</v>
      </c>
      <c r="I140" t="s">
        <v>274</v>
      </c>
      <c r="J140" t="s">
        <v>275</v>
      </c>
      <c r="K140">
        <v>4501</v>
      </c>
      <c r="L140" t="s">
        <v>276</v>
      </c>
      <c r="M140" t="s">
        <v>274</v>
      </c>
      <c r="N140" t="s">
        <v>276</v>
      </c>
      <c r="P140" t="s">
        <v>260</v>
      </c>
      <c r="Q140" t="s">
        <v>260</v>
      </c>
      <c r="R140" t="s">
        <v>261</v>
      </c>
      <c r="S140" t="s">
        <v>21</v>
      </c>
      <c r="T140">
        <v>100</v>
      </c>
      <c r="W140" t="s">
        <v>262</v>
      </c>
      <c r="X140">
        <v>-45.097848199999902</v>
      </c>
      <c r="Y140">
        <v>170.9606991</v>
      </c>
      <c r="Z140">
        <v>729</v>
      </c>
      <c r="AA140" s="9">
        <v>42917</v>
      </c>
    </row>
    <row r="141" spans="1:27" x14ac:dyDescent="0.3">
      <c r="A141" t="s">
        <v>21</v>
      </c>
      <c r="B141" t="s">
        <v>811</v>
      </c>
      <c r="C141" t="s">
        <v>270</v>
      </c>
      <c r="D141" t="s">
        <v>812</v>
      </c>
      <c r="E141">
        <v>5068</v>
      </c>
      <c r="G141" t="s">
        <v>634</v>
      </c>
      <c r="H141" t="s">
        <v>813</v>
      </c>
      <c r="I141" t="s">
        <v>297</v>
      </c>
      <c r="J141" t="s">
        <v>297</v>
      </c>
      <c r="K141">
        <v>5022</v>
      </c>
      <c r="L141" t="s">
        <v>276</v>
      </c>
      <c r="M141" t="s">
        <v>814</v>
      </c>
      <c r="N141" t="s">
        <v>276</v>
      </c>
      <c r="P141" t="s">
        <v>260</v>
      </c>
      <c r="Q141" t="s">
        <v>260</v>
      </c>
      <c r="R141" t="s">
        <v>261</v>
      </c>
      <c r="S141" t="s">
        <v>21</v>
      </c>
      <c r="T141">
        <v>100</v>
      </c>
      <c r="U141" t="s">
        <v>354</v>
      </c>
      <c r="W141" t="s">
        <v>262</v>
      </c>
      <c r="X141">
        <v>-36.602235299999997</v>
      </c>
      <c r="Y141">
        <v>174.59195969999899</v>
      </c>
      <c r="Z141">
        <v>729</v>
      </c>
      <c r="AA141" s="9">
        <v>42917</v>
      </c>
    </row>
    <row r="142" spans="1:27" x14ac:dyDescent="0.3">
      <c r="A142" t="s">
        <v>21</v>
      </c>
      <c r="B142" t="s">
        <v>815</v>
      </c>
      <c r="C142" t="s">
        <v>270</v>
      </c>
      <c r="D142" t="s">
        <v>816</v>
      </c>
      <c r="E142">
        <v>5069</v>
      </c>
      <c r="G142" t="s">
        <v>634</v>
      </c>
      <c r="H142" t="s">
        <v>817</v>
      </c>
      <c r="I142" t="s">
        <v>818</v>
      </c>
      <c r="J142" t="s">
        <v>685</v>
      </c>
      <c r="K142">
        <v>4010</v>
      </c>
      <c r="L142" t="s">
        <v>276</v>
      </c>
      <c r="M142" t="s">
        <v>685</v>
      </c>
      <c r="N142" t="s">
        <v>276</v>
      </c>
      <c r="P142" t="s">
        <v>260</v>
      </c>
      <c r="Q142" t="s">
        <v>260</v>
      </c>
      <c r="R142" t="s">
        <v>261</v>
      </c>
      <c r="S142" t="s">
        <v>21</v>
      </c>
      <c r="T142">
        <v>100</v>
      </c>
      <c r="U142" t="s">
        <v>354</v>
      </c>
      <c r="W142" t="s">
        <v>262</v>
      </c>
      <c r="X142">
        <v>-39.943620799999898</v>
      </c>
      <c r="Y142">
        <v>174.99524819999999</v>
      </c>
      <c r="Z142">
        <v>729</v>
      </c>
      <c r="AA142" s="9">
        <v>42917</v>
      </c>
    </row>
    <row r="143" spans="1:27" x14ac:dyDescent="0.3">
      <c r="A143" t="s">
        <v>21</v>
      </c>
      <c r="B143" t="s">
        <v>819</v>
      </c>
      <c r="C143" t="s">
        <v>270</v>
      </c>
      <c r="D143" t="s">
        <v>820</v>
      </c>
      <c r="E143">
        <v>5070</v>
      </c>
      <c r="G143" t="s">
        <v>634</v>
      </c>
      <c r="H143" t="s">
        <v>821</v>
      </c>
      <c r="I143" t="s">
        <v>822</v>
      </c>
      <c r="J143" t="s">
        <v>403</v>
      </c>
      <c r="K143">
        <v>110</v>
      </c>
      <c r="L143" t="s">
        <v>276</v>
      </c>
      <c r="M143" t="s">
        <v>822</v>
      </c>
      <c r="N143" t="s">
        <v>276</v>
      </c>
      <c r="P143" t="s">
        <v>260</v>
      </c>
      <c r="Q143" t="s">
        <v>260</v>
      </c>
      <c r="R143" t="s">
        <v>261</v>
      </c>
      <c r="S143" t="s">
        <v>21</v>
      </c>
      <c r="T143">
        <v>100</v>
      </c>
      <c r="U143" t="s">
        <v>354</v>
      </c>
      <c r="W143" t="s">
        <v>262</v>
      </c>
      <c r="X143">
        <v>-41.137590600000003</v>
      </c>
      <c r="Y143">
        <v>174.831221499999</v>
      </c>
      <c r="Z143">
        <v>729</v>
      </c>
      <c r="AA143" s="9">
        <v>42917</v>
      </c>
    </row>
    <row r="144" spans="1:27" x14ac:dyDescent="0.3">
      <c r="A144" t="s">
        <v>21</v>
      </c>
      <c r="B144" t="s">
        <v>823</v>
      </c>
      <c r="C144" t="s">
        <v>270</v>
      </c>
      <c r="D144" t="s">
        <v>824</v>
      </c>
      <c r="E144">
        <v>5072</v>
      </c>
      <c r="G144" t="s">
        <v>634</v>
      </c>
      <c r="H144" t="s">
        <v>825</v>
      </c>
      <c r="I144" t="s">
        <v>352</v>
      </c>
      <c r="J144" t="s">
        <v>353</v>
      </c>
      <c r="K144">
        <v>1061</v>
      </c>
      <c r="L144" t="s">
        <v>276</v>
      </c>
      <c r="M144" t="s">
        <v>352</v>
      </c>
      <c r="N144" t="s">
        <v>276</v>
      </c>
      <c r="P144" t="s">
        <v>260</v>
      </c>
      <c r="Q144" t="s">
        <v>260</v>
      </c>
      <c r="R144" t="s">
        <v>261</v>
      </c>
      <c r="S144" t="s">
        <v>21</v>
      </c>
      <c r="T144">
        <v>100</v>
      </c>
      <c r="U144" t="s">
        <v>354</v>
      </c>
      <c r="W144" t="s">
        <v>262</v>
      </c>
      <c r="X144">
        <v>-35.743169399999999</v>
      </c>
      <c r="Y144">
        <v>174.34159030000001</v>
      </c>
      <c r="Z144">
        <v>729</v>
      </c>
      <c r="AA144" s="9">
        <v>42917</v>
      </c>
    </row>
    <row r="145" spans="1:28" x14ac:dyDescent="0.3">
      <c r="A145" t="s">
        <v>21</v>
      </c>
      <c r="B145" t="s">
        <v>826</v>
      </c>
      <c r="C145" t="s">
        <v>270</v>
      </c>
      <c r="D145" t="s">
        <v>827</v>
      </c>
      <c r="E145">
        <v>5157</v>
      </c>
      <c r="G145" t="s">
        <v>828</v>
      </c>
      <c r="H145" t="s">
        <v>829</v>
      </c>
      <c r="I145" t="s">
        <v>830</v>
      </c>
      <c r="J145" t="s">
        <v>380</v>
      </c>
      <c r="K145">
        <v>4501</v>
      </c>
      <c r="L145" t="s">
        <v>276</v>
      </c>
      <c r="M145" t="s">
        <v>830</v>
      </c>
      <c r="N145" t="s">
        <v>276</v>
      </c>
      <c r="P145" t="s">
        <v>260</v>
      </c>
      <c r="Q145" t="s">
        <v>260</v>
      </c>
      <c r="R145" t="s">
        <v>283</v>
      </c>
      <c r="S145" t="s">
        <v>21</v>
      </c>
      <c r="T145">
        <v>100</v>
      </c>
      <c r="W145" t="s">
        <v>262</v>
      </c>
      <c r="X145">
        <v>-37.8100685</v>
      </c>
      <c r="Y145">
        <v>175.77084139999999</v>
      </c>
      <c r="Z145">
        <v>310</v>
      </c>
      <c r="AA145" s="9">
        <v>42917</v>
      </c>
    </row>
    <row r="146" spans="1:28" x14ac:dyDescent="0.3">
      <c r="A146" t="s">
        <v>21</v>
      </c>
      <c r="B146" t="s">
        <v>831</v>
      </c>
      <c r="C146" t="s">
        <v>270</v>
      </c>
      <c r="D146" t="s">
        <v>832</v>
      </c>
      <c r="E146">
        <v>5163</v>
      </c>
      <c r="G146" t="s">
        <v>828</v>
      </c>
      <c r="H146" t="s">
        <v>833</v>
      </c>
      <c r="I146" t="s">
        <v>834</v>
      </c>
      <c r="J146" t="s">
        <v>685</v>
      </c>
      <c r="K146">
        <v>612</v>
      </c>
      <c r="L146" t="s">
        <v>276</v>
      </c>
      <c r="M146" t="s">
        <v>754</v>
      </c>
      <c r="N146" t="s">
        <v>276</v>
      </c>
      <c r="P146" t="s">
        <v>260</v>
      </c>
      <c r="Q146" t="s">
        <v>260</v>
      </c>
      <c r="R146" t="s">
        <v>283</v>
      </c>
      <c r="S146" t="s">
        <v>21</v>
      </c>
      <c r="T146">
        <v>100</v>
      </c>
      <c r="W146" t="s">
        <v>262</v>
      </c>
      <c r="X146">
        <v>-39.659500999999999</v>
      </c>
      <c r="Y146">
        <v>175.78309100000001</v>
      </c>
      <c r="Z146">
        <v>310</v>
      </c>
      <c r="AA146" s="9">
        <v>42917</v>
      </c>
    </row>
    <row r="147" spans="1:28" x14ac:dyDescent="0.3">
      <c r="A147" t="s">
        <v>21</v>
      </c>
      <c r="B147" t="s">
        <v>835</v>
      </c>
      <c r="C147" t="s">
        <v>270</v>
      </c>
      <c r="D147" t="s">
        <v>836</v>
      </c>
      <c r="E147">
        <v>5126</v>
      </c>
      <c r="G147" t="s">
        <v>837</v>
      </c>
      <c r="H147" t="s">
        <v>838</v>
      </c>
      <c r="I147" t="s">
        <v>390</v>
      </c>
      <c r="J147" t="s">
        <v>425</v>
      </c>
      <c r="K147">
        <v>8042</v>
      </c>
      <c r="L147" t="s">
        <v>276</v>
      </c>
      <c r="M147" t="s">
        <v>390</v>
      </c>
      <c r="N147" t="s">
        <v>276</v>
      </c>
      <c r="P147" t="s">
        <v>260</v>
      </c>
      <c r="Q147" t="s">
        <v>260</v>
      </c>
      <c r="R147" t="s">
        <v>283</v>
      </c>
      <c r="S147" t="s">
        <v>21</v>
      </c>
      <c r="T147">
        <v>100</v>
      </c>
      <c r="W147" t="s">
        <v>262</v>
      </c>
      <c r="X147">
        <v>-43.547387000000001</v>
      </c>
      <c r="Y147">
        <v>172.52175</v>
      </c>
      <c r="Z147">
        <v>729</v>
      </c>
      <c r="AA147" s="9">
        <v>42917</v>
      </c>
    </row>
    <row r="148" spans="1:28" x14ac:dyDescent="0.3">
      <c r="A148" t="s">
        <v>21</v>
      </c>
      <c r="B148" t="s">
        <v>839</v>
      </c>
      <c r="C148" t="s">
        <v>299</v>
      </c>
      <c r="D148" t="s">
        <v>840</v>
      </c>
      <c r="E148" t="s">
        <v>840</v>
      </c>
      <c r="G148" t="s">
        <v>837</v>
      </c>
      <c r="H148" t="s">
        <v>841</v>
      </c>
      <c r="I148" t="s">
        <v>822</v>
      </c>
      <c r="J148" t="s">
        <v>403</v>
      </c>
      <c r="K148">
        <v>2104</v>
      </c>
      <c r="L148" t="s">
        <v>276</v>
      </c>
      <c r="M148" t="s">
        <v>822</v>
      </c>
      <c r="N148" t="s">
        <v>276</v>
      </c>
      <c r="P148" t="s">
        <v>260</v>
      </c>
      <c r="Q148" t="s">
        <v>260</v>
      </c>
      <c r="R148" t="s">
        <v>283</v>
      </c>
      <c r="S148" t="s">
        <v>21</v>
      </c>
      <c r="T148">
        <v>100</v>
      </c>
      <c r="W148" t="s">
        <v>262</v>
      </c>
      <c r="X148">
        <v>-41.136853000000002</v>
      </c>
      <c r="Y148">
        <v>174.834395</v>
      </c>
      <c r="Z148">
        <v>729</v>
      </c>
      <c r="AA148" s="9">
        <v>42917</v>
      </c>
    </row>
    <row r="149" spans="1:28" x14ac:dyDescent="0.3">
      <c r="A149" t="s">
        <v>21</v>
      </c>
      <c r="B149" t="s">
        <v>842</v>
      </c>
      <c r="C149" t="s">
        <v>270</v>
      </c>
      <c r="D149" t="s">
        <v>843</v>
      </c>
      <c r="E149">
        <v>2006</v>
      </c>
      <c r="F149">
        <v>360</v>
      </c>
      <c r="G149" t="s">
        <v>844</v>
      </c>
      <c r="H149" t="s">
        <v>845</v>
      </c>
      <c r="I149" t="s">
        <v>846</v>
      </c>
      <c r="J149" t="s">
        <v>555</v>
      </c>
      <c r="K149">
        <v>6004</v>
      </c>
      <c r="L149" t="s">
        <v>259</v>
      </c>
      <c r="M149" t="s">
        <v>503</v>
      </c>
      <c r="N149" t="s">
        <v>259</v>
      </c>
      <c r="P149" t="s">
        <v>260</v>
      </c>
      <c r="Q149" t="s">
        <v>260</v>
      </c>
      <c r="R149" t="s">
        <v>313</v>
      </c>
      <c r="S149" t="s">
        <v>21</v>
      </c>
      <c r="T149">
        <v>100</v>
      </c>
      <c r="V149" s="9">
        <v>45107</v>
      </c>
      <c r="W149" t="s">
        <v>262</v>
      </c>
      <c r="X149">
        <v>-31.959793000000001</v>
      </c>
      <c r="Y149">
        <v>115.870454</v>
      </c>
      <c r="Z149">
        <v>692</v>
      </c>
    </row>
    <row r="150" spans="1:28" x14ac:dyDescent="0.3">
      <c r="A150" t="s">
        <v>21</v>
      </c>
      <c r="B150" t="s">
        <v>847</v>
      </c>
      <c r="C150" t="s">
        <v>299</v>
      </c>
      <c r="D150" t="s">
        <v>848</v>
      </c>
      <c r="E150">
        <v>100</v>
      </c>
      <c r="H150" t="s">
        <v>849</v>
      </c>
      <c r="I150" t="s">
        <v>850</v>
      </c>
      <c r="J150" t="s">
        <v>335</v>
      </c>
      <c r="K150">
        <v>3377</v>
      </c>
      <c r="L150" t="s">
        <v>259</v>
      </c>
      <c r="M150" t="s">
        <v>282</v>
      </c>
      <c r="N150" t="s">
        <v>259</v>
      </c>
      <c r="P150" t="s">
        <v>260</v>
      </c>
      <c r="Q150" t="s">
        <v>260</v>
      </c>
      <c r="R150" t="s">
        <v>283</v>
      </c>
      <c r="S150" t="s">
        <v>21</v>
      </c>
      <c r="T150">
        <v>100</v>
      </c>
      <c r="W150" t="s">
        <v>262</v>
      </c>
      <c r="X150">
        <v>-37.285735000000003</v>
      </c>
      <c r="Y150">
        <v>142.92908700000001</v>
      </c>
    </row>
    <row r="151" spans="1:28" x14ac:dyDescent="0.3">
      <c r="A151" t="s">
        <v>21</v>
      </c>
      <c r="B151" t="s">
        <v>851</v>
      </c>
      <c r="C151" t="s">
        <v>299</v>
      </c>
      <c r="D151" t="s">
        <v>852</v>
      </c>
      <c r="E151">
        <v>850</v>
      </c>
      <c r="H151" t="s">
        <v>853</v>
      </c>
      <c r="I151" t="s">
        <v>854</v>
      </c>
      <c r="J151" t="s">
        <v>335</v>
      </c>
      <c r="K151">
        <v>3350</v>
      </c>
      <c r="L151" t="s">
        <v>259</v>
      </c>
      <c r="M151" t="s">
        <v>282</v>
      </c>
      <c r="N151" t="s">
        <v>259</v>
      </c>
      <c r="P151" t="s">
        <v>260</v>
      </c>
      <c r="Q151" t="s">
        <v>260</v>
      </c>
      <c r="R151" t="s">
        <v>283</v>
      </c>
      <c r="S151" t="s">
        <v>21</v>
      </c>
      <c r="T151">
        <v>100</v>
      </c>
      <c r="W151" t="s">
        <v>262</v>
      </c>
      <c r="X151">
        <v>-37.503326000000001</v>
      </c>
      <c r="Y151">
        <v>143.761404</v>
      </c>
      <c r="AB151" s="9">
        <v>42916</v>
      </c>
    </row>
    <row r="152" spans="1:28" x14ac:dyDescent="0.3">
      <c r="A152" t="s">
        <v>21</v>
      </c>
      <c r="B152" t="s">
        <v>855</v>
      </c>
      <c r="C152" t="s">
        <v>299</v>
      </c>
      <c r="D152" t="s">
        <v>856</v>
      </c>
      <c r="E152">
        <v>855</v>
      </c>
      <c r="H152" t="s">
        <v>857</v>
      </c>
      <c r="I152" t="s">
        <v>858</v>
      </c>
      <c r="J152" t="s">
        <v>335</v>
      </c>
      <c r="K152">
        <v>3550</v>
      </c>
      <c r="L152" t="s">
        <v>259</v>
      </c>
      <c r="M152" t="s">
        <v>282</v>
      </c>
      <c r="N152" t="s">
        <v>259</v>
      </c>
      <c r="P152" t="s">
        <v>260</v>
      </c>
      <c r="Q152" t="s">
        <v>260</v>
      </c>
      <c r="R152" t="s">
        <v>283</v>
      </c>
      <c r="S152" t="s">
        <v>21</v>
      </c>
      <c r="T152">
        <v>100</v>
      </c>
      <c r="W152" t="s">
        <v>262</v>
      </c>
      <c r="X152">
        <v>-36.733797000000003</v>
      </c>
      <c r="Y152">
        <v>144.26574199999999</v>
      </c>
    </row>
    <row r="153" spans="1:28" x14ac:dyDescent="0.3">
      <c r="A153" t="s">
        <v>21</v>
      </c>
      <c r="B153" t="s">
        <v>859</v>
      </c>
      <c r="C153" t="s">
        <v>299</v>
      </c>
      <c r="D153" t="s">
        <v>860</v>
      </c>
      <c r="E153">
        <v>210</v>
      </c>
      <c r="H153" t="s">
        <v>861</v>
      </c>
      <c r="I153" t="s">
        <v>862</v>
      </c>
      <c r="J153" t="s">
        <v>335</v>
      </c>
      <c r="K153">
        <v>3250</v>
      </c>
      <c r="L153" t="s">
        <v>259</v>
      </c>
      <c r="M153" t="s">
        <v>282</v>
      </c>
      <c r="N153" t="s">
        <v>259</v>
      </c>
      <c r="P153" t="s">
        <v>260</v>
      </c>
      <c r="Q153" t="s">
        <v>260</v>
      </c>
      <c r="R153" t="s">
        <v>283</v>
      </c>
      <c r="S153" t="s">
        <v>21</v>
      </c>
      <c r="T153">
        <v>100</v>
      </c>
      <c r="W153" t="s">
        <v>262</v>
      </c>
      <c r="X153">
        <v>-38.331149000000003</v>
      </c>
      <c r="Y153">
        <v>143.54934800000001</v>
      </c>
    </row>
    <row r="154" spans="1:28" x14ac:dyDescent="0.3">
      <c r="A154" t="s">
        <v>21</v>
      </c>
      <c r="B154" t="s">
        <v>863</v>
      </c>
      <c r="C154" t="s">
        <v>270</v>
      </c>
      <c r="D154" t="s">
        <v>864</v>
      </c>
      <c r="E154">
        <v>3006</v>
      </c>
      <c r="F154">
        <v>96</v>
      </c>
      <c r="H154" t="s">
        <v>865</v>
      </c>
      <c r="I154" t="s">
        <v>866</v>
      </c>
      <c r="J154" t="s">
        <v>307</v>
      </c>
      <c r="K154">
        <v>5094</v>
      </c>
      <c r="L154" t="s">
        <v>259</v>
      </c>
      <c r="M154" t="s">
        <v>307</v>
      </c>
      <c r="N154" t="s">
        <v>259</v>
      </c>
      <c r="P154" t="s">
        <v>260</v>
      </c>
      <c r="Q154" t="s">
        <v>260</v>
      </c>
      <c r="R154" t="s">
        <v>308</v>
      </c>
      <c r="S154" t="s">
        <v>21</v>
      </c>
      <c r="T154">
        <v>100</v>
      </c>
      <c r="V154" s="9">
        <v>45199</v>
      </c>
      <c r="W154" t="s">
        <v>262</v>
      </c>
      <c r="X154">
        <v>-34.825000000000003</v>
      </c>
      <c r="Y154">
        <v>138.59100000000001</v>
      </c>
      <c r="Z154">
        <v>239</v>
      </c>
      <c r="AB154" s="9">
        <v>43281</v>
      </c>
    </row>
    <row r="155" spans="1:28" ht="90" customHeight="1" x14ac:dyDescent="0.3">
      <c r="A155" t="s">
        <v>21</v>
      </c>
      <c r="B155" t="s">
        <v>867</v>
      </c>
      <c r="C155" t="s">
        <v>289</v>
      </c>
      <c r="D155" t="s">
        <v>868</v>
      </c>
      <c r="E155">
        <v>9167</v>
      </c>
      <c r="G155" s="10" t="s">
        <v>869</v>
      </c>
      <c r="M155" t="s">
        <v>503</v>
      </c>
      <c r="N155" t="s">
        <v>259</v>
      </c>
      <c r="P155" t="s">
        <v>260</v>
      </c>
      <c r="Q155" t="s">
        <v>260</v>
      </c>
      <c r="R155" t="s">
        <v>313</v>
      </c>
      <c r="S155" t="s">
        <v>21</v>
      </c>
      <c r="T155">
        <v>100</v>
      </c>
      <c r="V155" s="9">
        <v>45107</v>
      </c>
      <c r="W155" t="s">
        <v>262</v>
      </c>
      <c r="Z155">
        <v>692</v>
      </c>
      <c r="AB155" s="9">
        <v>45280</v>
      </c>
    </row>
    <row r="156" spans="1:28" x14ac:dyDescent="0.3">
      <c r="A156" t="s">
        <v>21</v>
      </c>
      <c r="B156" t="s">
        <v>870</v>
      </c>
      <c r="C156" t="s">
        <v>278</v>
      </c>
      <c r="D156" t="s">
        <v>871</v>
      </c>
      <c r="E156" t="s">
        <v>872</v>
      </c>
      <c r="M156" t="s">
        <v>307</v>
      </c>
      <c r="N156" t="s">
        <v>259</v>
      </c>
      <c r="P156" t="s">
        <v>260</v>
      </c>
      <c r="Q156" t="s">
        <v>260</v>
      </c>
      <c r="R156" t="s">
        <v>283</v>
      </c>
      <c r="S156" t="s">
        <v>21</v>
      </c>
      <c r="T156">
        <v>100</v>
      </c>
      <c r="W156" t="s">
        <v>262</v>
      </c>
      <c r="AB156" s="9">
        <v>45262</v>
      </c>
    </row>
    <row r="157" spans="1:28" x14ac:dyDescent="0.3">
      <c r="A157" t="s">
        <v>21</v>
      </c>
      <c r="B157" t="s">
        <v>873</v>
      </c>
      <c r="C157" t="s">
        <v>264</v>
      </c>
      <c r="D157" t="s">
        <v>874</v>
      </c>
      <c r="E157">
        <v>5292</v>
      </c>
      <c r="M157" t="s">
        <v>394</v>
      </c>
      <c r="N157" t="s">
        <v>276</v>
      </c>
      <c r="P157" t="s">
        <v>260</v>
      </c>
      <c r="Q157" t="s">
        <v>260</v>
      </c>
      <c r="R157" t="s">
        <v>268</v>
      </c>
      <c r="S157" t="s">
        <v>21</v>
      </c>
      <c r="T157">
        <v>100</v>
      </c>
      <c r="W157" t="s">
        <v>262</v>
      </c>
      <c r="Z157">
        <v>731</v>
      </c>
    </row>
    <row r="158" spans="1:28" x14ac:dyDescent="0.3">
      <c r="A158" t="s">
        <v>21</v>
      </c>
      <c r="B158" t="s">
        <v>875</v>
      </c>
      <c r="C158" t="s">
        <v>439</v>
      </c>
      <c r="D158" t="s">
        <v>876</v>
      </c>
      <c r="E158" t="s">
        <v>876</v>
      </c>
      <c r="M158" t="s">
        <v>282</v>
      </c>
      <c r="N158" t="s">
        <v>259</v>
      </c>
      <c r="P158" t="s">
        <v>260</v>
      </c>
      <c r="Q158" t="s">
        <v>260</v>
      </c>
      <c r="R158" t="s">
        <v>283</v>
      </c>
      <c r="S158" t="s">
        <v>21</v>
      </c>
      <c r="T158">
        <v>100</v>
      </c>
      <c r="W158" t="s">
        <v>262</v>
      </c>
      <c r="AB158" s="9">
        <v>45842</v>
      </c>
    </row>
    <row r="159" spans="1:28" x14ac:dyDescent="0.3">
      <c r="A159" t="s">
        <v>21</v>
      </c>
      <c r="B159" t="s">
        <v>877</v>
      </c>
      <c r="C159" t="s">
        <v>878</v>
      </c>
      <c r="D159" t="s">
        <v>310</v>
      </c>
      <c r="E159" t="s">
        <v>310</v>
      </c>
      <c r="M159" t="s">
        <v>411</v>
      </c>
      <c r="N159" t="s">
        <v>259</v>
      </c>
      <c r="P159" t="s">
        <v>260</v>
      </c>
      <c r="Q159" t="s">
        <v>260</v>
      </c>
      <c r="R159" t="s">
        <v>313</v>
      </c>
      <c r="S159" t="s">
        <v>21</v>
      </c>
      <c r="T159">
        <v>100</v>
      </c>
      <c r="V159" s="9">
        <v>45107</v>
      </c>
      <c r="W159" t="s">
        <v>262</v>
      </c>
    </row>
    <row r="160" spans="1:28" x14ac:dyDescent="0.3">
      <c r="A160" t="s">
        <v>21</v>
      </c>
      <c r="B160" t="s">
        <v>879</v>
      </c>
      <c r="C160" t="s">
        <v>878</v>
      </c>
      <c r="D160" t="s">
        <v>310</v>
      </c>
      <c r="E160" t="s">
        <v>310</v>
      </c>
      <c r="M160" t="s">
        <v>411</v>
      </c>
      <c r="N160" t="s">
        <v>259</v>
      </c>
      <c r="P160" t="s">
        <v>260</v>
      </c>
      <c r="Q160" t="s">
        <v>260</v>
      </c>
      <c r="R160" t="s">
        <v>313</v>
      </c>
      <c r="S160" t="s">
        <v>21</v>
      </c>
      <c r="T160">
        <v>100</v>
      </c>
      <c r="V160" s="9">
        <v>45107</v>
      </c>
      <c r="W160" t="s">
        <v>262</v>
      </c>
    </row>
    <row r="161" spans="1:23" x14ac:dyDescent="0.3">
      <c r="A161" t="s">
        <v>21</v>
      </c>
      <c r="B161" t="s">
        <v>880</v>
      </c>
      <c r="C161" t="s">
        <v>878</v>
      </c>
      <c r="D161" t="s">
        <v>290</v>
      </c>
      <c r="E161" t="s">
        <v>290</v>
      </c>
      <c r="M161" t="s">
        <v>411</v>
      </c>
      <c r="N161" t="s">
        <v>259</v>
      </c>
      <c r="P161" t="s">
        <v>260</v>
      </c>
      <c r="Q161" t="s">
        <v>260</v>
      </c>
      <c r="R161" t="s">
        <v>293</v>
      </c>
      <c r="S161" t="s">
        <v>21</v>
      </c>
      <c r="T161">
        <v>100</v>
      </c>
      <c r="W161" t="s">
        <v>262</v>
      </c>
    </row>
    <row r="162" spans="1:23" x14ac:dyDescent="0.3">
      <c r="A162" t="s">
        <v>21</v>
      </c>
      <c r="B162" t="s">
        <v>881</v>
      </c>
      <c r="C162" t="s">
        <v>878</v>
      </c>
      <c r="D162" t="s">
        <v>882</v>
      </c>
      <c r="E162" t="s">
        <v>882</v>
      </c>
      <c r="M162" t="s">
        <v>411</v>
      </c>
      <c r="N162" t="s">
        <v>259</v>
      </c>
      <c r="P162" t="s">
        <v>260</v>
      </c>
      <c r="Q162" t="s">
        <v>260</v>
      </c>
      <c r="R162" t="s">
        <v>293</v>
      </c>
      <c r="S162" t="s">
        <v>21</v>
      </c>
      <c r="T162">
        <v>100</v>
      </c>
      <c r="W162" t="s">
        <v>262</v>
      </c>
    </row>
    <row r="163" spans="1:23" x14ac:dyDescent="0.3">
      <c r="A163" t="s">
        <v>21</v>
      </c>
      <c r="B163" t="s">
        <v>883</v>
      </c>
      <c r="C163" t="s">
        <v>499</v>
      </c>
      <c r="D163" t="s">
        <v>495</v>
      </c>
      <c r="E163" t="s">
        <v>495</v>
      </c>
      <c r="M163" t="s">
        <v>411</v>
      </c>
      <c r="N163" t="s">
        <v>259</v>
      </c>
      <c r="P163" t="s">
        <v>260</v>
      </c>
      <c r="Q163" t="s">
        <v>260</v>
      </c>
      <c r="R163" t="s">
        <v>261</v>
      </c>
      <c r="S163" t="s">
        <v>21</v>
      </c>
      <c r="T163">
        <v>100</v>
      </c>
      <c r="W163" t="s">
        <v>262</v>
      </c>
    </row>
    <row r="164" spans="1:23" x14ac:dyDescent="0.3">
      <c r="A164" t="s">
        <v>21</v>
      </c>
      <c r="B164" t="s">
        <v>884</v>
      </c>
      <c r="C164" t="s">
        <v>499</v>
      </c>
      <c r="D164" t="s">
        <v>495</v>
      </c>
      <c r="E164" t="s">
        <v>495</v>
      </c>
      <c r="M164" t="s">
        <v>411</v>
      </c>
      <c r="N164" t="s">
        <v>259</v>
      </c>
      <c r="P164" t="s">
        <v>260</v>
      </c>
      <c r="Q164" t="s">
        <v>260</v>
      </c>
      <c r="R164" t="s">
        <v>261</v>
      </c>
      <c r="S164" t="s">
        <v>21</v>
      </c>
      <c r="T164">
        <v>100</v>
      </c>
      <c r="W164" t="s">
        <v>262</v>
      </c>
    </row>
    <row r="165" spans="1:23" x14ac:dyDescent="0.3">
      <c r="A165" t="s">
        <v>21</v>
      </c>
      <c r="B165" t="s">
        <v>885</v>
      </c>
      <c r="C165" t="s">
        <v>499</v>
      </c>
      <c r="D165" t="s">
        <v>495</v>
      </c>
      <c r="E165" t="s">
        <v>495</v>
      </c>
      <c r="M165" t="s">
        <v>411</v>
      </c>
      <c r="N165" t="s">
        <v>259</v>
      </c>
      <c r="P165" t="s">
        <v>260</v>
      </c>
      <c r="Q165" t="s">
        <v>260</v>
      </c>
      <c r="R165" t="s">
        <v>261</v>
      </c>
      <c r="S165" t="s">
        <v>21</v>
      </c>
      <c r="T165">
        <v>100</v>
      </c>
      <c r="W165" t="s">
        <v>262</v>
      </c>
    </row>
    <row r="166" spans="1:23" x14ac:dyDescent="0.3">
      <c r="A166" t="s">
        <v>21</v>
      </c>
      <c r="B166" t="s">
        <v>886</v>
      </c>
      <c r="C166" t="s">
        <v>499</v>
      </c>
      <c r="D166" t="s">
        <v>887</v>
      </c>
      <c r="E166" t="s">
        <v>887</v>
      </c>
      <c r="M166" t="s">
        <v>411</v>
      </c>
      <c r="N166" t="s">
        <v>259</v>
      </c>
      <c r="P166" t="s">
        <v>260</v>
      </c>
      <c r="Q166" t="s">
        <v>260</v>
      </c>
      <c r="R166" t="s">
        <v>283</v>
      </c>
      <c r="S166" t="s">
        <v>21</v>
      </c>
      <c r="T166">
        <v>100</v>
      </c>
      <c r="W166" t="s">
        <v>262</v>
      </c>
    </row>
    <row r="167" spans="1:23" x14ac:dyDescent="0.3">
      <c r="A167" t="s">
        <v>21</v>
      </c>
      <c r="B167" t="s">
        <v>888</v>
      </c>
      <c r="C167" t="s">
        <v>878</v>
      </c>
      <c r="D167" t="s">
        <v>889</v>
      </c>
      <c r="E167" t="s">
        <v>889</v>
      </c>
      <c r="M167" t="s">
        <v>411</v>
      </c>
      <c r="N167" t="s">
        <v>259</v>
      </c>
      <c r="P167" t="s">
        <v>260</v>
      </c>
      <c r="Q167" t="s">
        <v>260</v>
      </c>
      <c r="R167" t="s">
        <v>268</v>
      </c>
      <c r="S167" t="s">
        <v>21</v>
      </c>
      <c r="T167">
        <v>100</v>
      </c>
      <c r="W167" t="s">
        <v>262</v>
      </c>
    </row>
    <row r="168" spans="1:23" x14ac:dyDescent="0.3">
      <c r="A168" t="s">
        <v>21</v>
      </c>
      <c r="B168" t="s">
        <v>890</v>
      </c>
      <c r="C168" t="s">
        <v>878</v>
      </c>
      <c r="D168" t="s">
        <v>882</v>
      </c>
      <c r="E168" t="s">
        <v>882</v>
      </c>
      <c r="M168" t="s">
        <v>411</v>
      </c>
      <c r="N168" t="s">
        <v>259</v>
      </c>
      <c r="P168" t="s">
        <v>260</v>
      </c>
      <c r="Q168" t="s">
        <v>260</v>
      </c>
      <c r="R168" t="s">
        <v>293</v>
      </c>
      <c r="S168" t="s">
        <v>21</v>
      </c>
      <c r="T168">
        <v>100</v>
      </c>
      <c r="W168" t="s">
        <v>262</v>
      </c>
    </row>
    <row r="169" spans="1:23" x14ac:dyDescent="0.3">
      <c r="A169" t="s">
        <v>21</v>
      </c>
      <c r="B169" t="s">
        <v>891</v>
      </c>
      <c r="C169" t="s">
        <v>499</v>
      </c>
      <c r="D169" t="s">
        <v>892</v>
      </c>
      <c r="E169" t="s">
        <v>892</v>
      </c>
      <c r="M169" t="s">
        <v>411</v>
      </c>
      <c r="N169" t="s">
        <v>259</v>
      </c>
      <c r="P169" t="s">
        <v>260</v>
      </c>
      <c r="Q169" t="s">
        <v>260</v>
      </c>
      <c r="R169" t="s">
        <v>513</v>
      </c>
      <c r="S169" t="s">
        <v>21</v>
      </c>
      <c r="T169">
        <v>100</v>
      </c>
      <c r="W169" t="s">
        <v>262</v>
      </c>
    </row>
    <row r="170" spans="1:23" x14ac:dyDescent="0.3">
      <c r="A170" t="s">
        <v>21</v>
      </c>
      <c r="B170" t="s">
        <v>893</v>
      </c>
      <c r="C170" t="s">
        <v>499</v>
      </c>
      <c r="D170" t="s">
        <v>894</v>
      </c>
      <c r="E170" t="s">
        <v>894</v>
      </c>
      <c r="M170" t="s">
        <v>411</v>
      </c>
      <c r="N170" t="s">
        <v>259</v>
      </c>
      <c r="P170" t="s">
        <v>260</v>
      </c>
      <c r="Q170" t="s">
        <v>260</v>
      </c>
      <c r="R170" t="s">
        <v>513</v>
      </c>
      <c r="S170" t="s">
        <v>21</v>
      </c>
      <c r="T170">
        <v>100</v>
      </c>
      <c r="W170" t="s">
        <v>262</v>
      </c>
    </row>
    <row r="171" spans="1:23" x14ac:dyDescent="0.3">
      <c r="A171" t="s">
        <v>21</v>
      </c>
      <c r="B171" t="s">
        <v>895</v>
      </c>
      <c r="C171" t="s">
        <v>499</v>
      </c>
      <c r="D171" t="s">
        <v>896</v>
      </c>
      <c r="E171" t="s">
        <v>896</v>
      </c>
      <c r="M171" t="s">
        <v>411</v>
      </c>
      <c r="N171" t="s">
        <v>259</v>
      </c>
      <c r="P171" t="s">
        <v>260</v>
      </c>
      <c r="Q171" t="s">
        <v>260</v>
      </c>
      <c r="R171" t="s">
        <v>513</v>
      </c>
      <c r="S171" t="s">
        <v>21</v>
      </c>
      <c r="T171">
        <v>100</v>
      </c>
      <c r="W171" t="s">
        <v>262</v>
      </c>
    </row>
    <row r="172" spans="1:23" x14ac:dyDescent="0.3">
      <c r="A172" t="s">
        <v>21</v>
      </c>
      <c r="B172" t="s">
        <v>897</v>
      </c>
      <c r="C172" t="s">
        <v>499</v>
      </c>
      <c r="D172" t="s">
        <v>898</v>
      </c>
      <c r="E172" t="s">
        <v>898</v>
      </c>
      <c r="M172" t="s">
        <v>411</v>
      </c>
      <c r="N172" t="s">
        <v>259</v>
      </c>
      <c r="P172" t="s">
        <v>260</v>
      </c>
      <c r="Q172" t="s">
        <v>260</v>
      </c>
      <c r="R172" t="s">
        <v>513</v>
      </c>
      <c r="S172" t="s">
        <v>21</v>
      </c>
      <c r="T172">
        <v>100</v>
      </c>
      <c r="W172" t="s">
        <v>262</v>
      </c>
    </row>
    <row r="173" spans="1:23" x14ac:dyDescent="0.3">
      <c r="A173" t="s">
        <v>21</v>
      </c>
      <c r="B173" t="s">
        <v>899</v>
      </c>
      <c r="C173" t="s">
        <v>878</v>
      </c>
      <c r="D173" t="s">
        <v>900</v>
      </c>
      <c r="E173" t="s">
        <v>900</v>
      </c>
      <c r="M173" t="s">
        <v>411</v>
      </c>
      <c r="N173" t="s">
        <v>259</v>
      </c>
      <c r="P173" t="s">
        <v>260</v>
      </c>
      <c r="Q173" t="s">
        <v>260</v>
      </c>
      <c r="R173" t="s">
        <v>268</v>
      </c>
      <c r="S173" t="s">
        <v>21</v>
      </c>
      <c r="T173">
        <v>100</v>
      </c>
      <c r="W173" t="s">
        <v>262</v>
      </c>
    </row>
    <row r="174" spans="1:23" x14ac:dyDescent="0.3">
      <c r="A174" t="s">
        <v>21</v>
      </c>
      <c r="B174" t="s">
        <v>901</v>
      </c>
      <c r="C174" t="s">
        <v>499</v>
      </c>
      <c r="D174" t="s">
        <v>902</v>
      </c>
      <c r="E174" t="s">
        <v>902</v>
      </c>
      <c r="M174" t="s">
        <v>411</v>
      </c>
      <c r="N174" t="s">
        <v>259</v>
      </c>
      <c r="P174" t="s">
        <v>260</v>
      </c>
      <c r="Q174" t="s">
        <v>260</v>
      </c>
      <c r="R174" t="s">
        <v>513</v>
      </c>
      <c r="S174" t="s">
        <v>21</v>
      </c>
      <c r="T174">
        <v>100</v>
      </c>
      <c r="W174" t="s">
        <v>262</v>
      </c>
    </row>
    <row r="175" spans="1:23" x14ac:dyDescent="0.3">
      <c r="A175" t="s">
        <v>21</v>
      </c>
      <c r="B175" t="s">
        <v>903</v>
      </c>
      <c r="C175" t="s">
        <v>878</v>
      </c>
      <c r="D175" t="s">
        <v>904</v>
      </c>
      <c r="E175" t="s">
        <v>905</v>
      </c>
      <c r="M175" t="s">
        <v>411</v>
      </c>
      <c r="N175" t="s">
        <v>259</v>
      </c>
      <c r="P175" t="s">
        <v>260</v>
      </c>
      <c r="Q175" t="s">
        <v>260</v>
      </c>
      <c r="R175" t="s">
        <v>268</v>
      </c>
      <c r="S175" t="s">
        <v>21</v>
      </c>
      <c r="T175">
        <v>100</v>
      </c>
      <c r="W175" t="s">
        <v>262</v>
      </c>
    </row>
    <row r="176" spans="1:23" x14ac:dyDescent="0.3">
      <c r="A176" t="s">
        <v>21</v>
      </c>
      <c r="B176" t="s">
        <v>906</v>
      </c>
      <c r="C176" t="s">
        <v>878</v>
      </c>
      <c r="D176" t="s">
        <v>905</v>
      </c>
      <c r="E176" t="s">
        <v>905</v>
      </c>
      <c r="M176" t="s">
        <v>411</v>
      </c>
      <c r="N176" t="s">
        <v>259</v>
      </c>
      <c r="P176" t="s">
        <v>260</v>
      </c>
      <c r="Q176" t="s">
        <v>260</v>
      </c>
      <c r="R176" t="s">
        <v>268</v>
      </c>
      <c r="S176" t="s">
        <v>21</v>
      </c>
      <c r="T176">
        <v>100</v>
      </c>
      <c r="W176" t="s">
        <v>262</v>
      </c>
    </row>
    <row r="177" spans="1:23" x14ac:dyDescent="0.3">
      <c r="A177" t="s">
        <v>21</v>
      </c>
      <c r="B177" t="s">
        <v>907</v>
      </c>
      <c r="C177" t="s">
        <v>499</v>
      </c>
      <c r="D177" t="s">
        <v>908</v>
      </c>
      <c r="E177" t="s">
        <v>908</v>
      </c>
      <c r="M177" t="s">
        <v>411</v>
      </c>
      <c r="N177" t="s">
        <v>259</v>
      </c>
      <c r="P177" t="s">
        <v>260</v>
      </c>
      <c r="Q177" t="s">
        <v>260</v>
      </c>
      <c r="R177" t="s">
        <v>308</v>
      </c>
      <c r="S177" t="s">
        <v>21</v>
      </c>
      <c r="T177">
        <v>100</v>
      </c>
      <c r="V177" s="9">
        <v>45199</v>
      </c>
      <c r="W177" t="s">
        <v>262</v>
      </c>
    </row>
    <row r="178" spans="1:23" x14ac:dyDescent="0.3">
      <c r="A178" t="s">
        <v>21</v>
      </c>
      <c r="B178" t="s">
        <v>909</v>
      </c>
      <c r="C178" t="s">
        <v>499</v>
      </c>
      <c r="D178" t="s">
        <v>908</v>
      </c>
      <c r="E178" t="s">
        <v>908</v>
      </c>
      <c r="M178" t="s">
        <v>411</v>
      </c>
      <c r="N178" t="s">
        <v>259</v>
      </c>
      <c r="P178" t="s">
        <v>260</v>
      </c>
      <c r="Q178" t="s">
        <v>260</v>
      </c>
      <c r="R178" t="s">
        <v>308</v>
      </c>
      <c r="S178" t="s">
        <v>21</v>
      </c>
      <c r="T178">
        <v>100</v>
      </c>
      <c r="V178" s="9">
        <v>45199</v>
      </c>
      <c r="W178" t="s">
        <v>262</v>
      </c>
    </row>
    <row r="179" spans="1:23" x14ac:dyDescent="0.3">
      <c r="A179" t="s">
        <v>21</v>
      </c>
      <c r="B179" t="s">
        <v>910</v>
      </c>
      <c r="C179" t="s">
        <v>499</v>
      </c>
      <c r="D179" t="s">
        <v>911</v>
      </c>
      <c r="E179" t="s">
        <v>911</v>
      </c>
      <c r="M179" t="s">
        <v>411</v>
      </c>
      <c r="N179" t="s">
        <v>259</v>
      </c>
      <c r="P179" t="s">
        <v>260</v>
      </c>
      <c r="Q179" t="s">
        <v>260</v>
      </c>
      <c r="R179" t="s">
        <v>308</v>
      </c>
      <c r="S179" t="s">
        <v>21</v>
      </c>
      <c r="T179">
        <v>100</v>
      </c>
      <c r="V179" s="9">
        <v>45199</v>
      </c>
      <c r="W179" t="s">
        <v>262</v>
      </c>
    </row>
    <row r="180" spans="1:23" x14ac:dyDescent="0.3">
      <c r="A180" t="s">
        <v>21</v>
      </c>
      <c r="B180" t="s">
        <v>912</v>
      </c>
      <c r="C180" t="s">
        <v>878</v>
      </c>
      <c r="D180" t="s">
        <v>913</v>
      </c>
      <c r="E180" t="s">
        <v>913</v>
      </c>
      <c r="M180" t="s">
        <v>411</v>
      </c>
      <c r="N180" t="s">
        <v>259</v>
      </c>
      <c r="P180" t="s">
        <v>260</v>
      </c>
      <c r="Q180" t="s">
        <v>260</v>
      </c>
      <c r="R180" t="s">
        <v>293</v>
      </c>
      <c r="S180" t="s">
        <v>21</v>
      </c>
      <c r="T180">
        <v>100</v>
      </c>
      <c r="W180" t="s">
        <v>262</v>
      </c>
    </row>
    <row r="181" spans="1:23" x14ac:dyDescent="0.3">
      <c r="A181" t="s">
        <v>21</v>
      </c>
      <c r="B181" t="s">
        <v>914</v>
      </c>
      <c r="C181" t="s">
        <v>878</v>
      </c>
      <c r="D181" t="s">
        <v>882</v>
      </c>
      <c r="E181" t="s">
        <v>882</v>
      </c>
      <c r="M181" t="s">
        <v>411</v>
      </c>
      <c r="N181" t="s">
        <v>259</v>
      </c>
      <c r="P181" t="s">
        <v>260</v>
      </c>
      <c r="Q181" t="s">
        <v>260</v>
      </c>
      <c r="R181" t="s">
        <v>293</v>
      </c>
      <c r="S181" t="s">
        <v>21</v>
      </c>
      <c r="T181">
        <v>100</v>
      </c>
      <c r="W181" t="s">
        <v>262</v>
      </c>
    </row>
    <row r="182" spans="1:23" x14ac:dyDescent="0.3">
      <c r="A182" t="s">
        <v>21</v>
      </c>
      <c r="B182" t="s">
        <v>915</v>
      </c>
      <c r="C182" t="s">
        <v>878</v>
      </c>
      <c r="D182" t="s">
        <v>882</v>
      </c>
      <c r="E182" t="s">
        <v>882</v>
      </c>
      <c r="M182" t="s">
        <v>411</v>
      </c>
      <c r="N182" t="s">
        <v>259</v>
      </c>
      <c r="P182" t="s">
        <v>260</v>
      </c>
      <c r="Q182" t="s">
        <v>260</v>
      </c>
      <c r="R182" t="s">
        <v>293</v>
      </c>
      <c r="S182" t="s">
        <v>21</v>
      </c>
      <c r="T182">
        <v>100</v>
      </c>
      <c r="W182" t="s">
        <v>262</v>
      </c>
    </row>
    <row r="183" spans="1:23" x14ac:dyDescent="0.3">
      <c r="A183" t="s">
        <v>21</v>
      </c>
      <c r="B183" t="s">
        <v>916</v>
      </c>
      <c r="C183" t="s">
        <v>499</v>
      </c>
      <c r="D183" t="s">
        <v>917</v>
      </c>
      <c r="E183" t="s">
        <v>917</v>
      </c>
      <c r="M183" t="s">
        <v>411</v>
      </c>
      <c r="N183" t="s">
        <v>259</v>
      </c>
      <c r="P183" t="s">
        <v>260</v>
      </c>
      <c r="Q183" t="s">
        <v>260</v>
      </c>
      <c r="R183" t="s">
        <v>513</v>
      </c>
      <c r="S183" t="s">
        <v>21</v>
      </c>
      <c r="T183">
        <v>100</v>
      </c>
      <c r="W183" t="s">
        <v>262</v>
      </c>
    </row>
    <row r="184" spans="1:23" x14ac:dyDescent="0.3">
      <c r="A184" t="s">
        <v>21</v>
      </c>
      <c r="B184" t="s">
        <v>918</v>
      </c>
      <c r="C184" t="s">
        <v>878</v>
      </c>
      <c r="D184" t="s">
        <v>919</v>
      </c>
      <c r="E184" t="s">
        <v>919</v>
      </c>
      <c r="M184" t="s">
        <v>411</v>
      </c>
      <c r="N184" t="s">
        <v>259</v>
      </c>
      <c r="P184" t="s">
        <v>260</v>
      </c>
      <c r="Q184" t="s">
        <v>260</v>
      </c>
      <c r="R184" t="s">
        <v>157</v>
      </c>
      <c r="S184" t="s">
        <v>21</v>
      </c>
      <c r="T184">
        <v>100</v>
      </c>
      <c r="W184" t="s">
        <v>262</v>
      </c>
    </row>
    <row r="185" spans="1:23" x14ac:dyDescent="0.3">
      <c r="A185" t="s">
        <v>21</v>
      </c>
      <c r="B185" t="s">
        <v>920</v>
      </c>
      <c r="C185" t="s">
        <v>878</v>
      </c>
      <c r="D185" t="s">
        <v>921</v>
      </c>
      <c r="E185" t="s">
        <v>921</v>
      </c>
      <c r="M185" t="s">
        <v>411</v>
      </c>
      <c r="N185" t="s">
        <v>259</v>
      </c>
      <c r="P185" t="s">
        <v>260</v>
      </c>
      <c r="Q185" t="s">
        <v>260</v>
      </c>
      <c r="R185" t="s">
        <v>283</v>
      </c>
      <c r="S185" t="s">
        <v>21</v>
      </c>
      <c r="T185">
        <v>100</v>
      </c>
      <c r="W185" t="s">
        <v>262</v>
      </c>
    </row>
    <row r="186" spans="1:23" x14ac:dyDescent="0.3">
      <c r="A186" t="s">
        <v>21</v>
      </c>
      <c r="B186" t="s">
        <v>922</v>
      </c>
      <c r="C186" t="s">
        <v>878</v>
      </c>
      <c r="D186" t="s">
        <v>921</v>
      </c>
      <c r="E186" t="s">
        <v>921</v>
      </c>
      <c r="M186" t="s">
        <v>411</v>
      </c>
      <c r="N186" t="s">
        <v>259</v>
      </c>
      <c r="P186" t="s">
        <v>260</v>
      </c>
      <c r="Q186" t="s">
        <v>260</v>
      </c>
      <c r="R186" t="s">
        <v>283</v>
      </c>
      <c r="S186" t="s">
        <v>21</v>
      </c>
      <c r="T186">
        <v>100</v>
      </c>
      <c r="W186" t="s">
        <v>262</v>
      </c>
    </row>
    <row r="187" spans="1:23" x14ac:dyDescent="0.3">
      <c r="A187" t="s">
        <v>21</v>
      </c>
      <c r="B187" t="s">
        <v>923</v>
      </c>
      <c r="C187" t="s">
        <v>878</v>
      </c>
      <c r="D187" t="s">
        <v>921</v>
      </c>
      <c r="E187" t="s">
        <v>921</v>
      </c>
      <c r="M187" t="s">
        <v>411</v>
      </c>
      <c r="N187" t="s">
        <v>259</v>
      </c>
      <c r="P187" t="s">
        <v>260</v>
      </c>
      <c r="Q187" t="s">
        <v>260</v>
      </c>
      <c r="R187" t="s">
        <v>283</v>
      </c>
      <c r="S187" t="s">
        <v>21</v>
      </c>
      <c r="T187">
        <v>100</v>
      </c>
      <c r="W187" t="s">
        <v>262</v>
      </c>
    </row>
    <row r="188" spans="1:23" x14ac:dyDescent="0.3">
      <c r="A188" t="s">
        <v>21</v>
      </c>
      <c r="B188" t="s">
        <v>924</v>
      </c>
      <c r="C188" t="s">
        <v>878</v>
      </c>
      <c r="D188" t="s">
        <v>921</v>
      </c>
      <c r="E188" t="s">
        <v>921</v>
      </c>
      <c r="M188" t="s">
        <v>411</v>
      </c>
      <c r="N188" t="s">
        <v>259</v>
      </c>
      <c r="P188" t="s">
        <v>260</v>
      </c>
      <c r="Q188" t="s">
        <v>260</v>
      </c>
      <c r="R188" t="s">
        <v>283</v>
      </c>
      <c r="S188" t="s">
        <v>21</v>
      </c>
      <c r="T188">
        <v>100</v>
      </c>
      <c r="W188" t="s">
        <v>262</v>
      </c>
    </row>
    <row r="189" spans="1:23" x14ac:dyDescent="0.3">
      <c r="A189" t="s">
        <v>21</v>
      </c>
      <c r="B189" t="s">
        <v>925</v>
      </c>
      <c r="C189" t="s">
        <v>878</v>
      </c>
      <c r="D189" t="s">
        <v>921</v>
      </c>
      <c r="E189" t="s">
        <v>921</v>
      </c>
      <c r="M189" t="s">
        <v>411</v>
      </c>
      <c r="N189" t="s">
        <v>259</v>
      </c>
      <c r="P189" t="s">
        <v>260</v>
      </c>
      <c r="Q189" t="s">
        <v>260</v>
      </c>
      <c r="R189" t="s">
        <v>283</v>
      </c>
      <c r="S189" t="s">
        <v>21</v>
      </c>
      <c r="T189">
        <v>100</v>
      </c>
      <c r="W189" t="s">
        <v>262</v>
      </c>
    </row>
    <row r="190" spans="1:23" x14ac:dyDescent="0.3">
      <c r="A190" t="s">
        <v>21</v>
      </c>
      <c r="B190" t="s">
        <v>926</v>
      </c>
      <c r="C190" t="s">
        <v>878</v>
      </c>
      <c r="D190" t="s">
        <v>921</v>
      </c>
      <c r="E190" t="s">
        <v>921</v>
      </c>
      <c r="M190" t="s">
        <v>411</v>
      </c>
      <c r="N190" t="s">
        <v>259</v>
      </c>
      <c r="P190" t="s">
        <v>260</v>
      </c>
      <c r="Q190" t="s">
        <v>260</v>
      </c>
      <c r="R190" t="s">
        <v>283</v>
      </c>
      <c r="S190" t="s">
        <v>21</v>
      </c>
      <c r="T190">
        <v>100</v>
      </c>
      <c r="W190" t="s">
        <v>262</v>
      </c>
    </row>
    <row r="191" spans="1:23" x14ac:dyDescent="0.3">
      <c r="A191" t="s">
        <v>21</v>
      </c>
      <c r="B191" t="s">
        <v>927</v>
      </c>
      <c r="C191" t="s">
        <v>878</v>
      </c>
      <c r="D191" t="s">
        <v>913</v>
      </c>
      <c r="E191" t="s">
        <v>913</v>
      </c>
      <c r="M191" t="s">
        <v>411</v>
      </c>
      <c r="N191" t="s">
        <v>259</v>
      </c>
      <c r="P191" t="s">
        <v>260</v>
      </c>
      <c r="Q191" t="s">
        <v>260</v>
      </c>
      <c r="R191" t="s">
        <v>293</v>
      </c>
      <c r="S191" t="s">
        <v>21</v>
      </c>
      <c r="T191">
        <v>100</v>
      </c>
      <c r="W191" t="s">
        <v>262</v>
      </c>
    </row>
    <row r="192" spans="1:23" x14ac:dyDescent="0.3">
      <c r="A192" t="s">
        <v>21</v>
      </c>
      <c r="B192" t="s">
        <v>928</v>
      </c>
      <c r="C192" t="s">
        <v>878</v>
      </c>
      <c r="D192" t="s">
        <v>929</v>
      </c>
      <c r="E192" t="s">
        <v>929</v>
      </c>
      <c r="M192" t="s">
        <v>411</v>
      </c>
      <c r="N192" t="s">
        <v>259</v>
      </c>
      <c r="P192" t="s">
        <v>260</v>
      </c>
      <c r="Q192" t="s">
        <v>260</v>
      </c>
      <c r="R192" t="s">
        <v>268</v>
      </c>
      <c r="S192" t="s">
        <v>21</v>
      </c>
      <c r="T192">
        <v>100</v>
      </c>
      <c r="W192" t="s">
        <v>262</v>
      </c>
    </row>
    <row r="193" spans="1:23" x14ac:dyDescent="0.3">
      <c r="A193" t="s">
        <v>21</v>
      </c>
      <c r="B193" t="s">
        <v>930</v>
      </c>
      <c r="C193" t="s">
        <v>878</v>
      </c>
      <c r="D193" t="s">
        <v>646</v>
      </c>
      <c r="E193" t="s">
        <v>646</v>
      </c>
      <c r="M193" t="s">
        <v>411</v>
      </c>
      <c r="N193" t="s">
        <v>259</v>
      </c>
      <c r="P193" t="s">
        <v>260</v>
      </c>
      <c r="Q193" t="s">
        <v>260</v>
      </c>
      <c r="R193" t="s">
        <v>261</v>
      </c>
      <c r="S193" t="s">
        <v>21</v>
      </c>
      <c r="T193">
        <v>100</v>
      </c>
      <c r="W193" t="s">
        <v>262</v>
      </c>
    </row>
    <row r="194" spans="1:23" x14ac:dyDescent="0.3">
      <c r="A194" t="s">
        <v>21</v>
      </c>
      <c r="B194" t="s">
        <v>931</v>
      </c>
      <c r="C194" t="s">
        <v>878</v>
      </c>
      <c r="D194" t="s">
        <v>932</v>
      </c>
      <c r="E194" t="s">
        <v>932</v>
      </c>
      <c r="M194" t="s">
        <v>411</v>
      </c>
      <c r="N194" t="s">
        <v>259</v>
      </c>
      <c r="P194" t="s">
        <v>260</v>
      </c>
      <c r="Q194" t="s">
        <v>260</v>
      </c>
      <c r="R194" t="s">
        <v>283</v>
      </c>
      <c r="S194" t="s">
        <v>21</v>
      </c>
      <c r="T194">
        <v>100</v>
      </c>
      <c r="W194" t="s">
        <v>262</v>
      </c>
    </row>
    <row r="195" spans="1:23" x14ac:dyDescent="0.3">
      <c r="A195" t="s">
        <v>21</v>
      </c>
      <c r="B195" t="s">
        <v>933</v>
      </c>
      <c r="C195" t="s">
        <v>878</v>
      </c>
      <c r="D195" t="s">
        <v>882</v>
      </c>
      <c r="E195" t="s">
        <v>882</v>
      </c>
      <c r="M195" t="s">
        <v>411</v>
      </c>
      <c r="N195" t="s">
        <v>259</v>
      </c>
      <c r="P195" t="s">
        <v>260</v>
      </c>
      <c r="Q195" t="s">
        <v>260</v>
      </c>
      <c r="R195" t="s">
        <v>293</v>
      </c>
      <c r="S195" t="s">
        <v>21</v>
      </c>
      <c r="T195">
        <v>100</v>
      </c>
      <c r="W195" t="s">
        <v>262</v>
      </c>
    </row>
    <row r="196" spans="1:23" x14ac:dyDescent="0.3">
      <c r="A196" t="s">
        <v>21</v>
      </c>
      <c r="B196" t="s">
        <v>934</v>
      </c>
      <c r="C196" t="s">
        <v>499</v>
      </c>
      <c r="D196" t="s">
        <v>495</v>
      </c>
      <c r="E196" t="s">
        <v>495</v>
      </c>
      <c r="M196" t="s">
        <v>411</v>
      </c>
      <c r="N196" t="s">
        <v>259</v>
      </c>
      <c r="P196" t="s">
        <v>260</v>
      </c>
      <c r="Q196" t="s">
        <v>260</v>
      </c>
      <c r="R196" t="s">
        <v>261</v>
      </c>
      <c r="S196" t="s">
        <v>21</v>
      </c>
      <c r="T196">
        <v>100</v>
      </c>
      <c r="W196" t="s">
        <v>262</v>
      </c>
    </row>
    <row r="197" spans="1:23" x14ac:dyDescent="0.3">
      <c r="A197" t="s">
        <v>21</v>
      </c>
      <c r="B197" t="s">
        <v>935</v>
      </c>
      <c r="C197" t="s">
        <v>499</v>
      </c>
      <c r="D197" t="s">
        <v>495</v>
      </c>
      <c r="E197" t="s">
        <v>495</v>
      </c>
      <c r="M197" t="s">
        <v>411</v>
      </c>
      <c r="N197" t="s">
        <v>259</v>
      </c>
      <c r="P197" t="s">
        <v>260</v>
      </c>
      <c r="Q197" t="s">
        <v>260</v>
      </c>
      <c r="R197" t="s">
        <v>261</v>
      </c>
      <c r="S197" t="s">
        <v>21</v>
      </c>
      <c r="T197">
        <v>100</v>
      </c>
      <c r="W197" t="s">
        <v>262</v>
      </c>
    </row>
    <row r="198" spans="1:23" x14ac:dyDescent="0.3">
      <c r="A198" t="s">
        <v>21</v>
      </c>
      <c r="B198" t="s">
        <v>936</v>
      </c>
      <c r="C198" t="s">
        <v>499</v>
      </c>
      <c r="D198" t="s">
        <v>495</v>
      </c>
      <c r="E198" t="s">
        <v>495</v>
      </c>
      <c r="M198" t="s">
        <v>411</v>
      </c>
      <c r="N198" t="s">
        <v>259</v>
      </c>
      <c r="P198" t="s">
        <v>260</v>
      </c>
      <c r="Q198" t="s">
        <v>260</v>
      </c>
      <c r="R198" t="s">
        <v>261</v>
      </c>
      <c r="S198" t="s">
        <v>21</v>
      </c>
      <c r="T198">
        <v>100</v>
      </c>
      <c r="W198" t="s">
        <v>262</v>
      </c>
    </row>
    <row r="199" spans="1:23" x14ac:dyDescent="0.3">
      <c r="A199" t="s">
        <v>21</v>
      </c>
      <c r="B199" t="s">
        <v>937</v>
      </c>
      <c r="C199" t="s">
        <v>499</v>
      </c>
      <c r="D199" t="s">
        <v>917</v>
      </c>
      <c r="E199" t="s">
        <v>917</v>
      </c>
      <c r="M199" t="s">
        <v>411</v>
      </c>
      <c r="N199" t="s">
        <v>259</v>
      </c>
      <c r="P199" t="s">
        <v>260</v>
      </c>
      <c r="Q199" t="s">
        <v>260</v>
      </c>
      <c r="R199" t="s">
        <v>513</v>
      </c>
      <c r="S199" t="s">
        <v>21</v>
      </c>
      <c r="T199">
        <v>100</v>
      </c>
      <c r="W199" t="s">
        <v>262</v>
      </c>
    </row>
    <row r="200" spans="1:23" x14ac:dyDescent="0.3">
      <c r="A200" t="s">
        <v>21</v>
      </c>
      <c r="B200" t="s">
        <v>938</v>
      </c>
      <c r="C200" t="s">
        <v>878</v>
      </c>
      <c r="D200" t="s">
        <v>887</v>
      </c>
      <c r="E200" t="s">
        <v>905</v>
      </c>
      <c r="M200" t="s">
        <v>411</v>
      </c>
      <c r="N200" t="s">
        <v>259</v>
      </c>
      <c r="P200" t="s">
        <v>260</v>
      </c>
      <c r="Q200" t="s">
        <v>260</v>
      </c>
      <c r="R200" t="s">
        <v>283</v>
      </c>
      <c r="S200" t="s">
        <v>21</v>
      </c>
      <c r="T200">
        <v>100</v>
      </c>
      <c r="W200" t="s">
        <v>262</v>
      </c>
    </row>
    <row r="201" spans="1:23" x14ac:dyDescent="0.3">
      <c r="A201" t="s">
        <v>21</v>
      </c>
      <c r="B201" t="s">
        <v>939</v>
      </c>
      <c r="C201" t="s">
        <v>878</v>
      </c>
      <c r="D201" t="s">
        <v>889</v>
      </c>
      <c r="E201" t="s">
        <v>889</v>
      </c>
      <c r="M201" t="s">
        <v>411</v>
      </c>
      <c r="N201" t="s">
        <v>259</v>
      </c>
      <c r="P201" t="s">
        <v>260</v>
      </c>
      <c r="Q201" t="s">
        <v>260</v>
      </c>
      <c r="R201" t="s">
        <v>268</v>
      </c>
      <c r="S201" t="s">
        <v>21</v>
      </c>
      <c r="T201">
        <v>100</v>
      </c>
      <c r="W201" t="s">
        <v>262</v>
      </c>
    </row>
    <row r="202" spans="1:23" x14ac:dyDescent="0.3">
      <c r="A202" t="s">
        <v>21</v>
      </c>
      <c r="B202" t="s">
        <v>940</v>
      </c>
      <c r="C202" t="s">
        <v>499</v>
      </c>
      <c r="D202" t="s">
        <v>941</v>
      </c>
      <c r="E202" t="s">
        <v>941</v>
      </c>
      <c r="M202" t="s">
        <v>411</v>
      </c>
      <c r="N202" t="s">
        <v>259</v>
      </c>
      <c r="P202" t="s">
        <v>260</v>
      </c>
      <c r="Q202" t="s">
        <v>260</v>
      </c>
      <c r="R202" t="s">
        <v>283</v>
      </c>
      <c r="S202" t="s">
        <v>21</v>
      </c>
      <c r="T202">
        <v>100</v>
      </c>
      <c r="W202" t="s">
        <v>262</v>
      </c>
    </row>
    <row r="203" spans="1:23" x14ac:dyDescent="0.3">
      <c r="A203" t="s">
        <v>21</v>
      </c>
      <c r="B203" t="s">
        <v>942</v>
      </c>
      <c r="C203" t="s">
        <v>499</v>
      </c>
      <c r="D203" t="s">
        <v>300</v>
      </c>
      <c r="E203" t="s">
        <v>300</v>
      </c>
      <c r="M203" t="s">
        <v>411</v>
      </c>
      <c r="N203" t="s">
        <v>259</v>
      </c>
      <c r="P203" t="s">
        <v>260</v>
      </c>
      <c r="Q203" t="s">
        <v>260</v>
      </c>
      <c r="R203" t="s">
        <v>283</v>
      </c>
      <c r="S203" t="s">
        <v>21</v>
      </c>
      <c r="T203">
        <v>100</v>
      </c>
      <c r="W203" t="s">
        <v>262</v>
      </c>
    </row>
    <row r="204" spans="1:23" x14ac:dyDescent="0.3">
      <c r="A204" t="s">
        <v>21</v>
      </c>
      <c r="B204" t="s">
        <v>943</v>
      </c>
      <c r="C204" t="s">
        <v>499</v>
      </c>
      <c r="D204" t="s">
        <v>300</v>
      </c>
      <c r="E204" t="s">
        <v>300</v>
      </c>
      <c r="M204" t="s">
        <v>411</v>
      </c>
      <c r="N204" t="s">
        <v>259</v>
      </c>
      <c r="P204" t="s">
        <v>260</v>
      </c>
      <c r="Q204" t="s">
        <v>260</v>
      </c>
      <c r="R204" t="s">
        <v>283</v>
      </c>
      <c r="S204" t="s">
        <v>21</v>
      </c>
      <c r="T204">
        <v>100</v>
      </c>
      <c r="W204" t="s">
        <v>262</v>
      </c>
    </row>
    <row r="205" spans="1:23" x14ac:dyDescent="0.3">
      <c r="A205" t="s">
        <v>21</v>
      </c>
      <c r="B205" t="s">
        <v>944</v>
      </c>
      <c r="C205" t="s">
        <v>499</v>
      </c>
      <c r="D205" t="s">
        <v>945</v>
      </c>
      <c r="E205" t="s">
        <v>945</v>
      </c>
      <c r="M205" t="s">
        <v>411</v>
      </c>
      <c r="N205" t="s">
        <v>259</v>
      </c>
      <c r="P205" t="s">
        <v>260</v>
      </c>
      <c r="Q205" t="s">
        <v>260</v>
      </c>
      <c r="R205" t="s">
        <v>283</v>
      </c>
      <c r="S205" t="s">
        <v>21</v>
      </c>
      <c r="T205">
        <v>100</v>
      </c>
      <c r="W205" t="s">
        <v>262</v>
      </c>
    </row>
    <row r="206" spans="1:23" x14ac:dyDescent="0.3">
      <c r="A206" t="s">
        <v>21</v>
      </c>
      <c r="B206" t="s">
        <v>946</v>
      </c>
      <c r="C206" t="s">
        <v>499</v>
      </c>
      <c r="D206" t="s">
        <v>947</v>
      </c>
      <c r="E206" t="s">
        <v>947</v>
      </c>
      <c r="M206" t="s">
        <v>411</v>
      </c>
      <c r="N206" t="s">
        <v>259</v>
      </c>
      <c r="P206" t="s">
        <v>260</v>
      </c>
      <c r="Q206" t="s">
        <v>260</v>
      </c>
      <c r="R206" t="s">
        <v>283</v>
      </c>
      <c r="S206" t="s">
        <v>21</v>
      </c>
      <c r="T206">
        <v>100</v>
      </c>
      <c r="W206" t="s">
        <v>262</v>
      </c>
    </row>
    <row r="207" spans="1:23" x14ac:dyDescent="0.3">
      <c r="A207" t="s">
        <v>21</v>
      </c>
      <c r="B207" t="s">
        <v>948</v>
      </c>
      <c r="C207" t="s">
        <v>499</v>
      </c>
      <c r="D207" t="s">
        <v>949</v>
      </c>
      <c r="E207" t="s">
        <v>949</v>
      </c>
      <c r="M207" t="s">
        <v>411</v>
      </c>
      <c r="N207" t="s">
        <v>259</v>
      </c>
      <c r="P207" t="s">
        <v>260</v>
      </c>
      <c r="Q207" t="s">
        <v>260</v>
      </c>
      <c r="R207" t="s">
        <v>283</v>
      </c>
      <c r="S207" t="s">
        <v>21</v>
      </c>
      <c r="T207">
        <v>100</v>
      </c>
      <c r="W207" t="s">
        <v>262</v>
      </c>
    </row>
    <row r="208" spans="1:23" x14ac:dyDescent="0.3">
      <c r="A208" t="s">
        <v>21</v>
      </c>
      <c r="B208" t="s">
        <v>950</v>
      </c>
      <c r="C208" t="s">
        <v>499</v>
      </c>
      <c r="D208" t="s">
        <v>951</v>
      </c>
      <c r="E208" t="s">
        <v>951</v>
      </c>
      <c r="M208" t="s">
        <v>411</v>
      </c>
      <c r="N208" t="s">
        <v>259</v>
      </c>
      <c r="P208" t="s">
        <v>260</v>
      </c>
      <c r="Q208" t="s">
        <v>260</v>
      </c>
      <c r="R208" t="s">
        <v>283</v>
      </c>
      <c r="S208" t="s">
        <v>21</v>
      </c>
      <c r="T208">
        <v>100</v>
      </c>
      <c r="W208" t="s">
        <v>262</v>
      </c>
    </row>
    <row r="209" spans="1:28" x14ac:dyDescent="0.3">
      <c r="A209" t="s">
        <v>21</v>
      </c>
      <c r="B209" t="s">
        <v>952</v>
      </c>
      <c r="C209" t="s">
        <v>270</v>
      </c>
      <c r="D209" t="s">
        <v>953</v>
      </c>
      <c r="E209">
        <v>2008</v>
      </c>
      <c r="F209">
        <v>126</v>
      </c>
      <c r="H209" t="s">
        <v>954</v>
      </c>
      <c r="I209" t="s">
        <v>955</v>
      </c>
      <c r="J209" t="s">
        <v>318</v>
      </c>
      <c r="K209">
        <v>4814</v>
      </c>
      <c r="L209" t="s">
        <v>259</v>
      </c>
      <c r="M209" t="s">
        <v>302</v>
      </c>
      <c r="N209" t="s">
        <v>259</v>
      </c>
      <c r="P209" t="s">
        <v>260</v>
      </c>
      <c r="Q209" t="s">
        <v>260</v>
      </c>
      <c r="R209" t="s">
        <v>283</v>
      </c>
      <c r="S209" t="s">
        <v>21</v>
      </c>
      <c r="T209">
        <v>100</v>
      </c>
      <c r="W209" t="s">
        <v>262</v>
      </c>
      <c r="X209">
        <v>-19.2684122</v>
      </c>
      <c r="Y209">
        <v>146.777432</v>
      </c>
      <c r="Z209">
        <v>692</v>
      </c>
    </row>
    <row r="210" spans="1:28" x14ac:dyDescent="0.3">
      <c r="A210" t="s">
        <v>21</v>
      </c>
      <c r="B210" t="s">
        <v>956</v>
      </c>
      <c r="C210" t="s">
        <v>264</v>
      </c>
      <c r="D210" t="s">
        <v>957</v>
      </c>
      <c r="E210">
        <v>1031</v>
      </c>
      <c r="H210" t="s">
        <v>958</v>
      </c>
      <c r="I210" t="s">
        <v>959</v>
      </c>
      <c r="J210" t="s">
        <v>366</v>
      </c>
      <c r="K210">
        <v>2111</v>
      </c>
      <c r="L210" t="s">
        <v>259</v>
      </c>
      <c r="M210" t="s">
        <v>312</v>
      </c>
      <c r="N210" t="s">
        <v>259</v>
      </c>
      <c r="P210" t="s">
        <v>260</v>
      </c>
      <c r="Q210" t="s">
        <v>260</v>
      </c>
      <c r="R210" t="s">
        <v>293</v>
      </c>
      <c r="S210" t="s">
        <v>21</v>
      </c>
      <c r="T210">
        <v>100</v>
      </c>
      <c r="W210" t="s">
        <v>262</v>
      </c>
      <c r="Z210">
        <v>729</v>
      </c>
      <c r="AB210" s="9">
        <v>45036</v>
      </c>
    </row>
    <row r="211" spans="1:28" x14ac:dyDescent="0.3">
      <c r="A211" t="s">
        <v>21</v>
      </c>
      <c r="B211" t="s">
        <v>960</v>
      </c>
      <c r="C211" t="s">
        <v>270</v>
      </c>
      <c r="D211" t="s">
        <v>961</v>
      </c>
      <c r="E211" t="s">
        <v>961</v>
      </c>
      <c r="F211">
        <v>136</v>
      </c>
      <c r="G211" t="s">
        <v>962</v>
      </c>
      <c r="H211" t="s">
        <v>963</v>
      </c>
      <c r="I211" t="s">
        <v>964</v>
      </c>
      <c r="J211" t="s">
        <v>302</v>
      </c>
      <c r="K211">
        <v>4680</v>
      </c>
      <c r="L211" t="s">
        <v>259</v>
      </c>
      <c r="M211" t="s">
        <v>302</v>
      </c>
      <c r="N211" t="s">
        <v>259</v>
      </c>
      <c r="P211" t="s">
        <v>260</v>
      </c>
      <c r="Q211" t="s">
        <v>260</v>
      </c>
      <c r="R211" t="s">
        <v>513</v>
      </c>
      <c r="S211" t="s">
        <v>21</v>
      </c>
      <c r="T211">
        <v>100</v>
      </c>
      <c r="W211" t="s">
        <v>262</v>
      </c>
      <c r="X211">
        <v>-33.268999999999998</v>
      </c>
      <c r="Y211">
        <v>138.35599999999999</v>
      </c>
      <c r="Z211">
        <v>239</v>
      </c>
      <c r="AB211" s="9">
        <v>42308</v>
      </c>
    </row>
    <row r="212" spans="1:28" x14ac:dyDescent="0.3">
      <c r="A212" t="s">
        <v>21</v>
      </c>
      <c r="B212" t="s">
        <v>965</v>
      </c>
      <c r="C212" t="s">
        <v>270</v>
      </c>
      <c r="D212" t="s">
        <v>966</v>
      </c>
      <c r="E212">
        <v>2009</v>
      </c>
      <c r="F212">
        <v>375</v>
      </c>
      <c r="G212" t="s">
        <v>967</v>
      </c>
      <c r="H212" t="s">
        <v>968</v>
      </c>
      <c r="I212" t="s">
        <v>969</v>
      </c>
      <c r="J212" t="s">
        <v>305</v>
      </c>
      <c r="K212">
        <v>5037</v>
      </c>
      <c r="L212" t="s">
        <v>259</v>
      </c>
      <c r="M212" t="s">
        <v>307</v>
      </c>
      <c r="N212" t="s">
        <v>259</v>
      </c>
      <c r="P212" t="s">
        <v>260</v>
      </c>
      <c r="Q212" t="s">
        <v>260</v>
      </c>
      <c r="R212" t="s">
        <v>313</v>
      </c>
      <c r="S212" t="s">
        <v>21</v>
      </c>
      <c r="T212">
        <v>100</v>
      </c>
      <c r="V212" s="9">
        <v>45107</v>
      </c>
      <c r="W212" t="s">
        <v>262</v>
      </c>
      <c r="X212">
        <v>-34.960132000000002</v>
      </c>
      <c r="Y212">
        <v>138.57206199999999</v>
      </c>
      <c r="Z212">
        <v>692</v>
      </c>
    </row>
    <row r="213" spans="1:28" x14ac:dyDescent="0.3">
      <c r="A213" t="s">
        <v>21</v>
      </c>
      <c r="B213" t="s">
        <v>970</v>
      </c>
      <c r="C213" t="s">
        <v>264</v>
      </c>
      <c r="D213" t="s">
        <v>971</v>
      </c>
      <c r="E213">
        <v>9125</v>
      </c>
      <c r="H213" t="s">
        <v>972</v>
      </c>
      <c r="I213" t="s">
        <v>973</v>
      </c>
      <c r="J213" t="s">
        <v>366</v>
      </c>
      <c r="K213">
        <v>2620</v>
      </c>
      <c r="M213" t="s">
        <v>973</v>
      </c>
      <c r="N213" t="s">
        <v>259</v>
      </c>
      <c r="P213" t="s">
        <v>260</v>
      </c>
      <c r="Q213" t="s">
        <v>260</v>
      </c>
      <c r="R213" t="s">
        <v>268</v>
      </c>
      <c r="S213" t="s">
        <v>21</v>
      </c>
      <c r="T213">
        <v>100</v>
      </c>
      <c r="W213" t="s">
        <v>262</v>
      </c>
      <c r="X213">
        <v>-35.352373999999998</v>
      </c>
      <c r="Y213">
        <v>149.23514700000001</v>
      </c>
      <c r="Z213">
        <v>729</v>
      </c>
      <c r="AB213" s="9">
        <v>45473</v>
      </c>
    </row>
    <row r="214" spans="1:28" x14ac:dyDescent="0.3">
      <c r="A214" t="s">
        <v>21</v>
      </c>
      <c r="B214" t="s">
        <v>974</v>
      </c>
      <c r="C214" t="s">
        <v>528</v>
      </c>
      <c r="D214" t="s">
        <v>975</v>
      </c>
      <c r="E214">
        <v>9174</v>
      </c>
      <c r="G214" t="s">
        <v>612</v>
      </c>
      <c r="M214" t="s">
        <v>267</v>
      </c>
      <c r="N214" t="s">
        <v>259</v>
      </c>
      <c r="P214" t="s">
        <v>260</v>
      </c>
      <c r="Q214" t="s">
        <v>260</v>
      </c>
      <c r="R214" t="s">
        <v>268</v>
      </c>
      <c r="S214" t="s">
        <v>21</v>
      </c>
      <c r="T214">
        <v>100</v>
      </c>
      <c r="W214" t="s">
        <v>262</v>
      </c>
    </row>
    <row r="215" spans="1:28" x14ac:dyDescent="0.3">
      <c r="A215" t="s">
        <v>21</v>
      </c>
      <c r="B215" t="s">
        <v>976</v>
      </c>
      <c r="C215" t="s">
        <v>528</v>
      </c>
      <c r="D215" t="s">
        <v>977</v>
      </c>
      <c r="E215">
        <v>9175</v>
      </c>
      <c r="G215" t="s">
        <v>612</v>
      </c>
      <c r="M215" t="s">
        <v>312</v>
      </c>
      <c r="N215" t="s">
        <v>259</v>
      </c>
      <c r="P215" t="s">
        <v>260</v>
      </c>
      <c r="Q215" t="s">
        <v>260</v>
      </c>
      <c r="R215" t="s">
        <v>268</v>
      </c>
      <c r="S215" t="s">
        <v>21</v>
      </c>
      <c r="T215">
        <v>100</v>
      </c>
      <c r="W215" t="s">
        <v>262</v>
      </c>
    </row>
    <row r="216" spans="1:28" x14ac:dyDescent="0.3">
      <c r="A216" t="s">
        <v>21</v>
      </c>
      <c r="B216" t="s">
        <v>978</v>
      </c>
      <c r="C216" t="s">
        <v>528</v>
      </c>
      <c r="D216" t="s">
        <v>979</v>
      </c>
      <c r="E216">
        <v>9176</v>
      </c>
      <c r="G216" t="s">
        <v>612</v>
      </c>
      <c r="M216" t="s">
        <v>302</v>
      </c>
      <c r="N216" t="s">
        <v>259</v>
      </c>
      <c r="P216" t="s">
        <v>260</v>
      </c>
      <c r="Q216" t="s">
        <v>260</v>
      </c>
      <c r="R216" t="s">
        <v>268</v>
      </c>
      <c r="S216" t="s">
        <v>21</v>
      </c>
      <c r="T216">
        <v>100</v>
      </c>
      <c r="W216" t="s">
        <v>262</v>
      </c>
    </row>
    <row r="217" spans="1:28" x14ac:dyDescent="0.3">
      <c r="A217" t="s">
        <v>21</v>
      </c>
      <c r="B217" t="s">
        <v>980</v>
      </c>
      <c r="C217" t="s">
        <v>528</v>
      </c>
      <c r="D217" t="s">
        <v>981</v>
      </c>
      <c r="E217">
        <v>9172</v>
      </c>
      <c r="G217" t="s">
        <v>612</v>
      </c>
      <c r="M217" t="s">
        <v>307</v>
      </c>
      <c r="N217" t="s">
        <v>259</v>
      </c>
      <c r="P217" t="s">
        <v>260</v>
      </c>
      <c r="Q217" t="s">
        <v>260</v>
      </c>
      <c r="R217" t="s">
        <v>268</v>
      </c>
      <c r="S217" t="s">
        <v>21</v>
      </c>
      <c r="T217">
        <v>100</v>
      </c>
      <c r="W217" t="s">
        <v>262</v>
      </c>
    </row>
    <row r="218" spans="1:28" x14ac:dyDescent="0.3">
      <c r="A218" t="s">
        <v>21</v>
      </c>
      <c r="B218" t="s">
        <v>982</v>
      </c>
      <c r="C218" t="s">
        <v>528</v>
      </c>
      <c r="D218" t="s">
        <v>983</v>
      </c>
      <c r="E218">
        <v>9177</v>
      </c>
      <c r="G218" t="s">
        <v>612</v>
      </c>
      <c r="M218" t="s">
        <v>282</v>
      </c>
      <c r="N218" t="s">
        <v>259</v>
      </c>
      <c r="P218" t="s">
        <v>260</v>
      </c>
      <c r="Q218" t="s">
        <v>260</v>
      </c>
      <c r="R218" t="s">
        <v>268</v>
      </c>
      <c r="S218" t="s">
        <v>21</v>
      </c>
      <c r="T218">
        <v>100</v>
      </c>
      <c r="W218" t="s">
        <v>262</v>
      </c>
    </row>
    <row r="219" spans="1:28" x14ac:dyDescent="0.3">
      <c r="A219" t="s">
        <v>21</v>
      </c>
      <c r="B219" t="s">
        <v>984</v>
      </c>
      <c r="C219" t="s">
        <v>528</v>
      </c>
      <c r="D219" t="s">
        <v>985</v>
      </c>
      <c r="E219">
        <v>9173</v>
      </c>
      <c r="G219" t="s">
        <v>612</v>
      </c>
      <c r="M219" t="s">
        <v>503</v>
      </c>
      <c r="N219" t="s">
        <v>259</v>
      </c>
      <c r="P219" t="s">
        <v>260</v>
      </c>
      <c r="Q219" t="s">
        <v>260</v>
      </c>
      <c r="R219" t="s">
        <v>268</v>
      </c>
      <c r="S219" t="s">
        <v>21</v>
      </c>
      <c r="T219">
        <v>100</v>
      </c>
      <c r="W219" t="s">
        <v>262</v>
      </c>
    </row>
    <row r="220" spans="1:28" x14ac:dyDescent="0.3">
      <c r="A220" t="s">
        <v>21</v>
      </c>
      <c r="B220" t="s">
        <v>986</v>
      </c>
      <c r="C220" t="s">
        <v>270</v>
      </c>
      <c r="D220" t="s">
        <v>987</v>
      </c>
      <c r="E220">
        <v>5073</v>
      </c>
      <c r="G220" t="s">
        <v>988</v>
      </c>
      <c r="H220" t="s">
        <v>989</v>
      </c>
      <c r="I220" t="s">
        <v>297</v>
      </c>
      <c r="J220" t="s">
        <v>297</v>
      </c>
      <c r="K220">
        <v>8051</v>
      </c>
      <c r="L220" t="s">
        <v>276</v>
      </c>
      <c r="M220" t="s">
        <v>990</v>
      </c>
      <c r="N220" t="s">
        <v>276</v>
      </c>
      <c r="P220" t="s">
        <v>260</v>
      </c>
      <c r="Q220" t="s">
        <v>260</v>
      </c>
      <c r="R220" t="s">
        <v>261</v>
      </c>
      <c r="S220" t="s">
        <v>21</v>
      </c>
      <c r="T220">
        <v>100</v>
      </c>
      <c r="U220" t="s">
        <v>354</v>
      </c>
      <c r="W220" t="s">
        <v>262</v>
      </c>
      <c r="X220">
        <v>-36.9300633</v>
      </c>
      <c r="Y220">
        <v>174.8129553</v>
      </c>
      <c r="Z220">
        <v>310</v>
      </c>
      <c r="AA220" s="9">
        <v>42917</v>
      </c>
    </row>
    <row r="221" spans="1:28" x14ac:dyDescent="0.3">
      <c r="A221" t="s">
        <v>21</v>
      </c>
      <c r="B221" t="s">
        <v>991</v>
      </c>
      <c r="C221" t="s">
        <v>264</v>
      </c>
      <c r="D221" t="s">
        <v>992</v>
      </c>
      <c r="E221" t="s">
        <v>992</v>
      </c>
      <c r="M221" t="s">
        <v>307</v>
      </c>
      <c r="N221" t="s">
        <v>259</v>
      </c>
      <c r="P221" t="s">
        <v>260</v>
      </c>
      <c r="Q221" t="s">
        <v>260</v>
      </c>
      <c r="R221" t="s">
        <v>268</v>
      </c>
      <c r="S221" t="s">
        <v>21</v>
      </c>
      <c r="T221">
        <v>100</v>
      </c>
      <c r="W221" t="s">
        <v>262</v>
      </c>
    </row>
    <row r="222" spans="1:28" x14ac:dyDescent="0.3">
      <c r="A222" t="s">
        <v>21</v>
      </c>
      <c r="B222" t="s">
        <v>993</v>
      </c>
      <c r="C222" t="s">
        <v>278</v>
      </c>
      <c r="D222" t="s">
        <v>994</v>
      </c>
      <c r="F222" t="s">
        <v>995</v>
      </c>
      <c r="M222" t="s">
        <v>267</v>
      </c>
      <c r="N222" t="s">
        <v>259</v>
      </c>
      <c r="P222" t="s">
        <v>260</v>
      </c>
      <c r="Q222" t="s">
        <v>260</v>
      </c>
      <c r="R222" t="s">
        <v>283</v>
      </c>
      <c r="S222" t="s">
        <v>21</v>
      </c>
      <c r="T222">
        <v>100</v>
      </c>
      <c r="W222" t="s">
        <v>262</v>
      </c>
      <c r="AB222" s="9">
        <v>45412</v>
      </c>
    </row>
    <row r="223" spans="1:28" x14ac:dyDescent="0.3">
      <c r="A223" t="s">
        <v>21</v>
      </c>
      <c r="B223" t="s">
        <v>996</v>
      </c>
      <c r="C223" t="s">
        <v>270</v>
      </c>
      <c r="D223" t="s">
        <v>997</v>
      </c>
      <c r="E223">
        <v>91250</v>
      </c>
      <c r="G223" t="s">
        <v>998</v>
      </c>
      <c r="H223" t="s">
        <v>679</v>
      </c>
      <c r="I223" t="s">
        <v>680</v>
      </c>
      <c r="J223" t="s">
        <v>680</v>
      </c>
      <c r="K223">
        <v>4610</v>
      </c>
      <c r="L223" t="s">
        <v>276</v>
      </c>
      <c r="M223" t="s">
        <v>680</v>
      </c>
      <c r="N223" t="s">
        <v>276</v>
      </c>
      <c r="P223" t="s">
        <v>260</v>
      </c>
      <c r="Q223" t="s">
        <v>260</v>
      </c>
      <c r="R223" t="s">
        <v>293</v>
      </c>
      <c r="S223" t="s">
        <v>21</v>
      </c>
      <c r="T223">
        <v>100</v>
      </c>
      <c r="W223" t="s">
        <v>262</v>
      </c>
      <c r="X223">
        <v>-39.580500000000001</v>
      </c>
      <c r="Y223">
        <v>174.28120000000001</v>
      </c>
      <c r="AB223" s="9">
        <v>45473</v>
      </c>
    </row>
    <row r="224" spans="1:28" x14ac:dyDescent="0.3">
      <c r="A224" t="s">
        <v>21</v>
      </c>
      <c r="B224" t="s">
        <v>999</v>
      </c>
      <c r="C224" t="s">
        <v>560</v>
      </c>
      <c r="D224" t="s">
        <v>1000</v>
      </c>
      <c r="F224">
        <v>123456</v>
      </c>
      <c r="M224" t="s">
        <v>1001</v>
      </c>
      <c r="N224" t="s">
        <v>259</v>
      </c>
      <c r="P224" t="s">
        <v>260</v>
      </c>
      <c r="Q224" t="s">
        <v>260</v>
      </c>
      <c r="R224" t="s">
        <v>293</v>
      </c>
      <c r="S224" t="s">
        <v>21</v>
      </c>
      <c r="T224">
        <v>100</v>
      </c>
      <c r="W224" t="s">
        <v>262</v>
      </c>
    </row>
    <row r="225" spans="1:28" x14ac:dyDescent="0.3">
      <c r="A225" t="s">
        <v>21</v>
      </c>
      <c r="B225" t="s">
        <v>1002</v>
      </c>
      <c r="C225" t="s">
        <v>270</v>
      </c>
      <c r="D225" t="s">
        <v>1003</v>
      </c>
      <c r="E225" t="s">
        <v>1003</v>
      </c>
      <c r="G225" t="s">
        <v>1004</v>
      </c>
      <c r="H225" t="s">
        <v>1005</v>
      </c>
      <c r="I225" t="s">
        <v>1006</v>
      </c>
      <c r="J225" t="s">
        <v>366</v>
      </c>
      <c r="K225">
        <v>2322</v>
      </c>
      <c r="L225" t="s">
        <v>259</v>
      </c>
      <c r="M225" t="s">
        <v>312</v>
      </c>
      <c r="N225" t="s">
        <v>259</v>
      </c>
      <c r="P225" t="s">
        <v>260</v>
      </c>
      <c r="Q225" t="s">
        <v>260</v>
      </c>
      <c r="R225" t="s">
        <v>293</v>
      </c>
      <c r="S225" t="s">
        <v>21</v>
      </c>
      <c r="T225">
        <v>100</v>
      </c>
      <c r="W225" t="s">
        <v>262</v>
      </c>
      <c r="X225">
        <v>-32.831567999999997</v>
      </c>
      <c r="Y225">
        <v>151.68847199999999</v>
      </c>
      <c r="Z225">
        <v>310</v>
      </c>
    </row>
    <row r="226" spans="1:28" x14ac:dyDescent="0.3">
      <c r="A226" t="s">
        <v>21</v>
      </c>
      <c r="B226" t="s">
        <v>1007</v>
      </c>
      <c r="C226" t="s">
        <v>528</v>
      </c>
      <c r="D226" t="s">
        <v>1008</v>
      </c>
      <c r="E226">
        <v>9181</v>
      </c>
      <c r="G226" t="s">
        <v>612</v>
      </c>
      <c r="M226" t="s">
        <v>267</v>
      </c>
      <c r="N226" t="s">
        <v>259</v>
      </c>
      <c r="P226" t="s">
        <v>260</v>
      </c>
      <c r="Q226" t="s">
        <v>260</v>
      </c>
      <c r="R226" t="s">
        <v>268</v>
      </c>
      <c r="S226" t="s">
        <v>21</v>
      </c>
      <c r="T226">
        <v>100</v>
      </c>
      <c r="W226" t="s">
        <v>262</v>
      </c>
      <c r="AB226" s="9">
        <v>45107</v>
      </c>
    </row>
    <row r="227" spans="1:28" x14ac:dyDescent="0.3">
      <c r="A227" t="s">
        <v>21</v>
      </c>
      <c r="B227" t="s">
        <v>1009</v>
      </c>
      <c r="C227" t="s">
        <v>528</v>
      </c>
      <c r="D227" t="s">
        <v>1008</v>
      </c>
      <c r="E227">
        <v>9182</v>
      </c>
      <c r="G227" t="s">
        <v>612</v>
      </c>
      <c r="M227" t="s">
        <v>312</v>
      </c>
      <c r="N227" t="s">
        <v>259</v>
      </c>
      <c r="P227" t="s">
        <v>260</v>
      </c>
      <c r="Q227" t="s">
        <v>260</v>
      </c>
      <c r="R227" t="s">
        <v>268</v>
      </c>
      <c r="S227" t="s">
        <v>21</v>
      </c>
      <c r="T227">
        <v>100</v>
      </c>
      <c r="W227" t="s">
        <v>262</v>
      </c>
    </row>
    <row r="228" spans="1:28" x14ac:dyDescent="0.3">
      <c r="A228" t="s">
        <v>21</v>
      </c>
      <c r="B228" t="s">
        <v>1010</v>
      </c>
      <c r="C228" t="s">
        <v>528</v>
      </c>
      <c r="D228" t="s">
        <v>1008</v>
      </c>
      <c r="E228">
        <v>9178</v>
      </c>
      <c r="G228" t="s">
        <v>612</v>
      </c>
      <c r="M228" t="s">
        <v>537</v>
      </c>
      <c r="N228" t="s">
        <v>259</v>
      </c>
      <c r="P228" t="s">
        <v>260</v>
      </c>
      <c r="Q228" t="s">
        <v>260</v>
      </c>
      <c r="R228" t="s">
        <v>268</v>
      </c>
      <c r="S228" t="s">
        <v>21</v>
      </c>
      <c r="T228">
        <v>100</v>
      </c>
      <c r="W228" t="s">
        <v>262</v>
      </c>
    </row>
    <row r="229" spans="1:28" x14ac:dyDescent="0.3">
      <c r="A229" t="s">
        <v>21</v>
      </c>
      <c r="B229" t="s">
        <v>1011</v>
      </c>
      <c r="C229" t="s">
        <v>528</v>
      </c>
      <c r="D229" t="s">
        <v>1008</v>
      </c>
      <c r="E229">
        <v>9183</v>
      </c>
      <c r="G229" t="s">
        <v>612</v>
      </c>
      <c r="M229" t="s">
        <v>302</v>
      </c>
      <c r="N229" t="s">
        <v>259</v>
      </c>
      <c r="P229" t="s">
        <v>260</v>
      </c>
      <c r="Q229" t="s">
        <v>260</v>
      </c>
      <c r="R229" t="s">
        <v>268</v>
      </c>
      <c r="S229" t="s">
        <v>21</v>
      </c>
      <c r="T229">
        <v>100</v>
      </c>
      <c r="W229" t="s">
        <v>262</v>
      </c>
    </row>
    <row r="230" spans="1:28" x14ac:dyDescent="0.3">
      <c r="A230" t="s">
        <v>21</v>
      </c>
      <c r="B230" t="s">
        <v>1012</v>
      </c>
      <c r="C230" t="s">
        <v>528</v>
      </c>
      <c r="D230" t="s">
        <v>1008</v>
      </c>
      <c r="E230">
        <v>9180</v>
      </c>
      <c r="G230" t="s">
        <v>612</v>
      </c>
      <c r="M230" t="s">
        <v>307</v>
      </c>
      <c r="N230" t="s">
        <v>259</v>
      </c>
      <c r="P230" t="s">
        <v>260</v>
      </c>
      <c r="Q230" t="s">
        <v>260</v>
      </c>
      <c r="R230" t="s">
        <v>268</v>
      </c>
      <c r="S230" t="s">
        <v>21</v>
      </c>
      <c r="T230">
        <v>100</v>
      </c>
      <c r="W230" t="s">
        <v>262</v>
      </c>
    </row>
    <row r="231" spans="1:28" x14ac:dyDescent="0.3">
      <c r="A231" t="s">
        <v>21</v>
      </c>
      <c r="B231" t="s">
        <v>1013</v>
      </c>
      <c r="C231" t="s">
        <v>528</v>
      </c>
      <c r="D231" t="s">
        <v>1008</v>
      </c>
      <c r="E231">
        <v>9185</v>
      </c>
      <c r="G231" t="s">
        <v>612</v>
      </c>
      <c r="M231" t="s">
        <v>257</v>
      </c>
      <c r="N231" t="s">
        <v>259</v>
      </c>
      <c r="P231" t="s">
        <v>260</v>
      </c>
      <c r="Q231" t="s">
        <v>260</v>
      </c>
      <c r="R231" t="s">
        <v>268</v>
      </c>
      <c r="S231" t="s">
        <v>21</v>
      </c>
      <c r="T231">
        <v>100</v>
      </c>
      <c r="W231" t="s">
        <v>262</v>
      </c>
      <c r="AB231" s="9">
        <v>45107</v>
      </c>
    </row>
    <row r="232" spans="1:28" x14ac:dyDescent="0.3">
      <c r="A232" t="s">
        <v>21</v>
      </c>
      <c r="B232" t="s">
        <v>1014</v>
      </c>
      <c r="C232" t="s">
        <v>528</v>
      </c>
      <c r="D232" t="s">
        <v>1008</v>
      </c>
      <c r="E232">
        <v>9184</v>
      </c>
      <c r="G232" t="s">
        <v>612</v>
      </c>
      <c r="M232" t="s">
        <v>282</v>
      </c>
      <c r="N232" t="s">
        <v>259</v>
      </c>
      <c r="P232" t="s">
        <v>260</v>
      </c>
      <c r="Q232" t="s">
        <v>260</v>
      </c>
      <c r="R232" t="s">
        <v>268</v>
      </c>
      <c r="S232" t="s">
        <v>21</v>
      </c>
      <c r="T232">
        <v>100</v>
      </c>
      <c r="W232" t="s">
        <v>262</v>
      </c>
    </row>
    <row r="233" spans="1:28" x14ac:dyDescent="0.3">
      <c r="A233" t="s">
        <v>21</v>
      </c>
      <c r="B233" t="s">
        <v>1015</v>
      </c>
      <c r="C233" t="s">
        <v>270</v>
      </c>
      <c r="D233" t="s">
        <v>1008</v>
      </c>
      <c r="E233">
        <v>9179</v>
      </c>
      <c r="G233" t="s">
        <v>612</v>
      </c>
      <c r="M233" t="s">
        <v>503</v>
      </c>
      <c r="N233" t="s">
        <v>259</v>
      </c>
      <c r="P233" t="s">
        <v>260</v>
      </c>
      <c r="Q233" t="s">
        <v>260</v>
      </c>
      <c r="R233" t="s">
        <v>268</v>
      </c>
      <c r="S233" t="s">
        <v>21</v>
      </c>
      <c r="T233">
        <v>100</v>
      </c>
      <c r="W233" t="s">
        <v>262</v>
      </c>
      <c r="AB233" s="9">
        <v>45107</v>
      </c>
    </row>
    <row r="234" spans="1:28" x14ac:dyDescent="0.3">
      <c r="A234" t="s">
        <v>21</v>
      </c>
      <c r="B234" t="s">
        <v>1016</v>
      </c>
      <c r="C234" t="s">
        <v>528</v>
      </c>
      <c r="D234" t="s">
        <v>1017</v>
      </c>
      <c r="E234">
        <v>9197</v>
      </c>
      <c r="M234" t="s">
        <v>267</v>
      </c>
      <c r="N234" t="s">
        <v>259</v>
      </c>
      <c r="P234" t="s">
        <v>260</v>
      </c>
      <c r="Q234" t="s">
        <v>260</v>
      </c>
      <c r="R234" t="s">
        <v>313</v>
      </c>
      <c r="S234" t="s">
        <v>21</v>
      </c>
      <c r="T234">
        <v>100</v>
      </c>
      <c r="V234" s="9">
        <v>45107</v>
      </c>
      <c r="W234" t="s">
        <v>262</v>
      </c>
    </row>
    <row r="235" spans="1:28" x14ac:dyDescent="0.3">
      <c r="A235" t="s">
        <v>21</v>
      </c>
      <c r="B235" t="s">
        <v>1018</v>
      </c>
      <c r="C235" t="s">
        <v>528</v>
      </c>
      <c r="D235" t="s">
        <v>1019</v>
      </c>
      <c r="E235">
        <v>9187</v>
      </c>
      <c r="M235" t="s">
        <v>312</v>
      </c>
      <c r="N235" t="s">
        <v>259</v>
      </c>
      <c r="P235" t="s">
        <v>260</v>
      </c>
      <c r="Q235" t="s">
        <v>260</v>
      </c>
      <c r="R235" t="s">
        <v>313</v>
      </c>
      <c r="S235" t="s">
        <v>21</v>
      </c>
      <c r="T235">
        <v>100</v>
      </c>
      <c r="V235" s="9">
        <v>45107</v>
      </c>
      <c r="W235" t="s">
        <v>262</v>
      </c>
    </row>
    <row r="236" spans="1:28" x14ac:dyDescent="0.3">
      <c r="A236" t="s">
        <v>21</v>
      </c>
      <c r="B236" t="s">
        <v>1020</v>
      </c>
      <c r="C236" t="s">
        <v>528</v>
      </c>
      <c r="D236" t="s">
        <v>1021</v>
      </c>
      <c r="E236">
        <v>9211</v>
      </c>
      <c r="M236" t="s">
        <v>537</v>
      </c>
      <c r="N236" t="s">
        <v>259</v>
      </c>
      <c r="P236" t="s">
        <v>260</v>
      </c>
      <c r="Q236" t="s">
        <v>260</v>
      </c>
      <c r="R236" t="s">
        <v>313</v>
      </c>
      <c r="S236" t="s">
        <v>21</v>
      </c>
      <c r="T236">
        <v>100</v>
      </c>
      <c r="V236" s="9">
        <v>45107</v>
      </c>
      <c r="W236" t="s">
        <v>262</v>
      </c>
    </row>
    <row r="237" spans="1:28" x14ac:dyDescent="0.3">
      <c r="A237" t="s">
        <v>21</v>
      </c>
      <c r="B237" t="s">
        <v>1022</v>
      </c>
      <c r="C237" t="s">
        <v>528</v>
      </c>
      <c r="D237" t="s">
        <v>1023</v>
      </c>
      <c r="E237">
        <v>9188</v>
      </c>
      <c r="M237" t="s">
        <v>302</v>
      </c>
      <c r="N237" t="s">
        <v>259</v>
      </c>
      <c r="P237" t="s">
        <v>260</v>
      </c>
      <c r="Q237" t="s">
        <v>260</v>
      </c>
      <c r="R237" t="s">
        <v>313</v>
      </c>
      <c r="S237" t="s">
        <v>21</v>
      </c>
      <c r="T237">
        <v>100</v>
      </c>
      <c r="V237" s="9">
        <v>45107</v>
      </c>
      <c r="W237" t="s">
        <v>262</v>
      </c>
    </row>
    <row r="238" spans="1:28" x14ac:dyDescent="0.3">
      <c r="A238" t="s">
        <v>21</v>
      </c>
      <c r="B238" t="s">
        <v>1024</v>
      </c>
      <c r="C238" t="s">
        <v>528</v>
      </c>
      <c r="D238" t="s">
        <v>1025</v>
      </c>
      <c r="E238">
        <v>9189</v>
      </c>
      <c r="M238" t="s">
        <v>257</v>
      </c>
      <c r="N238" t="s">
        <v>259</v>
      </c>
      <c r="P238" t="s">
        <v>260</v>
      </c>
      <c r="Q238" t="s">
        <v>260</v>
      </c>
      <c r="R238" t="s">
        <v>313</v>
      </c>
      <c r="S238" t="s">
        <v>21</v>
      </c>
      <c r="T238">
        <v>100</v>
      </c>
      <c r="V238" s="9">
        <v>45107</v>
      </c>
      <c r="W238" t="s">
        <v>262</v>
      </c>
    </row>
    <row r="239" spans="1:28" x14ac:dyDescent="0.3">
      <c r="A239" t="s">
        <v>21</v>
      </c>
      <c r="B239" t="s">
        <v>1026</v>
      </c>
      <c r="C239" t="s">
        <v>528</v>
      </c>
      <c r="D239" t="s">
        <v>1027</v>
      </c>
      <c r="E239">
        <v>9190</v>
      </c>
      <c r="M239" t="s">
        <v>282</v>
      </c>
      <c r="N239" t="s">
        <v>259</v>
      </c>
      <c r="P239" t="s">
        <v>260</v>
      </c>
      <c r="Q239" t="s">
        <v>260</v>
      </c>
      <c r="R239" t="s">
        <v>313</v>
      </c>
      <c r="S239" t="s">
        <v>21</v>
      </c>
      <c r="T239">
        <v>100</v>
      </c>
      <c r="V239" s="9">
        <v>45107</v>
      </c>
      <c r="W239" t="s">
        <v>262</v>
      </c>
    </row>
    <row r="240" spans="1:28" x14ac:dyDescent="0.3">
      <c r="A240" t="s">
        <v>21</v>
      </c>
      <c r="B240" t="s">
        <v>1028</v>
      </c>
      <c r="C240" t="s">
        <v>528</v>
      </c>
      <c r="D240" t="s">
        <v>1029</v>
      </c>
      <c r="E240">
        <v>9186</v>
      </c>
      <c r="M240" t="s">
        <v>503</v>
      </c>
      <c r="N240" t="s">
        <v>259</v>
      </c>
      <c r="P240" t="s">
        <v>260</v>
      </c>
      <c r="Q240" t="s">
        <v>260</v>
      </c>
      <c r="R240" t="s">
        <v>313</v>
      </c>
      <c r="S240" t="s">
        <v>21</v>
      </c>
      <c r="T240">
        <v>100</v>
      </c>
      <c r="V240" s="9">
        <v>45107</v>
      </c>
      <c r="W240" t="s">
        <v>262</v>
      </c>
    </row>
    <row r="241" spans="1:28" x14ac:dyDescent="0.3">
      <c r="A241" t="s">
        <v>21</v>
      </c>
      <c r="B241" t="s">
        <v>1030</v>
      </c>
      <c r="C241" t="s">
        <v>278</v>
      </c>
      <c r="D241" t="s">
        <v>1031</v>
      </c>
      <c r="E241">
        <v>37130005</v>
      </c>
      <c r="M241" t="s">
        <v>1032</v>
      </c>
      <c r="N241" t="s">
        <v>259</v>
      </c>
      <c r="P241" t="s">
        <v>260</v>
      </c>
      <c r="Q241" t="s">
        <v>260</v>
      </c>
      <c r="R241" t="s">
        <v>283</v>
      </c>
      <c r="S241" t="s">
        <v>21</v>
      </c>
      <c r="T241">
        <v>100</v>
      </c>
      <c r="W241" t="s">
        <v>262</v>
      </c>
      <c r="AA241" s="9">
        <v>45298</v>
      </c>
      <c r="AB241" s="9">
        <v>45529</v>
      </c>
    </row>
    <row r="242" spans="1:28" x14ac:dyDescent="0.3">
      <c r="A242" t="s">
        <v>21</v>
      </c>
      <c r="B242" t="s">
        <v>1033</v>
      </c>
      <c r="C242" t="s">
        <v>528</v>
      </c>
      <c r="D242" t="s">
        <v>1034</v>
      </c>
      <c r="E242" t="s">
        <v>1035</v>
      </c>
      <c r="M242" t="s">
        <v>503</v>
      </c>
      <c r="N242" t="s">
        <v>259</v>
      </c>
      <c r="P242" t="s">
        <v>260</v>
      </c>
      <c r="Q242" t="s">
        <v>260</v>
      </c>
      <c r="R242" t="s">
        <v>308</v>
      </c>
      <c r="S242" t="s">
        <v>21</v>
      </c>
      <c r="T242">
        <v>100</v>
      </c>
      <c r="V242" s="9">
        <v>45199</v>
      </c>
      <c r="W242" t="s">
        <v>262</v>
      </c>
    </row>
    <row r="243" spans="1:28" x14ac:dyDescent="0.3">
      <c r="A243" t="s">
        <v>21</v>
      </c>
      <c r="B243" t="s">
        <v>1036</v>
      </c>
      <c r="C243" t="s">
        <v>270</v>
      </c>
      <c r="D243" t="s">
        <v>1037</v>
      </c>
      <c r="E243">
        <v>5322</v>
      </c>
      <c r="M243" t="s">
        <v>297</v>
      </c>
      <c r="N243" t="s">
        <v>276</v>
      </c>
      <c r="P243" t="s">
        <v>260</v>
      </c>
      <c r="Q243" t="s">
        <v>260</v>
      </c>
      <c r="R243" t="s">
        <v>261</v>
      </c>
      <c r="S243" t="s">
        <v>21</v>
      </c>
      <c r="T243">
        <v>100</v>
      </c>
      <c r="U243" t="s">
        <v>354</v>
      </c>
      <c r="W243" t="s">
        <v>262</v>
      </c>
    </row>
    <row r="244" spans="1:28" x14ac:dyDescent="0.3">
      <c r="A244" t="s">
        <v>21</v>
      </c>
      <c r="B244" t="s">
        <v>1038</v>
      </c>
      <c r="C244" t="s">
        <v>270</v>
      </c>
      <c r="D244" t="s">
        <v>1039</v>
      </c>
      <c r="E244">
        <v>6013</v>
      </c>
      <c r="H244" t="s">
        <v>366</v>
      </c>
      <c r="I244" t="s">
        <v>366</v>
      </c>
      <c r="J244" t="s">
        <v>366</v>
      </c>
      <c r="M244" t="s">
        <v>1001</v>
      </c>
      <c r="N244" t="s">
        <v>259</v>
      </c>
      <c r="P244" t="s">
        <v>260</v>
      </c>
      <c r="Q244" t="s">
        <v>260</v>
      </c>
      <c r="R244" t="s">
        <v>308</v>
      </c>
      <c r="S244" t="s">
        <v>21</v>
      </c>
      <c r="T244">
        <v>100</v>
      </c>
      <c r="V244" s="9">
        <v>45199</v>
      </c>
      <c r="W244" t="s">
        <v>262</v>
      </c>
      <c r="X244">
        <v>-33.795051000000001</v>
      </c>
      <c r="Y244">
        <v>151.13956300000001</v>
      </c>
      <c r="Z244">
        <v>310</v>
      </c>
    </row>
    <row r="245" spans="1:28" x14ac:dyDescent="0.3">
      <c r="A245" t="s">
        <v>21</v>
      </c>
      <c r="B245" t="s">
        <v>1040</v>
      </c>
      <c r="C245" t="s">
        <v>299</v>
      </c>
      <c r="D245" t="s">
        <v>1041</v>
      </c>
      <c r="E245">
        <v>6011</v>
      </c>
      <c r="H245" t="s">
        <v>541</v>
      </c>
      <c r="I245" t="s">
        <v>542</v>
      </c>
      <c r="J245" t="s">
        <v>318</v>
      </c>
      <c r="K245">
        <v>4012</v>
      </c>
      <c r="L245" t="s">
        <v>259</v>
      </c>
      <c r="M245" t="s">
        <v>542</v>
      </c>
      <c r="N245" t="s">
        <v>259</v>
      </c>
      <c r="P245" t="s">
        <v>260</v>
      </c>
      <c r="Q245" t="s">
        <v>260</v>
      </c>
      <c r="R245" t="s">
        <v>308</v>
      </c>
      <c r="S245" t="s">
        <v>21</v>
      </c>
      <c r="T245">
        <v>100</v>
      </c>
      <c r="V245" s="9">
        <v>45199</v>
      </c>
      <c r="W245" t="s">
        <v>262</v>
      </c>
      <c r="X245">
        <v>-27.494706999999998</v>
      </c>
      <c r="Y245">
        <v>153.033986</v>
      </c>
      <c r="Z245">
        <v>310</v>
      </c>
    </row>
    <row r="246" spans="1:28" x14ac:dyDescent="0.3">
      <c r="A246" t="s">
        <v>21</v>
      </c>
      <c r="B246" t="s">
        <v>1042</v>
      </c>
      <c r="C246" t="s">
        <v>299</v>
      </c>
      <c r="D246" t="s">
        <v>1043</v>
      </c>
      <c r="M246" t="s">
        <v>302</v>
      </c>
      <c r="N246" t="s">
        <v>259</v>
      </c>
      <c r="P246" t="s">
        <v>260</v>
      </c>
      <c r="Q246" t="s">
        <v>260</v>
      </c>
      <c r="R246" t="s">
        <v>261</v>
      </c>
      <c r="S246" t="s">
        <v>21</v>
      </c>
      <c r="T246">
        <v>100</v>
      </c>
      <c r="W246" t="s">
        <v>262</v>
      </c>
      <c r="AB246" s="9">
        <v>44682</v>
      </c>
    </row>
    <row r="247" spans="1:28" x14ac:dyDescent="0.3">
      <c r="A247" t="s">
        <v>21</v>
      </c>
      <c r="B247" t="s">
        <v>1044</v>
      </c>
      <c r="C247" t="s">
        <v>356</v>
      </c>
      <c r="D247" t="s">
        <v>1045</v>
      </c>
      <c r="E247">
        <v>153</v>
      </c>
      <c r="G247" t="s">
        <v>1046</v>
      </c>
      <c r="H247" t="s">
        <v>1047</v>
      </c>
      <c r="I247" t="s">
        <v>1048</v>
      </c>
      <c r="J247" t="s">
        <v>555</v>
      </c>
      <c r="K247">
        <v>6714</v>
      </c>
      <c r="L247" t="s">
        <v>259</v>
      </c>
      <c r="M247" t="s">
        <v>503</v>
      </c>
      <c r="N247" t="s">
        <v>259</v>
      </c>
      <c r="P247" t="s">
        <v>260</v>
      </c>
      <c r="Q247" t="s">
        <v>260</v>
      </c>
      <c r="R247" t="s">
        <v>261</v>
      </c>
      <c r="S247" t="s">
        <v>21</v>
      </c>
      <c r="T247">
        <v>100</v>
      </c>
      <c r="W247" t="s">
        <v>262</v>
      </c>
      <c r="X247">
        <v>-20.74</v>
      </c>
      <c r="Y247">
        <v>116.801</v>
      </c>
      <c r="Z247">
        <v>170</v>
      </c>
      <c r="AB247" s="9">
        <v>44377</v>
      </c>
    </row>
    <row r="248" spans="1:28" x14ac:dyDescent="0.3">
      <c r="A248" t="s">
        <v>21</v>
      </c>
      <c r="B248" t="s">
        <v>1049</v>
      </c>
      <c r="C248" t="s">
        <v>264</v>
      </c>
      <c r="D248" t="s">
        <v>1050</v>
      </c>
      <c r="E248" t="s">
        <v>1050</v>
      </c>
      <c r="H248" t="s">
        <v>1051</v>
      </c>
      <c r="I248" t="s">
        <v>1052</v>
      </c>
      <c r="J248" t="s">
        <v>555</v>
      </c>
      <c r="M248" t="s">
        <v>1053</v>
      </c>
      <c r="N248" t="s">
        <v>259</v>
      </c>
      <c r="P248" t="s">
        <v>260</v>
      </c>
      <c r="Q248" t="s">
        <v>260</v>
      </c>
      <c r="R248" t="s">
        <v>308</v>
      </c>
      <c r="S248" t="s">
        <v>21</v>
      </c>
      <c r="T248">
        <v>100</v>
      </c>
      <c r="V248" s="9">
        <v>45199</v>
      </c>
      <c r="W248" t="s">
        <v>262</v>
      </c>
      <c r="AB248" s="9">
        <v>45107</v>
      </c>
    </row>
    <row r="249" spans="1:28" x14ac:dyDescent="0.3">
      <c r="A249" t="s">
        <v>21</v>
      </c>
      <c r="B249" t="s">
        <v>1054</v>
      </c>
      <c r="C249" t="s">
        <v>270</v>
      </c>
      <c r="D249" t="s">
        <v>1055</v>
      </c>
      <c r="E249" t="s">
        <v>1056</v>
      </c>
      <c r="M249" t="s">
        <v>302</v>
      </c>
      <c r="N249" t="s">
        <v>259</v>
      </c>
      <c r="P249" t="s">
        <v>260</v>
      </c>
      <c r="Q249" t="s">
        <v>260</v>
      </c>
      <c r="R249" t="s">
        <v>293</v>
      </c>
      <c r="S249" t="s">
        <v>21</v>
      </c>
      <c r="T249">
        <v>100</v>
      </c>
      <c r="W249" t="s">
        <v>262</v>
      </c>
      <c r="AB249" s="9">
        <v>44043</v>
      </c>
    </row>
    <row r="250" spans="1:28" x14ac:dyDescent="0.3">
      <c r="A250" t="s">
        <v>21</v>
      </c>
      <c r="B250" t="s">
        <v>1057</v>
      </c>
      <c r="C250" t="s">
        <v>270</v>
      </c>
      <c r="D250" t="s">
        <v>1058</v>
      </c>
      <c r="E250" t="s">
        <v>1058</v>
      </c>
      <c r="F250">
        <v>157</v>
      </c>
      <c r="H250" t="s">
        <v>1059</v>
      </c>
      <c r="I250" t="s">
        <v>1060</v>
      </c>
      <c r="J250" t="s">
        <v>312</v>
      </c>
      <c r="K250">
        <v>2304</v>
      </c>
      <c r="L250" t="s">
        <v>259</v>
      </c>
      <c r="M250" t="s">
        <v>312</v>
      </c>
      <c r="N250" t="s">
        <v>259</v>
      </c>
      <c r="P250" t="s">
        <v>260</v>
      </c>
      <c r="Q250" t="s">
        <v>260</v>
      </c>
      <c r="R250" t="s">
        <v>513</v>
      </c>
      <c r="S250" t="s">
        <v>21</v>
      </c>
      <c r="T250">
        <v>100</v>
      </c>
      <c r="W250" t="s">
        <v>262</v>
      </c>
      <c r="X250">
        <v>-32.863</v>
      </c>
      <c r="Y250">
        <v>151.74100000000001</v>
      </c>
      <c r="Z250">
        <v>239</v>
      </c>
      <c r="AB250" s="9">
        <v>43281</v>
      </c>
    </row>
    <row r="251" spans="1:28" x14ac:dyDescent="0.3">
      <c r="A251" t="s">
        <v>21</v>
      </c>
      <c r="B251" t="s">
        <v>1061</v>
      </c>
      <c r="C251" t="s">
        <v>270</v>
      </c>
      <c r="D251" t="s">
        <v>1062</v>
      </c>
      <c r="E251" t="s">
        <v>1062</v>
      </c>
      <c r="H251" t="s">
        <v>1063</v>
      </c>
      <c r="I251" t="s">
        <v>1064</v>
      </c>
      <c r="J251" t="s">
        <v>555</v>
      </c>
      <c r="K251">
        <v>6167</v>
      </c>
      <c r="L251" t="s">
        <v>259</v>
      </c>
      <c r="M251" t="s">
        <v>503</v>
      </c>
      <c r="N251" t="s">
        <v>259</v>
      </c>
      <c r="P251" t="s">
        <v>260</v>
      </c>
      <c r="Q251" t="s">
        <v>260</v>
      </c>
      <c r="R251" t="s">
        <v>308</v>
      </c>
      <c r="S251" t="s">
        <v>21</v>
      </c>
      <c r="T251">
        <v>100</v>
      </c>
      <c r="V251" s="9">
        <v>45199</v>
      </c>
      <c r="W251" t="s">
        <v>262</v>
      </c>
      <c r="X251">
        <v>-32.241</v>
      </c>
      <c r="Y251">
        <v>115.78</v>
      </c>
      <c r="Z251">
        <v>310</v>
      </c>
      <c r="AB251" s="9">
        <v>44012</v>
      </c>
    </row>
    <row r="252" spans="1:28" x14ac:dyDescent="0.3">
      <c r="A252" t="s">
        <v>21</v>
      </c>
      <c r="B252" t="s">
        <v>1065</v>
      </c>
      <c r="C252" t="s">
        <v>270</v>
      </c>
      <c r="D252" t="s">
        <v>1066</v>
      </c>
      <c r="E252">
        <v>5074</v>
      </c>
      <c r="G252" t="s">
        <v>1067</v>
      </c>
      <c r="H252" t="s">
        <v>370</v>
      </c>
      <c r="I252" t="s">
        <v>297</v>
      </c>
      <c r="J252" t="s">
        <v>297</v>
      </c>
      <c r="K252">
        <v>8051</v>
      </c>
      <c r="L252" t="s">
        <v>276</v>
      </c>
      <c r="M252" t="s">
        <v>371</v>
      </c>
      <c r="N252" t="s">
        <v>276</v>
      </c>
      <c r="P252" t="s">
        <v>260</v>
      </c>
      <c r="Q252" t="s">
        <v>260</v>
      </c>
      <c r="R252" t="s">
        <v>261</v>
      </c>
      <c r="S252" t="s">
        <v>21</v>
      </c>
      <c r="T252">
        <v>100</v>
      </c>
      <c r="U252" t="s">
        <v>354</v>
      </c>
      <c r="W252" t="s">
        <v>262</v>
      </c>
      <c r="X252">
        <v>-36.915213600000001</v>
      </c>
      <c r="Y252">
        <v>174.82028089999901</v>
      </c>
      <c r="Z252">
        <v>692</v>
      </c>
      <c r="AA252" s="9">
        <v>42917</v>
      </c>
    </row>
    <row r="253" spans="1:28" x14ac:dyDescent="0.3">
      <c r="A253" t="s">
        <v>21</v>
      </c>
      <c r="B253" t="s">
        <v>1068</v>
      </c>
      <c r="C253" t="s">
        <v>270</v>
      </c>
      <c r="D253" t="s">
        <v>1069</v>
      </c>
      <c r="E253">
        <v>5075</v>
      </c>
      <c r="G253" t="s">
        <v>1067</v>
      </c>
      <c r="H253" t="s">
        <v>644</v>
      </c>
      <c r="I253" t="s">
        <v>390</v>
      </c>
      <c r="J253" t="s">
        <v>425</v>
      </c>
      <c r="K253">
        <v>3116</v>
      </c>
      <c r="L253" t="s">
        <v>276</v>
      </c>
      <c r="M253" t="s">
        <v>390</v>
      </c>
      <c r="N253" t="s">
        <v>276</v>
      </c>
      <c r="P253" t="s">
        <v>260</v>
      </c>
      <c r="Q253" t="s">
        <v>260</v>
      </c>
      <c r="R253" t="s">
        <v>261</v>
      </c>
      <c r="S253" t="s">
        <v>21</v>
      </c>
      <c r="T253">
        <v>100</v>
      </c>
      <c r="U253" t="s">
        <v>354</v>
      </c>
      <c r="W253" t="s">
        <v>262</v>
      </c>
      <c r="X253">
        <v>-43.476427299999997</v>
      </c>
      <c r="Y253">
        <v>172.51673359999899</v>
      </c>
      <c r="Z253">
        <v>692</v>
      </c>
      <c r="AA253" s="9">
        <v>42917</v>
      </c>
    </row>
    <row r="254" spans="1:28" x14ac:dyDescent="0.3">
      <c r="A254" t="s">
        <v>21</v>
      </c>
      <c r="B254" t="s">
        <v>1070</v>
      </c>
      <c r="C254" t="s">
        <v>270</v>
      </c>
      <c r="D254" t="s">
        <v>1071</v>
      </c>
      <c r="E254">
        <v>5076</v>
      </c>
      <c r="G254" t="s">
        <v>1067</v>
      </c>
      <c r="H254" t="s">
        <v>644</v>
      </c>
      <c r="I254" t="s">
        <v>390</v>
      </c>
      <c r="J254" t="s">
        <v>425</v>
      </c>
      <c r="K254">
        <v>6035</v>
      </c>
      <c r="L254" t="s">
        <v>276</v>
      </c>
      <c r="M254" t="s">
        <v>390</v>
      </c>
      <c r="N254" t="s">
        <v>276</v>
      </c>
      <c r="P254" t="s">
        <v>260</v>
      </c>
      <c r="Q254" t="s">
        <v>260</v>
      </c>
      <c r="R254" t="s">
        <v>261</v>
      </c>
      <c r="S254" t="s">
        <v>21</v>
      </c>
      <c r="T254">
        <v>100</v>
      </c>
      <c r="U254" t="s">
        <v>354</v>
      </c>
      <c r="W254" t="s">
        <v>262</v>
      </c>
      <c r="X254">
        <v>-43.476427299999997</v>
      </c>
      <c r="Y254">
        <v>172.51673359999899</v>
      </c>
      <c r="Z254">
        <v>692</v>
      </c>
      <c r="AA254" s="9">
        <v>42917</v>
      </c>
    </row>
    <row r="255" spans="1:28" x14ac:dyDescent="0.3">
      <c r="A255" t="s">
        <v>21</v>
      </c>
      <c r="B255" t="s">
        <v>1072</v>
      </c>
      <c r="C255" t="s">
        <v>270</v>
      </c>
      <c r="D255" t="s">
        <v>1073</v>
      </c>
      <c r="E255">
        <v>5077</v>
      </c>
      <c r="G255" t="s">
        <v>1067</v>
      </c>
      <c r="H255" t="s">
        <v>437</v>
      </c>
      <c r="I255" t="s">
        <v>429</v>
      </c>
      <c r="J255" t="s">
        <v>430</v>
      </c>
      <c r="K255">
        <v>2104</v>
      </c>
      <c r="L255" t="s">
        <v>276</v>
      </c>
      <c r="M255" t="s">
        <v>429</v>
      </c>
      <c r="N255" t="s">
        <v>276</v>
      </c>
      <c r="P255" t="s">
        <v>260</v>
      </c>
      <c r="Q255" t="s">
        <v>260</v>
      </c>
      <c r="R255" t="s">
        <v>261</v>
      </c>
      <c r="S255" t="s">
        <v>21</v>
      </c>
      <c r="T255">
        <v>100</v>
      </c>
      <c r="U255" t="s">
        <v>354</v>
      </c>
      <c r="W255" t="s">
        <v>262</v>
      </c>
      <c r="X255">
        <v>-37.678293799999999</v>
      </c>
      <c r="Y255">
        <v>176.22236429999899</v>
      </c>
      <c r="Z255">
        <v>692</v>
      </c>
      <c r="AA255" s="9">
        <v>42917</v>
      </c>
    </row>
    <row r="256" spans="1:28" x14ac:dyDescent="0.3">
      <c r="A256" t="s">
        <v>21</v>
      </c>
      <c r="B256" t="s">
        <v>1074</v>
      </c>
      <c r="C256" t="s">
        <v>270</v>
      </c>
      <c r="D256" t="s">
        <v>1075</v>
      </c>
      <c r="E256">
        <v>5078</v>
      </c>
      <c r="G256" t="s">
        <v>1067</v>
      </c>
      <c r="H256" t="s">
        <v>402</v>
      </c>
      <c r="I256" t="s">
        <v>403</v>
      </c>
      <c r="J256" t="s">
        <v>403</v>
      </c>
      <c r="K256">
        <v>7201</v>
      </c>
      <c r="L256" t="s">
        <v>276</v>
      </c>
      <c r="M256" t="s">
        <v>403</v>
      </c>
      <c r="N256" t="s">
        <v>276</v>
      </c>
      <c r="P256" t="s">
        <v>260</v>
      </c>
      <c r="Q256" t="s">
        <v>260</v>
      </c>
      <c r="R256" t="s">
        <v>261</v>
      </c>
      <c r="S256" t="s">
        <v>21</v>
      </c>
      <c r="T256">
        <v>100</v>
      </c>
      <c r="U256" t="s">
        <v>354</v>
      </c>
      <c r="W256" t="s">
        <v>262</v>
      </c>
      <c r="X256">
        <v>-41.237631</v>
      </c>
      <c r="Y256">
        <v>174.80508599999899</v>
      </c>
      <c r="Z256">
        <v>692</v>
      </c>
      <c r="AA256" s="9">
        <v>42917</v>
      </c>
    </row>
    <row r="257" spans="1:28" x14ac:dyDescent="0.3">
      <c r="A257" t="s">
        <v>21</v>
      </c>
      <c r="B257" t="s">
        <v>1076</v>
      </c>
      <c r="C257" t="s">
        <v>299</v>
      </c>
      <c r="D257" t="s">
        <v>1077</v>
      </c>
      <c r="E257">
        <v>8012</v>
      </c>
      <c r="H257" t="s">
        <v>1078</v>
      </c>
      <c r="I257" t="s">
        <v>1079</v>
      </c>
      <c r="J257" t="s">
        <v>366</v>
      </c>
      <c r="K257">
        <v>2066</v>
      </c>
      <c r="L257" t="s">
        <v>259</v>
      </c>
      <c r="M257" t="s">
        <v>312</v>
      </c>
      <c r="N257" t="s">
        <v>259</v>
      </c>
      <c r="P257" t="s">
        <v>260</v>
      </c>
      <c r="Q257" t="s">
        <v>260</v>
      </c>
      <c r="R257" t="s">
        <v>261</v>
      </c>
      <c r="S257" t="s">
        <v>21</v>
      </c>
      <c r="T257">
        <v>100</v>
      </c>
      <c r="W257" t="s">
        <v>262</v>
      </c>
      <c r="X257">
        <v>-33.803952000000002</v>
      </c>
      <c r="Y257">
        <v>151.145512</v>
      </c>
      <c r="Z257">
        <v>310</v>
      </c>
    </row>
    <row r="258" spans="1:28" x14ac:dyDescent="0.3">
      <c r="A258" t="s">
        <v>21</v>
      </c>
      <c r="B258" t="s">
        <v>1080</v>
      </c>
      <c r="C258" t="s">
        <v>270</v>
      </c>
      <c r="D258" t="s">
        <v>1081</v>
      </c>
      <c r="E258">
        <v>2000005185</v>
      </c>
      <c r="M258" t="s">
        <v>631</v>
      </c>
      <c r="N258" t="s">
        <v>276</v>
      </c>
      <c r="P258" t="s">
        <v>260</v>
      </c>
      <c r="Q258" t="s">
        <v>260</v>
      </c>
      <c r="R258" t="s">
        <v>268</v>
      </c>
      <c r="S258" t="s">
        <v>21</v>
      </c>
      <c r="T258">
        <v>100</v>
      </c>
      <c r="W258" t="s">
        <v>262</v>
      </c>
      <c r="AB258" s="9">
        <v>45240</v>
      </c>
    </row>
    <row r="259" spans="1:28" x14ac:dyDescent="0.3">
      <c r="A259" t="s">
        <v>21</v>
      </c>
      <c r="B259" t="s">
        <v>1082</v>
      </c>
      <c r="C259" t="s">
        <v>270</v>
      </c>
      <c r="D259" t="s">
        <v>1083</v>
      </c>
      <c r="E259">
        <v>2000005195</v>
      </c>
      <c r="M259" t="s">
        <v>631</v>
      </c>
      <c r="N259" t="s">
        <v>276</v>
      </c>
      <c r="P259" t="s">
        <v>260</v>
      </c>
      <c r="Q259" t="s">
        <v>260</v>
      </c>
      <c r="R259" t="s">
        <v>268</v>
      </c>
      <c r="S259" t="s">
        <v>21</v>
      </c>
      <c r="T259">
        <v>100</v>
      </c>
      <c r="W259" t="s">
        <v>262</v>
      </c>
      <c r="AB259" s="9">
        <v>45240</v>
      </c>
    </row>
    <row r="260" spans="1:28" x14ac:dyDescent="0.3">
      <c r="A260" t="s">
        <v>21</v>
      </c>
      <c r="B260" t="s">
        <v>1084</v>
      </c>
      <c r="C260" t="s">
        <v>270</v>
      </c>
      <c r="D260" t="s">
        <v>1085</v>
      </c>
      <c r="E260">
        <v>2000005200</v>
      </c>
      <c r="F260">
        <v>2000005200</v>
      </c>
      <c r="M260" t="s">
        <v>403</v>
      </c>
      <c r="N260" t="s">
        <v>276</v>
      </c>
      <c r="P260" t="s">
        <v>260</v>
      </c>
      <c r="Q260" t="s">
        <v>260</v>
      </c>
      <c r="R260" t="s">
        <v>268</v>
      </c>
      <c r="S260" t="s">
        <v>21</v>
      </c>
      <c r="T260">
        <v>100</v>
      </c>
      <c r="W260" t="s">
        <v>262</v>
      </c>
      <c r="AB260" s="9">
        <v>45240</v>
      </c>
    </row>
    <row r="261" spans="1:28" x14ac:dyDescent="0.3">
      <c r="A261" t="s">
        <v>21</v>
      </c>
      <c r="B261" t="s">
        <v>1086</v>
      </c>
      <c r="C261" t="s">
        <v>299</v>
      </c>
      <c r="D261" t="s">
        <v>1087</v>
      </c>
      <c r="E261">
        <v>167</v>
      </c>
      <c r="G261" t="s">
        <v>1088</v>
      </c>
      <c r="H261" t="s">
        <v>1089</v>
      </c>
      <c r="I261" t="s">
        <v>1090</v>
      </c>
      <c r="J261" t="s">
        <v>305</v>
      </c>
      <c r="K261">
        <v>5333</v>
      </c>
      <c r="L261" t="s">
        <v>259</v>
      </c>
      <c r="M261" t="s">
        <v>307</v>
      </c>
      <c r="N261" t="s">
        <v>259</v>
      </c>
      <c r="P261" t="s">
        <v>260</v>
      </c>
      <c r="Q261" t="s">
        <v>260</v>
      </c>
      <c r="R261" t="s">
        <v>261</v>
      </c>
      <c r="S261" t="s">
        <v>21</v>
      </c>
      <c r="T261">
        <v>100</v>
      </c>
      <c r="W261" t="s">
        <v>262</v>
      </c>
      <c r="X261">
        <v>-34.450000000000003</v>
      </c>
      <c r="Y261">
        <v>140.58500000000001</v>
      </c>
      <c r="Z261">
        <v>310</v>
      </c>
      <c r="AB261" s="9">
        <v>44377</v>
      </c>
    </row>
    <row r="262" spans="1:28" x14ac:dyDescent="0.3">
      <c r="A262" t="s">
        <v>21</v>
      </c>
      <c r="B262" t="s">
        <v>1091</v>
      </c>
      <c r="C262" t="s">
        <v>878</v>
      </c>
      <c r="D262" t="s">
        <v>1092</v>
      </c>
      <c r="E262">
        <v>9066</v>
      </c>
      <c r="G262" t="s">
        <v>1093</v>
      </c>
      <c r="H262" t="s">
        <v>1094</v>
      </c>
      <c r="I262" t="s">
        <v>526</v>
      </c>
      <c r="J262" t="s">
        <v>335</v>
      </c>
      <c r="K262">
        <v>3000</v>
      </c>
      <c r="L262" t="s">
        <v>259</v>
      </c>
      <c r="M262" t="s">
        <v>282</v>
      </c>
      <c r="N262" t="s">
        <v>259</v>
      </c>
      <c r="P262" t="s">
        <v>260</v>
      </c>
      <c r="Q262" t="s">
        <v>260</v>
      </c>
      <c r="R262" t="s">
        <v>268</v>
      </c>
      <c r="S262" t="s">
        <v>21</v>
      </c>
      <c r="T262">
        <v>100</v>
      </c>
      <c r="W262" t="s">
        <v>262</v>
      </c>
      <c r="X262">
        <v>-37.814982999999998</v>
      </c>
      <c r="Y262">
        <v>144.96683899999999</v>
      </c>
      <c r="Z262">
        <v>451</v>
      </c>
      <c r="AB262" s="9">
        <v>44742</v>
      </c>
    </row>
    <row r="263" spans="1:28" x14ac:dyDescent="0.3">
      <c r="A263" t="s">
        <v>21</v>
      </c>
      <c r="B263" t="s">
        <v>1095</v>
      </c>
      <c r="C263" t="s">
        <v>878</v>
      </c>
      <c r="D263" t="s">
        <v>1092</v>
      </c>
      <c r="E263">
        <v>9069</v>
      </c>
      <c r="H263" t="s">
        <v>1096</v>
      </c>
      <c r="I263" t="s">
        <v>1097</v>
      </c>
      <c r="J263" t="s">
        <v>305</v>
      </c>
      <c r="K263">
        <v>5069</v>
      </c>
      <c r="L263" t="s">
        <v>259</v>
      </c>
      <c r="M263" t="s">
        <v>307</v>
      </c>
      <c r="N263" t="s">
        <v>259</v>
      </c>
      <c r="P263" t="s">
        <v>260</v>
      </c>
      <c r="Q263" t="s">
        <v>260</v>
      </c>
      <c r="R263" t="s">
        <v>268</v>
      </c>
      <c r="S263" t="s">
        <v>21</v>
      </c>
      <c r="T263">
        <v>100</v>
      </c>
      <c r="W263" t="s">
        <v>262</v>
      </c>
      <c r="X263">
        <v>-34.917720000000003</v>
      </c>
      <c r="Y263">
        <v>138.615059</v>
      </c>
      <c r="Z263">
        <v>451</v>
      </c>
    </row>
    <row r="264" spans="1:28" x14ac:dyDescent="0.3">
      <c r="A264" t="s">
        <v>21</v>
      </c>
      <c r="B264" t="s">
        <v>1098</v>
      </c>
      <c r="C264" t="s">
        <v>264</v>
      </c>
      <c r="D264" t="s">
        <v>1099</v>
      </c>
      <c r="E264" t="s">
        <v>1099</v>
      </c>
      <c r="G264" t="s">
        <v>1100</v>
      </c>
      <c r="M264" t="s">
        <v>503</v>
      </c>
      <c r="N264" t="s">
        <v>259</v>
      </c>
      <c r="P264" t="s">
        <v>260</v>
      </c>
      <c r="Q264" t="s">
        <v>260</v>
      </c>
      <c r="R264" t="s">
        <v>261</v>
      </c>
      <c r="S264" t="s">
        <v>21</v>
      </c>
      <c r="T264">
        <v>100</v>
      </c>
      <c r="W264" t="s">
        <v>262</v>
      </c>
      <c r="AB264" s="9">
        <v>45230</v>
      </c>
    </row>
    <row r="265" spans="1:28" x14ac:dyDescent="0.3">
      <c r="A265" t="s">
        <v>21</v>
      </c>
      <c r="B265" t="s">
        <v>1101</v>
      </c>
      <c r="C265" t="s">
        <v>270</v>
      </c>
      <c r="D265" t="s">
        <v>1102</v>
      </c>
      <c r="E265" t="s">
        <v>1102</v>
      </c>
      <c r="F265">
        <v>378</v>
      </c>
      <c r="G265" t="s">
        <v>1103</v>
      </c>
      <c r="H265" t="s">
        <v>1104</v>
      </c>
      <c r="I265" t="s">
        <v>1105</v>
      </c>
      <c r="J265" t="s">
        <v>503</v>
      </c>
      <c r="K265">
        <v>6090</v>
      </c>
      <c r="L265" t="s">
        <v>259</v>
      </c>
      <c r="M265" t="s">
        <v>503</v>
      </c>
      <c r="N265" t="s">
        <v>259</v>
      </c>
      <c r="P265" t="s">
        <v>260</v>
      </c>
      <c r="Q265" t="s">
        <v>260</v>
      </c>
      <c r="R265" t="s">
        <v>513</v>
      </c>
      <c r="S265" t="s">
        <v>21</v>
      </c>
      <c r="T265">
        <v>100</v>
      </c>
      <c r="W265" t="s">
        <v>262</v>
      </c>
      <c r="X265">
        <v>-31.860399999999998</v>
      </c>
      <c r="Y265">
        <v>115.887</v>
      </c>
      <c r="Z265">
        <v>239</v>
      </c>
      <c r="AB265" s="9">
        <v>43281</v>
      </c>
    </row>
    <row r="266" spans="1:28" ht="150" customHeight="1" x14ac:dyDescent="0.3">
      <c r="A266" t="s">
        <v>21</v>
      </c>
      <c r="B266" t="s">
        <v>1106</v>
      </c>
      <c r="C266" t="s">
        <v>299</v>
      </c>
      <c r="D266" t="s">
        <v>1107</v>
      </c>
      <c r="E266">
        <v>223</v>
      </c>
      <c r="G266" s="10" t="s">
        <v>1108</v>
      </c>
      <c r="H266" t="s">
        <v>1109</v>
      </c>
      <c r="I266" t="s">
        <v>1105</v>
      </c>
      <c r="J266" t="s">
        <v>555</v>
      </c>
      <c r="K266">
        <v>6090</v>
      </c>
      <c r="L266" t="s">
        <v>259</v>
      </c>
      <c r="M266" t="s">
        <v>503</v>
      </c>
      <c r="N266" t="s">
        <v>259</v>
      </c>
      <c r="P266" t="s">
        <v>260</v>
      </c>
      <c r="Q266" t="s">
        <v>260</v>
      </c>
      <c r="R266" t="s">
        <v>261</v>
      </c>
      <c r="S266" t="s">
        <v>21</v>
      </c>
      <c r="T266">
        <v>100</v>
      </c>
      <c r="W266" t="s">
        <v>262</v>
      </c>
      <c r="X266">
        <v>-31.855</v>
      </c>
      <c r="Y266">
        <v>115.881</v>
      </c>
      <c r="Z266">
        <v>310</v>
      </c>
      <c r="AB266" s="9">
        <v>44012</v>
      </c>
    </row>
    <row r="267" spans="1:28" x14ac:dyDescent="0.3">
      <c r="A267" t="s">
        <v>21</v>
      </c>
      <c r="B267" t="s">
        <v>1110</v>
      </c>
      <c r="C267" t="s">
        <v>1111</v>
      </c>
      <c r="D267" t="s">
        <v>1112</v>
      </c>
      <c r="G267" t="s">
        <v>1113</v>
      </c>
      <c r="M267" t="s">
        <v>1114</v>
      </c>
      <c r="N267" t="s">
        <v>259</v>
      </c>
      <c r="P267" t="s">
        <v>260</v>
      </c>
      <c r="Q267" t="s">
        <v>260</v>
      </c>
      <c r="R267" t="s">
        <v>283</v>
      </c>
      <c r="S267" t="s">
        <v>21</v>
      </c>
      <c r="T267">
        <v>100</v>
      </c>
      <c r="W267" t="s">
        <v>262</v>
      </c>
      <c r="AB267" s="9">
        <v>44742</v>
      </c>
    </row>
    <row r="268" spans="1:28" x14ac:dyDescent="0.3">
      <c r="A268" t="s">
        <v>21</v>
      </c>
      <c r="B268" t="s">
        <v>1115</v>
      </c>
      <c r="C268" t="s">
        <v>278</v>
      </c>
      <c r="D268" t="s">
        <v>1116</v>
      </c>
      <c r="E268" t="s">
        <v>1117</v>
      </c>
      <c r="G268" t="s">
        <v>1118</v>
      </c>
      <c r="M268" t="s">
        <v>302</v>
      </c>
      <c r="N268" t="s">
        <v>259</v>
      </c>
      <c r="P268" t="s">
        <v>260</v>
      </c>
      <c r="Q268" t="s">
        <v>260</v>
      </c>
      <c r="R268" t="s">
        <v>283</v>
      </c>
      <c r="S268" t="s">
        <v>21</v>
      </c>
      <c r="T268">
        <v>100</v>
      </c>
      <c r="W268" t="s">
        <v>262</v>
      </c>
      <c r="AA268" s="9">
        <v>44956</v>
      </c>
      <c r="AB268" s="9">
        <v>45427</v>
      </c>
    </row>
    <row r="269" spans="1:28" x14ac:dyDescent="0.3">
      <c r="A269" t="s">
        <v>21</v>
      </c>
      <c r="B269" t="s">
        <v>1119</v>
      </c>
      <c r="C269" t="s">
        <v>270</v>
      </c>
      <c r="D269" t="s">
        <v>561</v>
      </c>
      <c r="E269">
        <v>1002</v>
      </c>
      <c r="F269">
        <v>140</v>
      </c>
      <c r="G269" t="s">
        <v>1120</v>
      </c>
      <c r="H269" t="s">
        <v>1121</v>
      </c>
      <c r="I269" t="s">
        <v>526</v>
      </c>
      <c r="J269" t="s">
        <v>282</v>
      </c>
      <c r="K269">
        <v>3004</v>
      </c>
      <c r="L269" t="s">
        <v>259</v>
      </c>
      <c r="M269" t="s">
        <v>282</v>
      </c>
      <c r="N269" t="s">
        <v>259</v>
      </c>
      <c r="P269" t="s">
        <v>260</v>
      </c>
      <c r="Q269" t="s">
        <v>260</v>
      </c>
      <c r="R269" t="s">
        <v>293</v>
      </c>
      <c r="S269" t="s">
        <v>21</v>
      </c>
      <c r="T269">
        <v>100</v>
      </c>
      <c r="W269" t="s">
        <v>262</v>
      </c>
      <c r="X269">
        <v>-37.841000000000001</v>
      </c>
      <c r="Y269">
        <v>144.976</v>
      </c>
      <c r="Z269">
        <v>729</v>
      </c>
    </row>
    <row r="270" spans="1:28" x14ac:dyDescent="0.3">
      <c r="A270" t="s">
        <v>21</v>
      </c>
      <c r="B270" t="s">
        <v>1122</v>
      </c>
      <c r="C270" t="s">
        <v>448</v>
      </c>
      <c r="D270" t="s">
        <v>1123</v>
      </c>
      <c r="E270">
        <v>181</v>
      </c>
      <c r="H270" t="s">
        <v>1124</v>
      </c>
      <c r="I270" t="s">
        <v>329</v>
      </c>
      <c r="J270" t="s">
        <v>335</v>
      </c>
      <c r="K270">
        <v>3931</v>
      </c>
      <c r="L270" t="s">
        <v>259</v>
      </c>
      <c r="M270" t="s">
        <v>282</v>
      </c>
      <c r="N270" t="s">
        <v>259</v>
      </c>
      <c r="P270" t="s">
        <v>260</v>
      </c>
      <c r="Q270" t="s">
        <v>260</v>
      </c>
      <c r="R270" t="s">
        <v>261</v>
      </c>
      <c r="S270" t="s">
        <v>21</v>
      </c>
      <c r="T270">
        <v>100</v>
      </c>
      <c r="W270" t="s">
        <v>262</v>
      </c>
      <c r="X270">
        <v>-38.234999999999999</v>
      </c>
      <c r="Y270">
        <v>145.066</v>
      </c>
      <c r="Z270">
        <v>310</v>
      </c>
      <c r="AB270" s="9">
        <v>45473</v>
      </c>
    </row>
    <row r="271" spans="1:28" x14ac:dyDescent="0.3">
      <c r="A271" t="s">
        <v>21</v>
      </c>
      <c r="B271" t="s">
        <v>1125</v>
      </c>
      <c r="C271" t="s">
        <v>448</v>
      </c>
      <c r="D271" t="s">
        <v>1126</v>
      </c>
      <c r="E271">
        <v>183</v>
      </c>
      <c r="H271" t="s">
        <v>1127</v>
      </c>
      <c r="I271" t="s">
        <v>1128</v>
      </c>
      <c r="J271" t="s">
        <v>335</v>
      </c>
      <c r="K271">
        <v>3796</v>
      </c>
      <c r="L271" t="s">
        <v>259</v>
      </c>
      <c r="M271" t="s">
        <v>282</v>
      </c>
      <c r="N271" t="s">
        <v>259</v>
      </c>
      <c r="P271" t="s">
        <v>260</v>
      </c>
      <c r="Q271" t="s">
        <v>260</v>
      </c>
      <c r="R271" t="s">
        <v>261</v>
      </c>
      <c r="S271" t="s">
        <v>21</v>
      </c>
      <c r="T271">
        <v>100</v>
      </c>
      <c r="W271" t="s">
        <v>262</v>
      </c>
      <c r="X271">
        <v>-37.770000000000003</v>
      </c>
      <c r="Y271">
        <v>145.37799999999999</v>
      </c>
      <c r="Z271">
        <v>310</v>
      </c>
      <c r="AB271" s="9">
        <v>45077</v>
      </c>
    </row>
    <row r="272" spans="1:28" x14ac:dyDescent="0.3">
      <c r="A272" t="s">
        <v>21</v>
      </c>
      <c r="B272" t="s">
        <v>1129</v>
      </c>
      <c r="C272" t="s">
        <v>270</v>
      </c>
      <c r="D272" t="s">
        <v>1130</v>
      </c>
      <c r="E272">
        <v>2019</v>
      </c>
      <c r="F272">
        <v>188</v>
      </c>
      <c r="H272" t="s">
        <v>1131</v>
      </c>
      <c r="I272" t="s">
        <v>1132</v>
      </c>
      <c r="J272" t="s">
        <v>366</v>
      </c>
      <c r="K272">
        <v>2330</v>
      </c>
      <c r="L272" t="s">
        <v>259</v>
      </c>
      <c r="M272" t="s">
        <v>312</v>
      </c>
      <c r="N272" t="s">
        <v>259</v>
      </c>
      <c r="P272" t="s">
        <v>260</v>
      </c>
      <c r="Q272" t="s">
        <v>260</v>
      </c>
      <c r="R272" t="s">
        <v>283</v>
      </c>
      <c r="S272" t="s">
        <v>21</v>
      </c>
      <c r="T272">
        <v>100</v>
      </c>
      <c r="W272" t="s">
        <v>262</v>
      </c>
      <c r="X272">
        <v>-32.625400399999997</v>
      </c>
      <c r="Y272">
        <v>151.10645779999999</v>
      </c>
      <c r="Z272">
        <v>310</v>
      </c>
    </row>
    <row r="273" spans="1:28" x14ac:dyDescent="0.3">
      <c r="A273" t="s">
        <v>21</v>
      </c>
      <c r="B273" t="s">
        <v>1133</v>
      </c>
      <c r="C273" t="s">
        <v>1111</v>
      </c>
      <c r="D273" t="s">
        <v>1134</v>
      </c>
      <c r="E273" t="s">
        <v>1134</v>
      </c>
      <c r="H273" t="s">
        <v>1135</v>
      </c>
      <c r="I273" t="s">
        <v>1136</v>
      </c>
      <c r="J273" t="s">
        <v>366</v>
      </c>
      <c r="K273">
        <v>2300</v>
      </c>
      <c r="L273" t="s">
        <v>259</v>
      </c>
      <c r="M273" t="s">
        <v>312</v>
      </c>
      <c r="N273" t="s">
        <v>259</v>
      </c>
      <c r="P273" t="s">
        <v>260</v>
      </c>
      <c r="Q273" t="s">
        <v>260</v>
      </c>
      <c r="R273" t="s">
        <v>308</v>
      </c>
      <c r="S273" t="s">
        <v>21</v>
      </c>
      <c r="T273">
        <v>100</v>
      </c>
      <c r="V273" s="9">
        <v>45199</v>
      </c>
      <c r="W273" t="s">
        <v>262</v>
      </c>
      <c r="X273">
        <v>-32.927276999999997</v>
      </c>
      <c r="Y273">
        <v>151.76916399999999</v>
      </c>
      <c r="Z273">
        <v>310</v>
      </c>
      <c r="AA273" s="9">
        <v>42856</v>
      </c>
      <c r="AB273" s="9">
        <v>44012</v>
      </c>
    </row>
    <row r="274" spans="1:28" x14ac:dyDescent="0.3">
      <c r="A274" t="s">
        <v>21</v>
      </c>
      <c r="B274" t="s">
        <v>1137</v>
      </c>
      <c r="C274" t="s">
        <v>299</v>
      </c>
      <c r="D274" t="s">
        <v>1138</v>
      </c>
      <c r="E274" t="s">
        <v>1138</v>
      </c>
      <c r="M274" t="s">
        <v>312</v>
      </c>
      <c r="N274" t="s">
        <v>259</v>
      </c>
      <c r="P274" t="s">
        <v>260</v>
      </c>
      <c r="Q274" t="s">
        <v>260</v>
      </c>
      <c r="R274" t="s">
        <v>308</v>
      </c>
      <c r="S274" t="s">
        <v>21</v>
      </c>
      <c r="T274">
        <v>100</v>
      </c>
      <c r="V274" s="9">
        <v>45199</v>
      </c>
      <c r="W274" t="s">
        <v>262</v>
      </c>
    </row>
    <row r="275" spans="1:28" x14ac:dyDescent="0.3">
      <c r="A275" t="s">
        <v>21</v>
      </c>
      <c r="B275" t="s">
        <v>1139</v>
      </c>
      <c r="C275" t="s">
        <v>448</v>
      </c>
      <c r="D275" t="s">
        <v>1140</v>
      </c>
      <c r="E275">
        <v>17021160</v>
      </c>
      <c r="H275" t="s">
        <v>1141</v>
      </c>
      <c r="I275" t="s">
        <v>259</v>
      </c>
      <c r="J275" t="s">
        <v>258</v>
      </c>
      <c r="K275">
        <v>7315</v>
      </c>
      <c r="L275" t="s">
        <v>259</v>
      </c>
      <c r="M275" t="s">
        <v>1142</v>
      </c>
      <c r="N275" t="s">
        <v>259</v>
      </c>
      <c r="P275" t="s">
        <v>260</v>
      </c>
      <c r="Q275" t="s">
        <v>260</v>
      </c>
      <c r="R275" t="s">
        <v>261</v>
      </c>
      <c r="S275" t="s">
        <v>21</v>
      </c>
      <c r="T275">
        <v>100</v>
      </c>
      <c r="W275" t="s">
        <v>262</v>
      </c>
      <c r="X275">
        <v>-41.157984999999996</v>
      </c>
      <c r="Y275">
        <v>146.19910999999999</v>
      </c>
      <c r="Z275">
        <v>310</v>
      </c>
      <c r="AB275" s="9">
        <v>45473</v>
      </c>
    </row>
    <row r="276" spans="1:28" x14ac:dyDescent="0.3">
      <c r="A276" t="s">
        <v>21</v>
      </c>
      <c r="B276" t="s">
        <v>1143</v>
      </c>
      <c r="C276" t="s">
        <v>253</v>
      </c>
      <c r="D276" t="s">
        <v>1144</v>
      </c>
      <c r="E276">
        <v>404</v>
      </c>
      <c r="M276" t="s">
        <v>1145</v>
      </c>
      <c r="N276" t="s">
        <v>1145</v>
      </c>
      <c r="P276" t="s">
        <v>260</v>
      </c>
      <c r="Q276" t="s">
        <v>260</v>
      </c>
      <c r="R276" t="s">
        <v>261</v>
      </c>
      <c r="S276" t="s">
        <v>21</v>
      </c>
      <c r="T276">
        <v>100</v>
      </c>
      <c r="W276" t="s">
        <v>262</v>
      </c>
      <c r="AB276" s="9">
        <v>45596</v>
      </c>
    </row>
    <row r="277" spans="1:28" x14ac:dyDescent="0.3">
      <c r="A277" t="s">
        <v>21</v>
      </c>
      <c r="B277" t="s">
        <v>1146</v>
      </c>
      <c r="C277" t="s">
        <v>1147</v>
      </c>
      <c r="D277" t="s">
        <v>1148</v>
      </c>
      <c r="E277" t="s">
        <v>1149</v>
      </c>
      <c r="M277" t="s">
        <v>394</v>
      </c>
      <c r="N277" t="s">
        <v>276</v>
      </c>
      <c r="P277" t="s">
        <v>260</v>
      </c>
      <c r="Q277" t="s">
        <v>260</v>
      </c>
      <c r="R277" t="s">
        <v>268</v>
      </c>
      <c r="S277" t="s">
        <v>21</v>
      </c>
      <c r="T277">
        <v>100</v>
      </c>
      <c r="W277" t="s">
        <v>262</v>
      </c>
    </row>
    <row r="278" spans="1:28" x14ac:dyDescent="0.3">
      <c r="A278" t="s">
        <v>21</v>
      </c>
      <c r="B278" t="s">
        <v>1150</v>
      </c>
      <c r="C278" t="s">
        <v>270</v>
      </c>
      <c r="D278" t="s">
        <v>1151</v>
      </c>
      <c r="E278">
        <v>5192</v>
      </c>
      <c r="G278" t="s">
        <v>1152</v>
      </c>
      <c r="H278" t="s">
        <v>1153</v>
      </c>
      <c r="I278" t="s">
        <v>297</v>
      </c>
      <c r="J278" t="s">
        <v>297</v>
      </c>
      <c r="K278">
        <v>1010</v>
      </c>
      <c r="L278" t="s">
        <v>276</v>
      </c>
      <c r="M278" t="s">
        <v>297</v>
      </c>
      <c r="N278" t="s">
        <v>276</v>
      </c>
      <c r="P278" t="s">
        <v>260</v>
      </c>
      <c r="Q278" t="s">
        <v>260</v>
      </c>
      <c r="R278" t="s">
        <v>261</v>
      </c>
      <c r="S278" t="s">
        <v>21</v>
      </c>
      <c r="T278">
        <v>100</v>
      </c>
      <c r="W278" t="s">
        <v>262</v>
      </c>
      <c r="X278">
        <v>-36.849907999999999</v>
      </c>
      <c r="Y278">
        <v>174.76240200000001</v>
      </c>
      <c r="Z278">
        <v>302</v>
      </c>
      <c r="AA278" s="9">
        <v>42917</v>
      </c>
    </row>
    <row r="279" spans="1:28" x14ac:dyDescent="0.3">
      <c r="A279" t="s">
        <v>21</v>
      </c>
      <c r="B279" t="s">
        <v>1154</v>
      </c>
      <c r="C279" t="s">
        <v>270</v>
      </c>
      <c r="D279" t="s">
        <v>1155</v>
      </c>
      <c r="E279">
        <v>5188</v>
      </c>
      <c r="G279" t="s">
        <v>1156</v>
      </c>
      <c r="H279" t="s">
        <v>1157</v>
      </c>
      <c r="I279" t="s">
        <v>297</v>
      </c>
      <c r="J279" t="s">
        <v>297</v>
      </c>
      <c r="K279">
        <v>1010</v>
      </c>
      <c r="L279" t="s">
        <v>276</v>
      </c>
      <c r="M279" t="s">
        <v>990</v>
      </c>
      <c r="N279" t="s">
        <v>276</v>
      </c>
      <c r="P279" t="s">
        <v>260</v>
      </c>
      <c r="Q279" t="s">
        <v>260</v>
      </c>
      <c r="R279" t="s">
        <v>261</v>
      </c>
      <c r="S279" t="s">
        <v>21</v>
      </c>
      <c r="T279">
        <v>100</v>
      </c>
      <c r="W279" t="s">
        <v>262</v>
      </c>
      <c r="X279">
        <v>-36.999982000000003</v>
      </c>
      <c r="Y279">
        <v>174.782127</v>
      </c>
      <c r="Z279">
        <v>302</v>
      </c>
      <c r="AA279" s="9">
        <v>42917</v>
      </c>
    </row>
    <row r="280" spans="1:28" x14ac:dyDescent="0.3">
      <c r="A280" t="s">
        <v>21</v>
      </c>
      <c r="B280" t="s">
        <v>1158</v>
      </c>
      <c r="C280" t="s">
        <v>270</v>
      </c>
      <c r="D280" t="s">
        <v>1159</v>
      </c>
      <c r="E280">
        <v>5191</v>
      </c>
      <c r="G280" t="s">
        <v>1160</v>
      </c>
      <c r="H280" t="s">
        <v>1161</v>
      </c>
      <c r="I280" t="s">
        <v>297</v>
      </c>
      <c r="J280" t="s">
        <v>297</v>
      </c>
      <c r="K280">
        <v>1023</v>
      </c>
      <c r="L280" t="s">
        <v>276</v>
      </c>
      <c r="M280" t="s">
        <v>297</v>
      </c>
      <c r="N280" t="s">
        <v>276</v>
      </c>
      <c r="P280" t="s">
        <v>260</v>
      </c>
      <c r="Q280" t="s">
        <v>260</v>
      </c>
      <c r="R280" t="s">
        <v>261</v>
      </c>
      <c r="S280" t="s">
        <v>21</v>
      </c>
      <c r="T280">
        <v>100</v>
      </c>
      <c r="W280" t="s">
        <v>262</v>
      </c>
      <c r="X280">
        <v>-36.842117999999999</v>
      </c>
      <c r="Y280">
        <v>174.75657200000001</v>
      </c>
      <c r="Z280">
        <v>302</v>
      </c>
      <c r="AA280" s="9">
        <v>42917</v>
      </c>
      <c r="AB280" s="9">
        <v>43190</v>
      </c>
    </row>
    <row r="281" spans="1:28" x14ac:dyDescent="0.3">
      <c r="A281" t="s">
        <v>21</v>
      </c>
      <c r="B281" t="s">
        <v>1162</v>
      </c>
      <c r="C281" t="s">
        <v>439</v>
      </c>
      <c r="D281" t="s">
        <v>1163</v>
      </c>
      <c r="E281">
        <v>5253</v>
      </c>
      <c r="G281" t="s">
        <v>453</v>
      </c>
      <c r="M281" t="s">
        <v>394</v>
      </c>
      <c r="N281" t="s">
        <v>276</v>
      </c>
      <c r="P281" t="s">
        <v>260</v>
      </c>
      <c r="Q281" t="s">
        <v>260</v>
      </c>
      <c r="R281" t="s">
        <v>261</v>
      </c>
      <c r="S281" t="s">
        <v>21</v>
      </c>
      <c r="T281">
        <v>100</v>
      </c>
      <c r="W281" t="s">
        <v>262</v>
      </c>
    </row>
    <row r="282" spans="1:28" x14ac:dyDescent="0.3">
      <c r="A282" t="s">
        <v>21</v>
      </c>
      <c r="B282" t="s">
        <v>1164</v>
      </c>
      <c r="C282" t="s">
        <v>439</v>
      </c>
      <c r="D282" t="s">
        <v>1165</v>
      </c>
      <c r="E282">
        <v>5195</v>
      </c>
      <c r="G282" t="s">
        <v>1166</v>
      </c>
      <c r="H282" t="s">
        <v>1167</v>
      </c>
      <c r="I282" t="s">
        <v>297</v>
      </c>
      <c r="J282" t="s">
        <v>297</v>
      </c>
      <c r="K282">
        <v>3015</v>
      </c>
      <c r="L282" t="s">
        <v>276</v>
      </c>
      <c r="M282" t="s">
        <v>297</v>
      </c>
      <c r="N282" t="s">
        <v>276</v>
      </c>
      <c r="P282" t="s">
        <v>260</v>
      </c>
      <c r="Q282" t="s">
        <v>260</v>
      </c>
      <c r="R282" t="s">
        <v>261</v>
      </c>
      <c r="S282" t="s">
        <v>21</v>
      </c>
      <c r="T282">
        <v>100</v>
      </c>
      <c r="W282" t="s">
        <v>262</v>
      </c>
      <c r="X282">
        <v>-36.842461999999998</v>
      </c>
      <c r="Y282">
        <v>174.757948</v>
      </c>
      <c r="Z282">
        <v>302</v>
      </c>
      <c r="AA282" s="9">
        <v>42917</v>
      </c>
    </row>
    <row r="283" spans="1:28" x14ac:dyDescent="0.3">
      <c r="A283" t="s">
        <v>21</v>
      </c>
      <c r="B283" t="s">
        <v>1168</v>
      </c>
      <c r="C283" t="s">
        <v>270</v>
      </c>
      <c r="D283" t="s">
        <v>1169</v>
      </c>
      <c r="E283" t="s">
        <v>1169</v>
      </c>
      <c r="G283" t="s">
        <v>1170</v>
      </c>
      <c r="H283" t="s">
        <v>1171</v>
      </c>
      <c r="I283" t="s">
        <v>379</v>
      </c>
      <c r="J283" t="s">
        <v>380</v>
      </c>
      <c r="K283">
        <v>3204</v>
      </c>
      <c r="L283" t="s">
        <v>276</v>
      </c>
      <c r="M283" t="s">
        <v>379</v>
      </c>
      <c r="N283" t="s">
        <v>276</v>
      </c>
      <c r="P283" t="s">
        <v>260</v>
      </c>
      <c r="Q283" t="s">
        <v>260</v>
      </c>
      <c r="R283" t="s">
        <v>261</v>
      </c>
      <c r="S283" t="s">
        <v>21</v>
      </c>
      <c r="T283">
        <v>100</v>
      </c>
      <c r="W283" t="s">
        <v>262</v>
      </c>
      <c r="X283">
        <v>-37.793315</v>
      </c>
      <c r="Y283">
        <v>175.294028</v>
      </c>
      <c r="Z283">
        <v>302</v>
      </c>
      <c r="AA283" s="9">
        <v>43024</v>
      </c>
      <c r="AB283" s="9">
        <v>43190</v>
      </c>
    </row>
    <row r="284" spans="1:28" x14ac:dyDescent="0.3">
      <c r="A284" t="s">
        <v>21</v>
      </c>
      <c r="B284" t="s">
        <v>1172</v>
      </c>
      <c r="C284" t="s">
        <v>270</v>
      </c>
      <c r="D284" t="s">
        <v>1173</v>
      </c>
      <c r="E284">
        <v>5209</v>
      </c>
      <c r="G284" t="s">
        <v>1174</v>
      </c>
      <c r="H284" t="s">
        <v>1175</v>
      </c>
      <c r="I284" t="s">
        <v>429</v>
      </c>
      <c r="J284" t="s">
        <v>430</v>
      </c>
      <c r="K284">
        <v>6022</v>
      </c>
      <c r="L284" t="s">
        <v>276</v>
      </c>
      <c r="M284" t="s">
        <v>429</v>
      </c>
      <c r="N284" t="s">
        <v>276</v>
      </c>
      <c r="P284" t="s">
        <v>260</v>
      </c>
      <c r="Q284" t="s">
        <v>260</v>
      </c>
      <c r="R284" t="s">
        <v>261</v>
      </c>
      <c r="S284" t="s">
        <v>21</v>
      </c>
      <c r="T284">
        <v>100</v>
      </c>
      <c r="W284" t="s">
        <v>262</v>
      </c>
      <c r="X284">
        <v>-37.741582000000001</v>
      </c>
      <c r="Y284">
        <v>176.102554</v>
      </c>
      <c r="Z284">
        <v>302</v>
      </c>
      <c r="AA284" s="9">
        <v>43108</v>
      </c>
    </row>
    <row r="285" spans="1:28" x14ac:dyDescent="0.3">
      <c r="A285" t="s">
        <v>21</v>
      </c>
      <c r="B285" t="s">
        <v>1176</v>
      </c>
      <c r="C285" t="s">
        <v>270</v>
      </c>
      <c r="D285" t="s">
        <v>1177</v>
      </c>
      <c r="E285">
        <v>5204</v>
      </c>
      <c r="G285" t="s">
        <v>1178</v>
      </c>
      <c r="H285" t="s">
        <v>1179</v>
      </c>
      <c r="I285" t="s">
        <v>420</v>
      </c>
      <c r="J285" t="s">
        <v>430</v>
      </c>
      <c r="K285">
        <v>3216</v>
      </c>
      <c r="L285" t="s">
        <v>276</v>
      </c>
      <c r="M285" t="s">
        <v>420</v>
      </c>
      <c r="N285" t="s">
        <v>276</v>
      </c>
      <c r="P285" t="s">
        <v>260</v>
      </c>
      <c r="Q285" t="s">
        <v>260</v>
      </c>
      <c r="R285" t="s">
        <v>261</v>
      </c>
      <c r="S285" t="s">
        <v>21</v>
      </c>
      <c r="T285">
        <v>100</v>
      </c>
      <c r="W285" t="s">
        <v>262</v>
      </c>
      <c r="X285">
        <v>-38.179751000000003</v>
      </c>
      <c r="Y285">
        <v>176.26085800000001</v>
      </c>
      <c r="Z285">
        <v>302</v>
      </c>
      <c r="AA285" s="9">
        <v>42906</v>
      </c>
      <c r="AB285" s="9">
        <v>43190</v>
      </c>
    </row>
    <row r="286" spans="1:28" x14ac:dyDescent="0.3">
      <c r="A286" t="s">
        <v>21</v>
      </c>
      <c r="B286" t="s">
        <v>1180</v>
      </c>
      <c r="C286" t="s">
        <v>270</v>
      </c>
      <c r="D286" t="s">
        <v>1181</v>
      </c>
      <c r="E286">
        <v>5208</v>
      </c>
      <c r="G286" t="s">
        <v>1182</v>
      </c>
      <c r="H286" t="s">
        <v>1183</v>
      </c>
      <c r="I286" t="s">
        <v>379</v>
      </c>
      <c r="J286" t="s">
        <v>380</v>
      </c>
      <c r="K286">
        <v>6011</v>
      </c>
      <c r="L286" t="s">
        <v>276</v>
      </c>
      <c r="M286" t="s">
        <v>379</v>
      </c>
      <c r="N286" t="s">
        <v>276</v>
      </c>
      <c r="P286" t="s">
        <v>260</v>
      </c>
      <c r="Q286" t="s">
        <v>260</v>
      </c>
      <c r="R286" t="s">
        <v>261</v>
      </c>
      <c r="S286" t="s">
        <v>21</v>
      </c>
      <c r="T286">
        <v>100</v>
      </c>
      <c r="W286" t="s">
        <v>262</v>
      </c>
      <c r="X286">
        <v>-37.787019000000001</v>
      </c>
      <c r="Y286">
        <v>175.283838</v>
      </c>
      <c r="Z286">
        <v>302</v>
      </c>
      <c r="AA286" s="9">
        <v>43068</v>
      </c>
    </row>
    <row r="287" spans="1:28" x14ac:dyDescent="0.3">
      <c r="A287" t="s">
        <v>21</v>
      </c>
      <c r="B287" t="s">
        <v>1184</v>
      </c>
      <c r="C287" t="s">
        <v>270</v>
      </c>
      <c r="D287" t="s">
        <v>1185</v>
      </c>
      <c r="E287">
        <v>5201</v>
      </c>
      <c r="G287" t="s">
        <v>1186</v>
      </c>
      <c r="H287" t="s">
        <v>1187</v>
      </c>
      <c r="I287" t="s">
        <v>429</v>
      </c>
      <c r="J287" t="s">
        <v>430</v>
      </c>
      <c r="K287">
        <v>3110</v>
      </c>
      <c r="L287" t="s">
        <v>276</v>
      </c>
      <c r="M287" t="s">
        <v>429</v>
      </c>
      <c r="N287" t="s">
        <v>276</v>
      </c>
      <c r="P287" t="s">
        <v>260</v>
      </c>
      <c r="Q287" t="s">
        <v>260</v>
      </c>
      <c r="R287" t="s">
        <v>261</v>
      </c>
      <c r="S287" t="s">
        <v>21</v>
      </c>
      <c r="T287">
        <v>100</v>
      </c>
      <c r="W287" t="s">
        <v>262</v>
      </c>
      <c r="X287">
        <v>-37.740884999999999</v>
      </c>
      <c r="Y287">
        <v>176.103612</v>
      </c>
      <c r="Z287">
        <v>302</v>
      </c>
      <c r="AA287" s="9">
        <v>42859</v>
      </c>
    </row>
    <row r="288" spans="1:28" x14ac:dyDescent="0.3">
      <c r="A288" t="s">
        <v>21</v>
      </c>
      <c r="B288" t="s">
        <v>1188</v>
      </c>
      <c r="C288" t="s">
        <v>270</v>
      </c>
      <c r="D288" t="s">
        <v>1189</v>
      </c>
      <c r="E288">
        <v>5203</v>
      </c>
      <c r="G288" t="s">
        <v>1190</v>
      </c>
      <c r="H288" t="s">
        <v>1191</v>
      </c>
      <c r="I288" t="s">
        <v>429</v>
      </c>
      <c r="J288" t="s">
        <v>430</v>
      </c>
      <c r="K288">
        <v>3189</v>
      </c>
      <c r="L288" t="s">
        <v>276</v>
      </c>
      <c r="M288" t="s">
        <v>429</v>
      </c>
      <c r="N288" t="s">
        <v>276</v>
      </c>
      <c r="P288" t="s">
        <v>260</v>
      </c>
      <c r="Q288" t="s">
        <v>260</v>
      </c>
      <c r="R288" t="s">
        <v>261</v>
      </c>
      <c r="S288" t="s">
        <v>21</v>
      </c>
      <c r="T288">
        <v>100</v>
      </c>
      <c r="W288" t="s">
        <v>262</v>
      </c>
      <c r="X288">
        <v>-37.684280999999999</v>
      </c>
      <c r="Y288">
        <v>176.16743</v>
      </c>
      <c r="Z288">
        <v>302</v>
      </c>
      <c r="AA288" s="9">
        <v>42933</v>
      </c>
    </row>
    <row r="289" spans="1:28" x14ac:dyDescent="0.3">
      <c r="A289" t="s">
        <v>21</v>
      </c>
      <c r="B289" t="s">
        <v>1192</v>
      </c>
      <c r="C289" t="s">
        <v>270</v>
      </c>
      <c r="D289" t="s">
        <v>1193</v>
      </c>
      <c r="E289">
        <v>5243</v>
      </c>
      <c r="G289" t="s">
        <v>1194</v>
      </c>
      <c r="H289" t="s">
        <v>1195</v>
      </c>
      <c r="I289" t="s">
        <v>1196</v>
      </c>
      <c r="J289" t="s">
        <v>425</v>
      </c>
      <c r="K289">
        <v>8011</v>
      </c>
      <c r="L289" t="s">
        <v>276</v>
      </c>
      <c r="M289" t="s">
        <v>1196</v>
      </c>
      <c r="N289" t="s">
        <v>276</v>
      </c>
      <c r="P289" t="s">
        <v>260</v>
      </c>
      <c r="Q289" t="s">
        <v>260</v>
      </c>
      <c r="R289" t="s">
        <v>261</v>
      </c>
      <c r="S289" t="s">
        <v>21</v>
      </c>
      <c r="T289">
        <v>100</v>
      </c>
      <c r="W289" t="s">
        <v>262</v>
      </c>
      <c r="X289">
        <v>-43.906968599999999</v>
      </c>
      <c r="Y289">
        <v>171.7505008</v>
      </c>
      <c r="Z289">
        <v>302</v>
      </c>
      <c r="AA289" s="9">
        <v>42968</v>
      </c>
      <c r="AB289" s="9">
        <v>43157</v>
      </c>
    </row>
    <row r="290" spans="1:28" x14ac:dyDescent="0.3">
      <c r="A290" t="s">
        <v>21</v>
      </c>
      <c r="B290" t="s">
        <v>1197</v>
      </c>
      <c r="C290" t="s">
        <v>270</v>
      </c>
      <c r="D290" t="s">
        <v>1198</v>
      </c>
      <c r="E290">
        <v>5247</v>
      </c>
      <c r="G290" t="s">
        <v>1199</v>
      </c>
      <c r="H290" t="s">
        <v>1200</v>
      </c>
      <c r="I290" t="s">
        <v>636</v>
      </c>
      <c r="J290" t="s">
        <v>425</v>
      </c>
      <c r="K290">
        <v>8011</v>
      </c>
      <c r="L290" t="s">
        <v>276</v>
      </c>
      <c r="M290" t="s">
        <v>636</v>
      </c>
      <c r="N290" t="s">
        <v>276</v>
      </c>
      <c r="P290" t="s">
        <v>260</v>
      </c>
      <c r="Q290" t="s">
        <v>260</v>
      </c>
      <c r="R290" t="s">
        <v>261</v>
      </c>
      <c r="S290" t="s">
        <v>21</v>
      </c>
      <c r="T290">
        <v>100</v>
      </c>
      <c r="W290" t="s">
        <v>262</v>
      </c>
      <c r="X290">
        <v>-46.239524299999999</v>
      </c>
      <c r="Y290">
        <v>169.74295619999901</v>
      </c>
      <c r="Z290">
        <v>302</v>
      </c>
      <c r="AA290" s="9">
        <v>43058</v>
      </c>
    </row>
    <row r="291" spans="1:28" x14ac:dyDescent="0.3">
      <c r="A291" t="s">
        <v>21</v>
      </c>
      <c r="B291" t="s">
        <v>1201</v>
      </c>
      <c r="C291" t="s">
        <v>270</v>
      </c>
      <c r="D291" t="s">
        <v>1202</v>
      </c>
      <c r="E291" t="s">
        <v>1202</v>
      </c>
      <c r="G291" t="s">
        <v>1203</v>
      </c>
      <c r="H291" t="s">
        <v>1204</v>
      </c>
      <c r="I291" t="s">
        <v>390</v>
      </c>
      <c r="J291" t="s">
        <v>425</v>
      </c>
      <c r="K291">
        <v>8011</v>
      </c>
      <c r="L291" t="s">
        <v>276</v>
      </c>
      <c r="M291" t="s">
        <v>390</v>
      </c>
      <c r="N291" t="s">
        <v>276</v>
      </c>
      <c r="P291" t="s">
        <v>260</v>
      </c>
      <c r="Q291" t="s">
        <v>260</v>
      </c>
      <c r="R291" t="s">
        <v>261</v>
      </c>
      <c r="S291" t="s">
        <v>21</v>
      </c>
      <c r="T291">
        <v>100</v>
      </c>
      <c r="W291" t="s">
        <v>262</v>
      </c>
      <c r="X291">
        <v>-43.486398100000002</v>
      </c>
      <c r="Y291">
        <v>172.536870499999</v>
      </c>
      <c r="Z291">
        <v>302</v>
      </c>
      <c r="AA291" s="9">
        <v>42888</v>
      </c>
      <c r="AB291" s="9">
        <v>42923</v>
      </c>
    </row>
    <row r="292" spans="1:28" x14ac:dyDescent="0.3">
      <c r="A292" t="s">
        <v>21</v>
      </c>
      <c r="B292" t="s">
        <v>1205</v>
      </c>
      <c r="C292" t="s">
        <v>270</v>
      </c>
      <c r="D292" t="s">
        <v>1206</v>
      </c>
      <c r="E292">
        <v>5239</v>
      </c>
      <c r="G292" t="s">
        <v>1207</v>
      </c>
      <c r="H292" t="s">
        <v>1208</v>
      </c>
      <c r="I292" t="s">
        <v>390</v>
      </c>
      <c r="J292" t="s">
        <v>425</v>
      </c>
      <c r="K292">
        <v>8082</v>
      </c>
      <c r="L292" t="s">
        <v>276</v>
      </c>
      <c r="M292" t="s">
        <v>390</v>
      </c>
      <c r="N292" t="s">
        <v>276</v>
      </c>
      <c r="P292" t="s">
        <v>260</v>
      </c>
      <c r="Q292" t="s">
        <v>260</v>
      </c>
      <c r="R292" t="s">
        <v>261</v>
      </c>
      <c r="S292" t="s">
        <v>21</v>
      </c>
      <c r="T292">
        <v>100</v>
      </c>
      <c r="W292" t="s">
        <v>262</v>
      </c>
      <c r="X292">
        <v>-43.532809700000001</v>
      </c>
      <c r="Y292">
        <v>172.63157190000001</v>
      </c>
      <c r="Z292">
        <v>302</v>
      </c>
      <c r="AA292" s="9">
        <v>42923</v>
      </c>
      <c r="AB292" s="9">
        <v>43026</v>
      </c>
    </row>
    <row r="293" spans="1:28" x14ac:dyDescent="0.3">
      <c r="A293" t="s">
        <v>21</v>
      </c>
      <c r="B293" t="s">
        <v>1209</v>
      </c>
      <c r="C293" t="s">
        <v>270</v>
      </c>
      <c r="D293" t="s">
        <v>1210</v>
      </c>
      <c r="E293">
        <v>5245</v>
      </c>
      <c r="G293" t="s">
        <v>1211</v>
      </c>
      <c r="H293" t="s">
        <v>1212</v>
      </c>
      <c r="I293" t="s">
        <v>390</v>
      </c>
      <c r="J293" t="s">
        <v>425</v>
      </c>
      <c r="K293">
        <v>9230</v>
      </c>
      <c r="L293" t="s">
        <v>276</v>
      </c>
      <c r="M293" t="s">
        <v>390</v>
      </c>
      <c r="N293" t="s">
        <v>276</v>
      </c>
      <c r="P293" t="s">
        <v>260</v>
      </c>
      <c r="Q293" t="s">
        <v>260</v>
      </c>
      <c r="R293" t="s">
        <v>261</v>
      </c>
      <c r="S293" t="s">
        <v>21</v>
      </c>
      <c r="T293">
        <v>100</v>
      </c>
      <c r="W293" t="s">
        <v>262</v>
      </c>
      <c r="X293">
        <v>-43.532211099999998</v>
      </c>
      <c r="Y293">
        <v>172.63250830000001</v>
      </c>
      <c r="Z293">
        <v>302</v>
      </c>
      <c r="AA293" s="9">
        <v>42989</v>
      </c>
      <c r="AB293" s="9">
        <v>43077</v>
      </c>
    </row>
    <row r="294" spans="1:28" x14ac:dyDescent="0.3">
      <c r="A294" t="s">
        <v>21</v>
      </c>
      <c r="B294" t="s">
        <v>1213</v>
      </c>
      <c r="C294" t="s">
        <v>270</v>
      </c>
      <c r="D294" t="s">
        <v>1214</v>
      </c>
      <c r="E294">
        <v>5249</v>
      </c>
      <c r="G294" t="s">
        <v>1215</v>
      </c>
      <c r="H294" t="s">
        <v>1216</v>
      </c>
      <c r="I294" t="s">
        <v>390</v>
      </c>
      <c r="J294" t="s">
        <v>425</v>
      </c>
      <c r="K294">
        <v>8011</v>
      </c>
      <c r="L294" t="s">
        <v>276</v>
      </c>
      <c r="M294" t="s">
        <v>390</v>
      </c>
      <c r="N294" t="s">
        <v>276</v>
      </c>
      <c r="P294" t="s">
        <v>260</v>
      </c>
      <c r="Q294" t="s">
        <v>260</v>
      </c>
      <c r="R294" t="s">
        <v>261</v>
      </c>
      <c r="S294" t="s">
        <v>21</v>
      </c>
      <c r="T294">
        <v>100</v>
      </c>
      <c r="W294" t="s">
        <v>262</v>
      </c>
      <c r="X294">
        <v>-43.532248500000001</v>
      </c>
      <c r="Y294">
        <v>172.634727</v>
      </c>
      <c r="Z294">
        <v>302</v>
      </c>
      <c r="AA294" s="9">
        <v>43073</v>
      </c>
    </row>
    <row r="295" spans="1:28" x14ac:dyDescent="0.3">
      <c r="A295" t="s">
        <v>21</v>
      </c>
      <c r="B295" t="s">
        <v>1217</v>
      </c>
      <c r="C295" t="s">
        <v>270</v>
      </c>
      <c r="D295" t="s">
        <v>1218</v>
      </c>
      <c r="E295">
        <v>5233</v>
      </c>
      <c r="G295" t="s">
        <v>1219</v>
      </c>
      <c r="H295" t="s">
        <v>1220</v>
      </c>
      <c r="I295" t="s">
        <v>749</v>
      </c>
      <c r="J295" t="s">
        <v>1221</v>
      </c>
      <c r="K295">
        <v>9300</v>
      </c>
      <c r="L295" t="s">
        <v>276</v>
      </c>
      <c r="M295" t="s">
        <v>749</v>
      </c>
      <c r="N295" t="s">
        <v>276</v>
      </c>
      <c r="P295" t="s">
        <v>260</v>
      </c>
      <c r="Q295" t="s">
        <v>260</v>
      </c>
      <c r="R295" t="s">
        <v>261</v>
      </c>
      <c r="S295" t="s">
        <v>21</v>
      </c>
      <c r="T295">
        <v>100</v>
      </c>
      <c r="W295" t="s">
        <v>262</v>
      </c>
      <c r="X295">
        <v>-44.980546500000003</v>
      </c>
      <c r="Y295">
        <v>168.68542209999899</v>
      </c>
      <c r="Z295">
        <v>301</v>
      </c>
      <c r="AA295" s="9">
        <v>43017</v>
      </c>
    </row>
    <row r="296" spans="1:28" x14ac:dyDescent="0.3">
      <c r="A296" t="s">
        <v>21</v>
      </c>
      <c r="B296" t="s">
        <v>1222</v>
      </c>
      <c r="C296" t="s">
        <v>270</v>
      </c>
      <c r="D296" t="s">
        <v>1223</v>
      </c>
      <c r="E296">
        <v>5246</v>
      </c>
      <c r="G296" t="s">
        <v>1224</v>
      </c>
      <c r="H296" t="s">
        <v>1225</v>
      </c>
      <c r="I296" t="s">
        <v>390</v>
      </c>
      <c r="J296" t="s">
        <v>425</v>
      </c>
      <c r="K296">
        <v>8013</v>
      </c>
      <c r="L296" t="s">
        <v>276</v>
      </c>
      <c r="M296" t="s">
        <v>390</v>
      </c>
      <c r="N296" t="s">
        <v>276</v>
      </c>
      <c r="P296" t="s">
        <v>260</v>
      </c>
      <c r="Q296" t="s">
        <v>260</v>
      </c>
      <c r="R296" t="s">
        <v>261</v>
      </c>
      <c r="S296" t="s">
        <v>21</v>
      </c>
      <c r="T296">
        <v>100</v>
      </c>
      <c r="W296" t="s">
        <v>262</v>
      </c>
      <c r="X296">
        <v>-43.542927499999998</v>
      </c>
      <c r="Y296">
        <v>172.56566889999999</v>
      </c>
      <c r="Z296">
        <v>302</v>
      </c>
      <c r="AA296" s="9">
        <v>43005</v>
      </c>
      <c r="AB296" s="9">
        <v>43122</v>
      </c>
    </row>
    <row r="297" spans="1:28" x14ac:dyDescent="0.3">
      <c r="A297" t="s">
        <v>21</v>
      </c>
      <c r="B297" t="s">
        <v>1226</v>
      </c>
      <c r="C297" t="s">
        <v>270</v>
      </c>
      <c r="D297" t="s">
        <v>1169</v>
      </c>
      <c r="E297">
        <v>5236</v>
      </c>
      <c r="G297" t="s">
        <v>1227</v>
      </c>
      <c r="H297" t="s">
        <v>1228</v>
      </c>
      <c r="I297" t="s">
        <v>474</v>
      </c>
      <c r="J297" t="s">
        <v>425</v>
      </c>
      <c r="K297">
        <v>8041</v>
      </c>
      <c r="L297" t="s">
        <v>276</v>
      </c>
      <c r="M297" t="s">
        <v>390</v>
      </c>
      <c r="N297" t="s">
        <v>276</v>
      </c>
      <c r="P297" t="s">
        <v>260</v>
      </c>
      <c r="Q297" t="s">
        <v>260</v>
      </c>
      <c r="R297" t="s">
        <v>261</v>
      </c>
      <c r="S297" t="s">
        <v>21</v>
      </c>
      <c r="T297">
        <v>100</v>
      </c>
      <c r="W297" t="s">
        <v>262</v>
      </c>
      <c r="X297">
        <v>-43.5406926</v>
      </c>
      <c r="Y297">
        <v>172.59974030000001</v>
      </c>
      <c r="Z297">
        <v>302</v>
      </c>
      <c r="AA297" s="9">
        <v>42917</v>
      </c>
    </row>
    <row r="298" spans="1:28" x14ac:dyDescent="0.3">
      <c r="A298" t="s">
        <v>21</v>
      </c>
      <c r="B298" t="s">
        <v>1229</v>
      </c>
      <c r="C298" t="s">
        <v>270</v>
      </c>
      <c r="D298" t="s">
        <v>1230</v>
      </c>
      <c r="E298">
        <v>5235</v>
      </c>
      <c r="G298" t="s">
        <v>1231</v>
      </c>
      <c r="H298" t="s">
        <v>1232</v>
      </c>
      <c r="I298" t="s">
        <v>749</v>
      </c>
      <c r="J298" t="s">
        <v>425</v>
      </c>
      <c r="K298">
        <v>8051</v>
      </c>
      <c r="L298" t="s">
        <v>276</v>
      </c>
      <c r="M298" t="s">
        <v>749</v>
      </c>
      <c r="N298" t="s">
        <v>276</v>
      </c>
      <c r="P298" t="s">
        <v>260</v>
      </c>
      <c r="Q298" t="s">
        <v>260</v>
      </c>
      <c r="R298" t="s">
        <v>261</v>
      </c>
      <c r="S298" t="s">
        <v>21</v>
      </c>
      <c r="T298">
        <v>100</v>
      </c>
      <c r="W298" t="s">
        <v>262</v>
      </c>
      <c r="X298">
        <v>-45.015605899999997</v>
      </c>
      <c r="Y298">
        <v>168.747069799999</v>
      </c>
      <c r="Z298">
        <v>302</v>
      </c>
      <c r="AA298" s="9">
        <v>42851</v>
      </c>
      <c r="AB298" s="9">
        <v>42922</v>
      </c>
    </row>
    <row r="299" spans="1:28" x14ac:dyDescent="0.3">
      <c r="A299" t="s">
        <v>21</v>
      </c>
      <c r="B299" t="s">
        <v>1233</v>
      </c>
      <c r="C299" t="s">
        <v>270</v>
      </c>
      <c r="D299" t="s">
        <v>1234</v>
      </c>
      <c r="E299">
        <v>5234</v>
      </c>
      <c r="G299" t="s">
        <v>1235</v>
      </c>
      <c r="H299" t="s">
        <v>1236</v>
      </c>
      <c r="I299" t="s">
        <v>390</v>
      </c>
      <c r="J299" t="s">
        <v>425</v>
      </c>
      <c r="K299">
        <v>8041</v>
      </c>
      <c r="L299" t="s">
        <v>276</v>
      </c>
      <c r="M299" t="s">
        <v>390</v>
      </c>
      <c r="N299" t="s">
        <v>276</v>
      </c>
      <c r="P299" t="s">
        <v>260</v>
      </c>
      <c r="Q299" t="s">
        <v>260</v>
      </c>
      <c r="R299" t="s">
        <v>261</v>
      </c>
      <c r="S299" t="s">
        <v>21</v>
      </c>
      <c r="T299">
        <v>100</v>
      </c>
      <c r="W299" t="s">
        <v>262</v>
      </c>
      <c r="X299">
        <v>-43.521719399999903</v>
      </c>
      <c r="Y299">
        <v>172.6416341</v>
      </c>
      <c r="Z299">
        <v>302</v>
      </c>
      <c r="AA299" s="9">
        <v>40271</v>
      </c>
      <c r="AB299" s="9">
        <v>43194</v>
      </c>
    </row>
    <row r="300" spans="1:28" x14ac:dyDescent="0.3">
      <c r="A300" t="s">
        <v>21</v>
      </c>
      <c r="B300" t="s">
        <v>1237</v>
      </c>
      <c r="C300" t="s">
        <v>270</v>
      </c>
      <c r="D300" t="s">
        <v>1238</v>
      </c>
      <c r="E300">
        <v>5238</v>
      </c>
      <c r="G300" t="s">
        <v>1239</v>
      </c>
      <c r="H300" t="s">
        <v>1240</v>
      </c>
      <c r="I300" t="s">
        <v>390</v>
      </c>
      <c r="J300" t="s">
        <v>425</v>
      </c>
      <c r="K300">
        <v>8223</v>
      </c>
      <c r="L300" t="s">
        <v>276</v>
      </c>
      <c r="M300" t="s">
        <v>390</v>
      </c>
      <c r="N300" t="s">
        <v>276</v>
      </c>
      <c r="P300" t="s">
        <v>260</v>
      </c>
      <c r="Q300" t="s">
        <v>260</v>
      </c>
      <c r="R300" t="s">
        <v>261</v>
      </c>
      <c r="S300" t="s">
        <v>21</v>
      </c>
      <c r="T300">
        <v>100</v>
      </c>
      <c r="W300" t="s">
        <v>262</v>
      </c>
      <c r="X300">
        <v>-43.5386521</v>
      </c>
      <c r="Y300">
        <v>172.60004090000001</v>
      </c>
      <c r="Z300">
        <v>302</v>
      </c>
      <c r="AA300" s="9">
        <v>42907</v>
      </c>
      <c r="AB300" s="9">
        <v>43033</v>
      </c>
    </row>
    <row r="301" spans="1:28" x14ac:dyDescent="0.3">
      <c r="A301" t="s">
        <v>21</v>
      </c>
      <c r="B301" t="s">
        <v>1241</v>
      </c>
      <c r="C301" t="s">
        <v>270</v>
      </c>
      <c r="D301" t="s">
        <v>1242</v>
      </c>
      <c r="E301">
        <v>5230</v>
      </c>
      <c r="G301" t="s">
        <v>1243</v>
      </c>
      <c r="H301" t="s">
        <v>1216</v>
      </c>
      <c r="I301" t="s">
        <v>390</v>
      </c>
      <c r="J301" t="s">
        <v>425</v>
      </c>
      <c r="K301">
        <v>8024</v>
      </c>
      <c r="L301" t="s">
        <v>276</v>
      </c>
      <c r="M301" t="s">
        <v>390</v>
      </c>
      <c r="N301" t="s">
        <v>276</v>
      </c>
      <c r="P301" t="s">
        <v>260</v>
      </c>
      <c r="Q301" t="s">
        <v>260</v>
      </c>
      <c r="R301" t="s">
        <v>261</v>
      </c>
      <c r="S301" t="s">
        <v>21</v>
      </c>
      <c r="T301">
        <v>100</v>
      </c>
      <c r="W301" t="s">
        <v>262</v>
      </c>
      <c r="X301">
        <v>-43.532248500000001</v>
      </c>
      <c r="Y301">
        <v>172.634727</v>
      </c>
      <c r="Z301">
        <v>302</v>
      </c>
      <c r="AA301" s="9">
        <v>42917</v>
      </c>
    </row>
    <row r="302" spans="1:28" x14ac:dyDescent="0.3">
      <c r="A302" t="s">
        <v>21</v>
      </c>
      <c r="B302" t="s">
        <v>1244</v>
      </c>
      <c r="C302" t="s">
        <v>270</v>
      </c>
      <c r="D302" t="s">
        <v>1242</v>
      </c>
      <c r="E302">
        <v>5228</v>
      </c>
      <c r="G302" t="s">
        <v>1245</v>
      </c>
      <c r="H302" t="s">
        <v>1246</v>
      </c>
      <c r="I302" t="s">
        <v>390</v>
      </c>
      <c r="J302" t="s">
        <v>425</v>
      </c>
      <c r="K302">
        <v>8011</v>
      </c>
      <c r="L302" t="s">
        <v>276</v>
      </c>
      <c r="M302" t="s">
        <v>390</v>
      </c>
      <c r="N302" t="s">
        <v>276</v>
      </c>
      <c r="P302" t="s">
        <v>260</v>
      </c>
      <c r="Q302" t="s">
        <v>260</v>
      </c>
      <c r="R302" t="s">
        <v>261</v>
      </c>
      <c r="S302" t="s">
        <v>21</v>
      </c>
      <c r="T302">
        <v>100</v>
      </c>
      <c r="W302" t="s">
        <v>262</v>
      </c>
      <c r="X302">
        <v>-43.532248500000001</v>
      </c>
      <c r="Y302">
        <v>172.634727</v>
      </c>
      <c r="Z302">
        <v>302</v>
      </c>
      <c r="AA302" s="9">
        <v>42917</v>
      </c>
    </row>
    <row r="303" spans="1:28" x14ac:dyDescent="0.3">
      <c r="A303" t="s">
        <v>21</v>
      </c>
      <c r="B303" t="s">
        <v>1247</v>
      </c>
      <c r="C303" t="s">
        <v>270</v>
      </c>
      <c r="D303" t="s">
        <v>1248</v>
      </c>
      <c r="E303">
        <v>5232</v>
      </c>
      <c r="G303" t="s">
        <v>1249</v>
      </c>
      <c r="H303" t="s">
        <v>1250</v>
      </c>
      <c r="I303" t="s">
        <v>390</v>
      </c>
      <c r="J303" t="s">
        <v>425</v>
      </c>
      <c r="K303">
        <v>8013</v>
      </c>
      <c r="L303" t="s">
        <v>276</v>
      </c>
      <c r="M303" t="s">
        <v>390</v>
      </c>
      <c r="N303" t="s">
        <v>276</v>
      </c>
      <c r="P303" t="s">
        <v>260</v>
      </c>
      <c r="Q303" t="s">
        <v>260</v>
      </c>
      <c r="R303" t="s">
        <v>261</v>
      </c>
      <c r="S303" t="s">
        <v>21</v>
      </c>
      <c r="T303">
        <v>100</v>
      </c>
      <c r="W303" t="s">
        <v>262</v>
      </c>
      <c r="X303">
        <v>-43.538745400000003</v>
      </c>
      <c r="Y303">
        <v>172.60642379999999</v>
      </c>
      <c r="Z303">
        <v>302</v>
      </c>
      <c r="AA303" s="9">
        <v>42917</v>
      </c>
    </row>
    <row r="304" spans="1:28" x14ac:dyDescent="0.3">
      <c r="A304" t="s">
        <v>21</v>
      </c>
      <c r="B304" t="s">
        <v>1251</v>
      </c>
      <c r="C304" t="s">
        <v>270</v>
      </c>
      <c r="D304" t="s">
        <v>1169</v>
      </c>
      <c r="E304">
        <v>5244</v>
      </c>
      <c r="G304" t="s">
        <v>1252</v>
      </c>
      <c r="H304" t="s">
        <v>1253</v>
      </c>
      <c r="I304" t="s">
        <v>390</v>
      </c>
      <c r="J304" t="s">
        <v>425</v>
      </c>
      <c r="K304">
        <v>8042</v>
      </c>
      <c r="L304" t="s">
        <v>276</v>
      </c>
      <c r="M304" t="s">
        <v>390</v>
      </c>
      <c r="N304" t="s">
        <v>276</v>
      </c>
      <c r="P304" t="s">
        <v>260</v>
      </c>
      <c r="Q304" t="s">
        <v>260</v>
      </c>
      <c r="R304" t="s">
        <v>261</v>
      </c>
      <c r="S304" t="s">
        <v>21</v>
      </c>
      <c r="T304">
        <v>100</v>
      </c>
      <c r="W304" t="s">
        <v>262</v>
      </c>
      <c r="X304">
        <v>-43.532984999999996</v>
      </c>
      <c r="Y304">
        <v>172.63436139999999</v>
      </c>
      <c r="Z304">
        <v>302</v>
      </c>
      <c r="AA304" s="9">
        <v>43126</v>
      </c>
    </row>
    <row r="305" spans="1:28" x14ac:dyDescent="0.3">
      <c r="A305" t="s">
        <v>21</v>
      </c>
      <c r="B305" t="s">
        <v>1254</v>
      </c>
      <c r="C305" t="s">
        <v>270</v>
      </c>
      <c r="D305" t="s">
        <v>1169</v>
      </c>
      <c r="E305">
        <v>5250</v>
      </c>
      <c r="G305" t="s">
        <v>1255</v>
      </c>
      <c r="H305" t="s">
        <v>1216</v>
      </c>
      <c r="I305" t="s">
        <v>390</v>
      </c>
      <c r="J305" t="s">
        <v>425</v>
      </c>
      <c r="K305">
        <v>8011</v>
      </c>
      <c r="L305" t="s">
        <v>276</v>
      </c>
      <c r="M305" t="s">
        <v>390</v>
      </c>
      <c r="N305" t="s">
        <v>276</v>
      </c>
      <c r="P305" t="s">
        <v>260</v>
      </c>
      <c r="Q305" t="s">
        <v>260</v>
      </c>
      <c r="R305" t="s">
        <v>261</v>
      </c>
      <c r="S305" t="s">
        <v>21</v>
      </c>
      <c r="T305">
        <v>100</v>
      </c>
      <c r="W305" t="s">
        <v>262</v>
      </c>
      <c r="X305">
        <v>-43.532248500000001</v>
      </c>
      <c r="Y305">
        <v>172.634727</v>
      </c>
      <c r="Z305">
        <v>302</v>
      </c>
      <c r="AA305" s="9">
        <v>43126</v>
      </c>
    </row>
    <row r="306" spans="1:28" x14ac:dyDescent="0.3">
      <c r="A306" t="s">
        <v>21</v>
      </c>
      <c r="B306" t="s">
        <v>1256</v>
      </c>
      <c r="C306" t="s">
        <v>270</v>
      </c>
      <c r="D306" t="s">
        <v>1257</v>
      </c>
      <c r="E306">
        <v>5240</v>
      </c>
      <c r="G306" t="s">
        <v>1258</v>
      </c>
      <c r="H306" t="s">
        <v>1259</v>
      </c>
      <c r="I306" t="s">
        <v>390</v>
      </c>
      <c r="J306" t="s">
        <v>425</v>
      </c>
      <c r="K306">
        <v>9300</v>
      </c>
      <c r="L306" t="s">
        <v>276</v>
      </c>
      <c r="M306" t="s">
        <v>390</v>
      </c>
      <c r="N306" t="s">
        <v>276</v>
      </c>
      <c r="P306" t="s">
        <v>260</v>
      </c>
      <c r="Q306" t="s">
        <v>260</v>
      </c>
      <c r="R306" t="s">
        <v>261</v>
      </c>
      <c r="S306" t="s">
        <v>21</v>
      </c>
      <c r="T306">
        <v>100</v>
      </c>
      <c r="W306" t="s">
        <v>262</v>
      </c>
      <c r="X306">
        <v>-43.555848500000003</v>
      </c>
      <c r="Y306">
        <v>172.695747799999</v>
      </c>
      <c r="Z306">
        <v>302</v>
      </c>
      <c r="AA306" s="9">
        <v>42948</v>
      </c>
    </row>
    <row r="307" spans="1:28" x14ac:dyDescent="0.3">
      <c r="A307" t="s">
        <v>21</v>
      </c>
      <c r="B307" t="s">
        <v>1260</v>
      </c>
      <c r="C307" t="s">
        <v>270</v>
      </c>
      <c r="D307" t="s">
        <v>1261</v>
      </c>
      <c r="E307">
        <v>5224</v>
      </c>
      <c r="G307" t="s">
        <v>1262</v>
      </c>
      <c r="H307" t="s">
        <v>1263</v>
      </c>
      <c r="I307" t="s">
        <v>403</v>
      </c>
      <c r="J307" t="s">
        <v>403</v>
      </c>
      <c r="K307">
        <v>8041</v>
      </c>
      <c r="L307" t="s">
        <v>276</v>
      </c>
      <c r="M307" t="s">
        <v>703</v>
      </c>
      <c r="N307" t="s">
        <v>276</v>
      </c>
      <c r="P307" t="s">
        <v>260</v>
      </c>
      <c r="Q307" t="s">
        <v>260</v>
      </c>
      <c r="R307" t="s">
        <v>261</v>
      </c>
      <c r="S307" t="s">
        <v>21</v>
      </c>
      <c r="T307">
        <v>100</v>
      </c>
      <c r="W307" t="s">
        <v>262</v>
      </c>
      <c r="X307">
        <v>-41.234943000000001</v>
      </c>
      <c r="Y307">
        <v>174.91723300000001</v>
      </c>
      <c r="Z307">
        <v>302</v>
      </c>
      <c r="AA307" s="9">
        <v>43076</v>
      </c>
    </row>
    <row r="308" spans="1:28" x14ac:dyDescent="0.3">
      <c r="A308" t="s">
        <v>21</v>
      </c>
      <c r="B308" t="s">
        <v>1264</v>
      </c>
      <c r="C308" t="s">
        <v>270</v>
      </c>
      <c r="D308" t="s">
        <v>1265</v>
      </c>
      <c r="E308">
        <v>5223</v>
      </c>
      <c r="G308" t="s">
        <v>1266</v>
      </c>
      <c r="H308" t="s">
        <v>1267</v>
      </c>
      <c r="I308" t="s">
        <v>403</v>
      </c>
      <c r="J308" t="s">
        <v>403</v>
      </c>
      <c r="K308">
        <v>4414</v>
      </c>
      <c r="L308" t="s">
        <v>276</v>
      </c>
      <c r="M308" t="s">
        <v>403</v>
      </c>
      <c r="N308" t="s">
        <v>276</v>
      </c>
      <c r="P308" t="s">
        <v>260</v>
      </c>
      <c r="Q308" t="s">
        <v>260</v>
      </c>
      <c r="R308" t="s">
        <v>261</v>
      </c>
      <c r="S308" t="s">
        <v>21</v>
      </c>
      <c r="T308">
        <v>100</v>
      </c>
      <c r="W308" t="s">
        <v>262</v>
      </c>
      <c r="X308">
        <v>-41.282891999999997</v>
      </c>
      <c r="Y308">
        <v>174.777897</v>
      </c>
      <c r="Z308">
        <v>302</v>
      </c>
      <c r="AA308" s="9">
        <v>43090</v>
      </c>
    </row>
    <row r="309" spans="1:28" x14ac:dyDescent="0.3">
      <c r="A309" t="s">
        <v>21</v>
      </c>
      <c r="B309" t="s">
        <v>1268</v>
      </c>
      <c r="C309" t="s">
        <v>270</v>
      </c>
      <c r="D309" t="s">
        <v>1269</v>
      </c>
      <c r="E309">
        <v>5219</v>
      </c>
      <c r="G309" t="s">
        <v>1270</v>
      </c>
      <c r="H309" t="s">
        <v>1271</v>
      </c>
      <c r="I309" t="s">
        <v>403</v>
      </c>
      <c r="J309" t="s">
        <v>403</v>
      </c>
      <c r="K309">
        <v>6011</v>
      </c>
      <c r="L309" t="s">
        <v>276</v>
      </c>
      <c r="M309" t="s">
        <v>403</v>
      </c>
      <c r="N309" t="s">
        <v>276</v>
      </c>
      <c r="P309" t="s">
        <v>260</v>
      </c>
      <c r="Q309" t="s">
        <v>260</v>
      </c>
      <c r="R309" t="s">
        <v>261</v>
      </c>
      <c r="S309" t="s">
        <v>21</v>
      </c>
      <c r="T309">
        <v>100</v>
      </c>
      <c r="W309" t="s">
        <v>262</v>
      </c>
      <c r="X309">
        <v>-41.289318999999999</v>
      </c>
      <c r="Y309">
        <v>174.76874100000001</v>
      </c>
      <c r="Z309">
        <v>302</v>
      </c>
      <c r="AA309" s="9">
        <v>42917</v>
      </c>
      <c r="AB309" s="9">
        <v>42978</v>
      </c>
    </row>
    <row r="310" spans="1:28" x14ac:dyDescent="0.3">
      <c r="A310" t="s">
        <v>21</v>
      </c>
      <c r="B310" t="s">
        <v>1272</v>
      </c>
      <c r="C310" t="s">
        <v>270</v>
      </c>
      <c r="D310" t="s">
        <v>1273</v>
      </c>
      <c r="E310">
        <v>5215</v>
      </c>
      <c r="G310" t="s">
        <v>1274</v>
      </c>
      <c r="H310" t="s">
        <v>1275</v>
      </c>
      <c r="I310" t="s">
        <v>403</v>
      </c>
      <c r="J310" t="s">
        <v>403</v>
      </c>
      <c r="K310">
        <v>6012</v>
      </c>
      <c r="L310" t="s">
        <v>276</v>
      </c>
      <c r="M310" t="s">
        <v>1276</v>
      </c>
      <c r="N310" t="s">
        <v>276</v>
      </c>
      <c r="P310" t="s">
        <v>260</v>
      </c>
      <c r="Q310" t="s">
        <v>260</v>
      </c>
      <c r="R310" t="s">
        <v>261</v>
      </c>
      <c r="S310" t="s">
        <v>21</v>
      </c>
      <c r="T310">
        <v>100</v>
      </c>
      <c r="W310" t="s">
        <v>262</v>
      </c>
      <c r="X310">
        <v>-41.328310999999999</v>
      </c>
      <c r="Y310">
        <v>174.81929299999999</v>
      </c>
      <c r="Z310">
        <v>302</v>
      </c>
      <c r="AA310" s="9">
        <v>42917</v>
      </c>
      <c r="AB310" s="9">
        <v>43131</v>
      </c>
    </row>
    <row r="311" spans="1:28" x14ac:dyDescent="0.3">
      <c r="A311" t="s">
        <v>21</v>
      </c>
      <c r="B311" t="s">
        <v>1277</v>
      </c>
      <c r="C311" t="s">
        <v>270</v>
      </c>
      <c r="D311" t="s">
        <v>1278</v>
      </c>
      <c r="E311">
        <v>5214</v>
      </c>
      <c r="G311" t="s">
        <v>1279</v>
      </c>
      <c r="H311" t="s">
        <v>1280</v>
      </c>
      <c r="I311" t="s">
        <v>403</v>
      </c>
      <c r="J311" t="s">
        <v>403</v>
      </c>
      <c r="K311">
        <v>6011</v>
      </c>
      <c r="L311" t="s">
        <v>276</v>
      </c>
      <c r="M311" t="s">
        <v>403</v>
      </c>
      <c r="N311" t="s">
        <v>276</v>
      </c>
      <c r="P311" t="s">
        <v>260</v>
      </c>
      <c r="Q311" t="s">
        <v>260</v>
      </c>
      <c r="R311" t="s">
        <v>261</v>
      </c>
      <c r="S311" t="s">
        <v>21</v>
      </c>
      <c r="T311">
        <v>100</v>
      </c>
      <c r="W311" t="s">
        <v>262</v>
      </c>
      <c r="X311">
        <v>-41.276080999999998</v>
      </c>
      <c r="Y311">
        <v>174.77872600000001</v>
      </c>
      <c r="Z311">
        <v>302</v>
      </c>
      <c r="AA311" s="9">
        <v>42917</v>
      </c>
      <c r="AB311" s="9">
        <v>43100</v>
      </c>
    </row>
    <row r="312" spans="1:28" x14ac:dyDescent="0.3">
      <c r="A312" t="s">
        <v>21</v>
      </c>
      <c r="B312" t="s">
        <v>1281</v>
      </c>
      <c r="C312" t="s">
        <v>270</v>
      </c>
      <c r="D312" t="s">
        <v>1282</v>
      </c>
      <c r="E312">
        <v>5216</v>
      </c>
      <c r="G312" t="s">
        <v>1283</v>
      </c>
      <c r="H312" t="s">
        <v>1284</v>
      </c>
      <c r="I312" t="s">
        <v>403</v>
      </c>
      <c r="J312" t="s">
        <v>403</v>
      </c>
      <c r="K312">
        <v>6011</v>
      </c>
      <c r="L312" t="s">
        <v>276</v>
      </c>
      <c r="M312" t="s">
        <v>403</v>
      </c>
      <c r="N312" t="s">
        <v>276</v>
      </c>
      <c r="P312" t="s">
        <v>260</v>
      </c>
      <c r="Q312" t="s">
        <v>260</v>
      </c>
      <c r="R312" t="s">
        <v>261</v>
      </c>
      <c r="S312" t="s">
        <v>21</v>
      </c>
      <c r="T312">
        <v>100</v>
      </c>
      <c r="W312" t="s">
        <v>262</v>
      </c>
      <c r="X312">
        <v>-41.290501999999996</v>
      </c>
      <c r="Y312">
        <v>174.78173699999999</v>
      </c>
      <c r="Z312">
        <v>302</v>
      </c>
      <c r="AA312" s="9">
        <v>42917</v>
      </c>
      <c r="AB312" s="9">
        <v>43159</v>
      </c>
    </row>
    <row r="313" spans="1:28" x14ac:dyDescent="0.3">
      <c r="A313" t="s">
        <v>21</v>
      </c>
      <c r="B313" t="s">
        <v>1285</v>
      </c>
      <c r="C313" t="s">
        <v>270</v>
      </c>
      <c r="D313" t="s">
        <v>1286</v>
      </c>
      <c r="E313">
        <v>5225</v>
      </c>
      <c r="G313" t="s">
        <v>1287</v>
      </c>
      <c r="H313" t="s">
        <v>1288</v>
      </c>
      <c r="I313" t="s">
        <v>739</v>
      </c>
      <c r="J313" t="s">
        <v>1289</v>
      </c>
      <c r="K313">
        <v>8041</v>
      </c>
      <c r="L313" t="s">
        <v>276</v>
      </c>
      <c r="M313" t="s">
        <v>739</v>
      </c>
      <c r="N313" t="s">
        <v>276</v>
      </c>
      <c r="P313" t="s">
        <v>260</v>
      </c>
      <c r="Q313" t="s">
        <v>260</v>
      </c>
      <c r="R313" t="s">
        <v>261</v>
      </c>
      <c r="S313" t="s">
        <v>21</v>
      </c>
      <c r="T313">
        <v>100</v>
      </c>
      <c r="W313" t="s">
        <v>262</v>
      </c>
      <c r="X313">
        <v>-40.338988000000001</v>
      </c>
      <c r="Y313">
        <v>175.61971700000001</v>
      </c>
      <c r="Z313">
        <v>302</v>
      </c>
      <c r="AA313" s="9">
        <v>43166</v>
      </c>
    </row>
    <row r="314" spans="1:28" x14ac:dyDescent="0.3">
      <c r="A314" t="s">
        <v>21</v>
      </c>
      <c r="B314" t="s">
        <v>1290</v>
      </c>
      <c r="C314" t="s">
        <v>270</v>
      </c>
      <c r="D314" t="s">
        <v>1291</v>
      </c>
      <c r="E314">
        <v>5222</v>
      </c>
      <c r="G314" t="s">
        <v>1292</v>
      </c>
      <c r="H314" t="s">
        <v>1293</v>
      </c>
      <c r="I314" t="s">
        <v>403</v>
      </c>
      <c r="J314" t="s">
        <v>403</v>
      </c>
      <c r="K314">
        <v>5010</v>
      </c>
      <c r="L314" t="s">
        <v>276</v>
      </c>
      <c r="M314" t="s">
        <v>1294</v>
      </c>
      <c r="N314" t="s">
        <v>276</v>
      </c>
      <c r="P314" t="s">
        <v>260</v>
      </c>
      <c r="Q314" t="s">
        <v>260</v>
      </c>
      <c r="R314" t="s">
        <v>261</v>
      </c>
      <c r="S314" t="s">
        <v>21</v>
      </c>
      <c r="T314">
        <v>100</v>
      </c>
      <c r="W314" t="s">
        <v>262</v>
      </c>
      <c r="X314">
        <v>-41.297232000000001</v>
      </c>
      <c r="Y314">
        <v>174.78397100000001</v>
      </c>
      <c r="Z314">
        <v>301</v>
      </c>
      <c r="AA314" s="9">
        <v>43006</v>
      </c>
    </row>
    <row r="315" spans="1:28" x14ac:dyDescent="0.3">
      <c r="A315" t="s">
        <v>21</v>
      </c>
      <c r="B315" t="s">
        <v>1295</v>
      </c>
      <c r="C315" t="s">
        <v>299</v>
      </c>
      <c r="D315" t="s">
        <v>1296</v>
      </c>
      <c r="E315" t="s">
        <v>1296</v>
      </c>
      <c r="M315" t="s">
        <v>297</v>
      </c>
      <c r="N315" t="s">
        <v>276</v>
      </c>
      <c r="P315" t="s">
        <v>260</v>
      </c>
      <c r="Q315" t="s">
        <v>260</v>
      </c>
      <c r="R315" t="s">
        <v>283</v>
      </c>
      <c r="S315" t="s">
        <v>21</v>
      </c>
      <c r="T315">
        <v>100</v>
      </c>
      <c r="W315" t="s">
        <v>262</v>
      </c>
    </row>
    <row r="316" spans="1:28" x14ac:dyDescent="0.3">
      <c r="A316" t="s">
        <v>21</v>
      </c>
      <c r="B316" t="s">
        <v>1297</v>
      </c>
      <c r="C316" t="s">
        <v>299</v>
      </c>
      <c r="D316" t="s">
        <v>1298</v>
      </c>
      <c r="E316">
        <v>5262</v>
      </c>
      <c r="G316" t="s">
        <v>1299</v>
      </c>
      <c r="M316" t="s">
        <v>375</v>
      </c>
      <c r="N316" t="s">
        <v>276</v>
      </c>
      <c r="P316" t="s">
        <v>260</v>
      </c>
      <c r="Q316" t="s">
        <v>260</v>
      </c>
      <c r="R316" t="s">
        <v>283</v>
      </c>
      <c r="S316" t="s">
        <v>21</v>
      </c>
      <c r="T316">
        <v>100</v>
      </c>
      <c r="W316" t="s">
        <v>262</v>
      </c>
    </row>
    <row r="317" spans="1:28" x14ac:dyDescent="0.3">
      <c r="A317" t="s">
        <v>21</v>
      </c>
      <c r="B317" t="s">
        <v>1300</v>
      </c>
      <c r="C317" t="s">
        <v>299</v>
      </c>
      <c r="D317" t="s">
        <v>1301</v>
      </c>
      <c r="E317">
        <v>5264</v>
      </c>
      <c r="M317" t="s">
        <v>379</v>
      </c>
      <c r="N317" t="s">
        <v>276</v>
      </c>
      <c r="P317" t="s">
        <v>260</v>
      </c>
      <c r="Q317" t="s">
        <v>260</v>
      </c>
      <c r="R317" t="s">
        <v>283</v>
      </c>
      <c r="S317" t="s">
        <v>21</v>
      </c>
      <c r="T317">
        <v>100</v>
      </c>
      <c r="W317" t="s">
        <v>262</v>
      </c>
    </row>
    <row r="318" spans="1:28" x14ac:dyDescent="0.3">
      <c r="A318" t="s">
        <v>21</v>
      </c>
      <c r="B318" t="s">
        <v>1302</v>
      </c>
      <c r="C318" t="s">
        <v>299</v>
      </c>
      <c r="D318" t="s">
        <v>1303</v>
      </c>
      <c r="E318">
        <v>5265</v>
      </c>
      <c r="G318" t="s">
        <v>1299</v>
      </c>
      <c r="M318" t="s">
        <v>398</v>
      </c>
      <c r="N318" t="s">
        <v>276</v>
      </c>
      <c r="P318" t="s">
        <v>260</v>
      </c>
      <c r="Q318" t="s">
        <v>260</v>
      </c>
      <c r="R318" t="s">
        <v>283</v>
      </c>
      <c r="S318" t="s">
        <v>21</v>
      </c>
      <c r="T318">
        <v>100</v>
      </c>
      <c r="W318" t="s">
        <v>262</v>
      </c>
    </row>
    <row r="319" spans="1:28" x14ac:dyDescent="0.3">
      <c r="A319" t="s">
        <v>21</v>
      </c>
      <c r="B319" t="s">
        <v>1304</v>
      </c>
      <c r="C319" t="s">
        <v>299</v>
      </c>
      <c r="D319" t="s">
        <v>1305</v>
      </c>
      <c r="E319">
        <v>5261</v>
      </c>
      <c r="G319" t="s">
        <v>1299</v>
      </c>
      <c r="M319" t="s">
        <v>739</v>
      </c>
      <c r="N319" t="s">
        <v>276</v>
      </c>
      <c r="P319" t="s">
        <v>260</v>
      </c>
      <c r="Q319" t="s">
        <v>260</v>
      </c>
      <c r="R319" t="s">
        <v>283</v>
      </c>
      <c r="S319" t="s">
        <v>21</v>
      </c>
      <c r="T319">
        <v>100</v>
      </c>
      <c r="W319" t="s">
        <v>262</v>
      </c>
    </row>
    <row r="320" spans="1:28" x14ac:dyDescent="0.3">
      <c r="A320" t="s">
        <v>21</v>
      </c>
      <c r="B320" t="s">
        <v>1306</v>
      </c>
      <c r="C320" t="s">
        <v>270</v>
      </c>
      <c r="D320" t="s">
        <v>1307</v>
      </c>
      <c r="E320">
        <v>5156</v>
      </c>
      <c r="G320" t="s">
        <v>828</v>
      </c>
      <c r="H320" t="s">
        <v>1308</v>
      </c>
      <c r="I320" t="s">
        <v>1309</v>
      </c>
      <c r="J320" t="s">
        <v>380</v>
      </c>
      <c r="K320">
        <v>4312</v>
      </c>
      <c r="L320" t="s">
        <v>276</v>
      </c>
      <c r="M320" t="s">
        <v>1309</v>
      </c>
      <c r="N320" t="s">
        <v>276</v>
      </c>
      <c r="P320" t="s">
        <v>260</v>
      </c>
      <c r="Q320" t="s">
        <v>260</v>
      </c>
      <c r="R320" t="s">
        <v>283</v>
      </c>
      <c r="S320" t="s">
        <v>21</v>
      </c>
      <c r="T320">
        <v>100</v>
      </c>
      <c r="W320" t="s">
        <v>262</v>
      </c>
      <c r="X320">
        <v>-36.761936599999999</v>
      </c>
      <c r="Y320">
        <v>175.4898005</v>
      </c>
      <c r="Z320">
        <v>310</v>
      </c>
      <c r="AA320" s="9">
        <v>42917</v>
      </c>
    </row>
    <row r="321" spans="1:28" x14ac:dyDescent="0.3">
      <c r="A321" t="s">
        <v>21</v>
      </c>
      <c r="B321" t="s">
        <v>1310</v>
      </c>
      <c r="C321" t="s">
        <v>270</v>
      </c>
      <c r="D321" t="s">
        <v>1311</v>
      </c>
      <c r="E321">
        <v>5030</v>
      </c>
      <c r="F321" t="s">
        <v>1312</v>
      </c>
      <c r="G321" t="s">
        <v>634</v>
      </c>
      <c r="H321" t="s">
        <v>1313</v>
      </c>
      <c r="I321" t="s">
        <v>1314</v>
      </c>
      <c r="J321" t="s">
        <v>385</v>
      </c>
      <c r="K321">
        <v>4175</v>
      </c>
      <c r="L321" t="s">
        <v>276</v>
      </c>
      <c r="M321" t="s">
        <v>1314</v>
      </c>
      <c r="N321" t="s">
        <v>276</v>
      </c>
      <c r="P321" t="s">
        <v>260</v>
      </c>
      <c r="Q321" t="s">
        <v>260</v>
      </c>
      <c r="R321" t="s">
        <v>261</v>
      </c>
      <c r="S321" t="s">
        <v>21</v>
      </c>
      <c r="T321">
        <v>100</v>
      </c>
      <c r="U321" t="s">
        <v>354</v>
      </c>
      <c r="W321" t="s">
        <v>262</v>
      </c>
      <c r="X321">
        <v>-46.116229399999902</v>
      </c>
      <c r="Y321">
        <v>168.92754119999901</v>
      </c>
      <c r="Z321">
        <v>729</v>
      </c>
      <c r="AA321" s="9">
        <v>42917</v>
      </c>
    </row>
    <row r="322" spans="1:28" x14ac:dyDescent="0.3">
      <c r="A322" t="s">
        <v>21</v>
      </c>
      <c r="B322" t="s">
        <v>1315</v>
      </c>
      <c r="C322" t="s">
        <v>270</v>
      </c>
      <c r="D322" t="s">
        <v>1316</v>
      </c>
      <c r="E322">
        <v>5038</v>
      </c>
      <c r="G322" t="s">
        <v>634</v>
      </c>
      <c r="H322" t="s">
        <v>1317</v>
      </c>
      <c r="I322" t="s">
        <v>1318</v>
      </c>
      <c r="J322" t="s">
        <v>275</v>
      </c>
      <c r="K322">
        <v>5012</v>
      </c>
      <c r="L322" t="s">
        <v>276</v>
      </c>
      <c r="M322" t="s">
        <v>1318</v>
      </c>
      <c r="N322" t="s">
        <v>276</v>
      </c>
      <c r="P322" t="s">
        <v>260</v>
      </c>
      <c r="Q322" t="s">
        <v>260</v>
      </c>
      <c r="R322" t="s">
        <v>261</v>
      </c>
      <c r="S322" t="s">
        <v>21</v>
      </c>
      <c r="T322">
        <v>100</v>
      </c>
      <c r="U322" t="s">
        <v>354</v>
      </c>
      <c r="W322" t="s">
        <v>262</v>
      </c>
      <c r="X322">
        <v>-44.736989800000003</v>
      </c>
      <c r="Y322">
        <v>170.47068100000001</v>
      </c>
      <c r="Z322">
        <v>729</v>
      </c>
      <c r="AA322" s="9">
        <v>42917</v>
      </c>
    </row>
    <row r="323" spans="1:28" x14ac:dyDescent="0.3">
      <c r="A323" t="s">
        <v>21</v>
      </c>
      <c r="B323" t="s">
        <v>1319</v>
      </c>
      <c r="C323" t="s">
        <v>439</v>
      </c>
      <c r="D323" t="s">
        <v>1320</v>
      </c>
      <c r="E323">
        <v>5313</v>
      </c>
      <c r="M323" t="s">
        <v>275</v>
      </c>
      <c r="N323" t="s">
        <v>276</v>
      </c>
      <c r="P323" t="s">
        <v>260</v>
      </c>
      <c r="Q323" t="s">
        <v>260</v>
      </c>
      <c r="R323" t="s">
        <v>261</v>
      </c>
      <c r="S323" t="s">
        <v>21</v>
      </c>
      <c r="T323">
        <v>100</v>
      </c>
      <c r="U323" t="s">
        <v>354</v>
      </c>
      <c r="W323" t="s">
        <v>262</v>
      </c>
    </row>
    <row r="324" spans="1:28" x14ac:dyDescent="0.3">
      <c r="A324" t="s">
        <v>21</v>
      </c>
      <c r="B324" t="s">
        <v>1321</v>
      </c>
      <c r="C324" t="s">
        <v>270</v>
      </c>
      <c r="D324" t="s">
        <v>1322</v>
      </c>
      <c r="E324">
        <v>5198</v>
      </c>
      <c r="G324" t="s">
        <v>1323</v>
      </c>
      <c r="H324" t="s">
        <v>1324</v>
      </c>
      <c r="I324" t="s">
        <v>429</v>
      </c>
      <c r="J324" t="s">
        <v>430</v>
      </c>
      <c r="K324">
        <v>3116</v>
      </c>
      <c r="L324" t="s">
        <v>276</v>
      </c>
      <c r="M324" t="s">
        <v>429</v>
      </c>
      <c r="N324" t="s">
        <v>276</v>
      </c>
      <c r="P324" t="s">
        <v>260</v>
      </c>
      <c r="Q324" t="s">
        <v>260</v>
      </c>
      <c r="R324" t="s">
        <v>261</v>
      </c>
      <c r="S324" t="s">
        <v>21</v>
      </c>
      <c r="T324">
        <v>100</v>
      </c>
      <c r="W324" t="s">
        <v>262</v>
      </c>
      <c r="X324">
        <v>-37.689342000000003</v>
      </c>
      <c r="Y324">
        <v>176.16031599999999</v>
      </c>
      <c r="Z324">
        <v>301</v>
      </c>
      <c r="AA324" s="9">
        <v>42917</v>
      </c>
      <c r="AB324" s="9">
        <v>43069</v>
      </c>
    </row>
    <row r="325" spans="1:28" x14ac:dyDescent="0.3">
      <c r="A325" t="s">
        <v>21</v>
      </c>
      <c r="B325" t="s">
        <v>1325</v>
      </c>
      <c r="C325" t="s">
        <v>264</v>
      </c>
      <c r="D325" t="s">
        <v>1326</v>
      </c>
      <c r="E325">
        <v>5260</v>
      </c>
      <c r="G325" t="s">
        <v>1327</v>
      </c>
      <c r="M325" t="s">
        <v>1328</v>
      </c>
      <c r="N325" t="s">
        <v>1329</v>
      </c>
      <c r="P325" t="s">
        <v>260</v>
      </c>
      <c r="Q325" t="s">
        <v>260</v>
      </c>
      <c r="R325" t="s">
        <v>261</v>
      </c>
      <c r="S325" t="s">
        <v>21</v>
      </c>
      <c r="T325">
        <v>100</v>
      </c>
      <c r="U325" t="s">
        <v>354</v>
      </c>
      <c r="W325" t="s">
        <v>262</v>
      </c>
    </row>
    <row r="326" spans="1:28" x14ac:dyDescent="0.3">
      <c r="A326" t="s">
        <v>21</v>
      </c>
      <c r="B326" t="s">
        <v>1330</v>
      </c>
      <c r="C326" t="s">
        <v>264</v>
      </c>
      <c r="D326" t="s">
        <v>1169</v>
      </c>
      <c r="E326">
        <v>5304</v>
      </c>
      <c r="F326">
        <v>5304</v>
      </c>
      <c r="M326" t="s">
        <v>297</v>
      </c>
      <c r="N326" t="s">
        <v>276</v>
      </c>
      <c r="P326" t="s">
        <v>260</v>
      </c>
      <c r="Q326" t="s">
        <v>260</v>
      </c>
      <c r="R326" t="s">
        <v>261</v>
      </c>
      <c r="S326" t="s">
        <v>21</v>
      </c>
      <c r="T326">
        <v>100</v>
      </c>
      <c r="W326" t="s">
        <v>262</v>
      </c>
    </row>
    <row r="327" spans="1:28" x14ac:dyDescent="0.3">
      <c r="A327" t="s">
        <v>21</v>
      </c>
      <c r="B327" t="s">
        <v>1331</v>
      </c>
      <c r="C327" t="s">
        <v>270</v>
      </c>
      <c r="D327" t="s">
        <v>1332</v>
      </c>
      <c r="E327">
        <v>5006</v>
      </c>
      <c r="G327" t="s">
        <v>1333</v>
      </c>
      <c r="H327" t="s">
        <v>1334</v>
      </c>
      <c r="I327" t="s">
        <v>990</v>
      </c>
      <c r="J327" t="s">
        <v>297</v>
      </c>
      <c r="K327">
        <v>2104</v>
      </c>
      <c r="L327" t="s">
        <v>276</v>
      </c>
      <c r="M327" t="s">
        <v>990</v>
      </c>
      <c r="N327" t="s">
        <v>276</v>
      </c>
      <c r="P327" t="s">
        <v>260</v>
      </c>
      <c r="Q327" t="s">
        <v>260</v>
      </c>
      <c r="R327" t="s">
        <v>293</v>
      </c>
      <c r="S327" t="s">
        <v>21</v>
      </c>
      <c r="T327">
        <v>100</v>
      </c>
      <c r="W327" t="s">
        <v>262</v>
      </c>
      <c r="X327">
        <v>-36.978962000000003</v>
      </c>
      <c r="Y327">
        <v>174.78536700000001</v>
      </c>
      <c r="Z327">
        <v>729</v>
      </c>
      <c r="AA327" s="9">
        <v>42917</v>
      </c>
    </row>
    <row r="328" spans="1:28" x14ac:dyDescent="0.3">
      <c r="A328" t="s">
        <v>21</v>
      </c>
      <c r="B328" t="s">
        <v>1335</v>
      </c>
      <c r="C328" t="s">
        <v>270</v>
      </c>
      <c r="D328" t="s">
        <v>1336</v>
      </c>
      <c r="E328">
        <v>5185</v>
      </c>
      <c r="G328" t="s">
        <v>1337</v>
      </c>
      <c r="H328" t="s">
        <v>1338</v>
      </c>
      <c r="I328" t="s">
        <v>297</v>
      </c>
      <c r="J328" t="s">
        <v>297</v>
      </c>
      <c r="K328">
        <v>1010</v>
      </c>
      <c r="L328" t="s">
        <v>276</v>
      </c>
      <c r="M328" t="s">
        <v>297</v>
      </c>
      <c r="N328" t="s">
        <v>276</v>
      </c>
      <c r="P328" t="s">
        <v>260</v>
      </c>
      <c r="Q328" t="s">
        <v>260</v>
      </c>
      <c r="R328" t="s">
        <v>261</v>
      </c>
      <c r="S328" t="s">
        <v>21</v>
      </c>
      <c r="T328">
        <v>100</v>
      </c>
      <c r="W328" t="s">
        <v>262</v>
      </c>
      <c r="X328">
        <v>-36.853217999999998</v>
      </c>
      <c r="Y328">
        <v>174.773841</v>
      </c>
      <c r="Z328">
        <v>301</v>
      </c>
      <c r="AA328" s="9">
        <v>42917</v>
      </c>
    </row>
    <row r="329" spans="1:28" x14ac:dyDescent="0.3">
      <c r="A329" t="s">
        <v>21</v>
      </c>
      <c r="B329" t="s">
        <v>1339</v>
      </c>
      <c r="C329" t="s">
        <v>270</v>
      </c>
      <c r="D329" t="s">
        <v>1340</v>
      </c>
      <c r="E329">
        <v>5005</v>
      </c>
      <c r="G329" t="s">
        <v>1341</v>
      </c>
      <c r="H329" t="s">
        <v>1342</v>
      </c>
      <c r="I329" t="s">
        <v>1343</v>
      </c>
      <c r="J329" t="s">
        <v>297</v>
      </c>
      <c r="K329">
        <v>2104</v>
      </c>
      <c r="L329" t="s">
        <v>276</v>
      </c>
      <c r="M329" t="s">
        <v>631</v>
      </c>
      <c r="N329" t="s">
        <v>276</v>
      </c>
      <c r="P329" t="s">
        <v>260</v>
      </c>
      <c r="Q329" t="s">
        <v>260</v>
      </c>
      <c r="R329" t="s">
        <v>293</v>
      </c>
      <c r="S329" t="s">
        <v>21</v>
      </c>
      <c r="T329">
        <v>100</v>
      </c>
      <c r="W329" t="s">
        <v>262</v>
      </c>
      <c r="X329">
        <v>-37.008338000000002</v>
      </c>
      <c r="Y329">
        <v>174.870574</v>
      </c>
      <c r="Z329">
        <v>729</v>
      </c>
      <c r="AA329" s="9">
        <v>42917</v>
      </c>
    </row>
    <row r="330" spans="1:28" x14ac:dyDescent="0.3">
      <c r="A330" t="s">
        <v>21</v>
      </c>
      <c r="B330" t="s">
        <v>1344</v>
      </c>
      <c r="C330" t="s">
        <v>270</v>
      </c>
      <c r="D330" t="s">
        <v>1345</v>
      </c>
      <c r="E330" t="s">
        <v>1345</v>
      </c>
      <c r="F330" t="s">
        <v>1345</v>
      </c>
      <c r="M330" t="s">
        <v>1346</v>
      </c>
      <c r="N330" t="s">
        <v>276</v>
      </c>
      <c r="P330" t="s">
        <v>260</v>
      </c>
      <c r="Q330" t="s">
        <v>260</v>
      </c>
      <c r="R330" t="s">
        <v>293</v>
      </c>
      <c r="S330" t="s">
        <v>21</v>
      </c>
      <c r="T330">
        <v>100</v>
      </c>
      <c r="W330" t="s">
        <v>262</v>
      </c>
    </row>
    <row r="331" spans="1:28" x14ac:dyDescent="0.3">
      <c r="A331" t="s">
        <v>21</v>
      </c>
      <c r="B331" t="s">
        <v>1347</v>
      </c>
      <c r="C331" t="s">
        <v>299</v>
      </c>
      <c r="D331" t="s">
        <v>1348</v>
      </c>
      <c r="E331">
        <v>5268</v>
      </c>
      <c r="G331" t="s">
        <v>1299</v>
      </c>
      <c r="M331" t="s">
        <v>390</v>
      </c>
      <c r="N331" t="s">
        <v>276</v>
      </c>
      <c r="P331" t="s">
        <v>260</v>
      </c>
      <c r="Q331" t="s">
        <v>260</v>
      </c>
      <c r="R331" t="s">
        <v>261</v>
      </c>
      <c r="S331" t="s">
        <v>21</v>
      </c>
      <c r="T331">
        <v>100</v>
      </c>
      <c r="U331" t="s">
        <v>354</v>
      </c>
      <c r="W331" t="s">
        <v>262</v>
      </c>
    </row>
    <row r="332" spans="1:28" x14ac:dyDescent="0.3">
      <c r="A332" t="s">
        <v>21</v>
      </c>
      <c r="B332" t="s">
        <v>1349</v>
      </c>
      <c r="C332" t="s">
        <v>439</v>
      </c>
      <c r="D332" t="s">
        <v>1350</v>
      </c>
      <c r="E332">
        <v>6015</v>
      </c>
      <c r="G332" t="s">
        <v>1351</v>
      </c>
      <c r="H332" t="s">
        <v>1352</v>
      </c>
      <c r="I332" t="s">
        <v>1353</v>
      </c>
      <c r="J332" t="s">
        <v>282</v>
      </c>
      <c r="K332">
        <v>3076</v>
      </c>
      <c r="L332" t="s">
        <v>259</v>
      </c>
      <c r="M332" t="s">
        <v>282</v>
      </c>
      <c r="N332" t="s">
        <v>259</v>
      </c>
      <c r="P332" t="s">
        <v>260</v>
      </c>
      <c r="Q332" t="s">
        <v>260</v>
      </c>
      <c r="R332" t="s">
        <v>308</v>
      </c>
      <c r="S332" t="s">
        <v>21</v>
      </c>
      <c r="T332">
        <v>100</v>
      </c>
      <c r="V332" s="9">
        <v>45199</v>
      </c>
      <c r="W332" t="s">
        <v>262</v>
      </c>
      <c r="Z332">
        <v>310</v>
      </c>
    </row>
    <row r="333" spans="1:28" x14ac:dyDescent="0.3">
      <c r="A333" t="s">
        <v>21</v>
      </c>
      <c r="B333" t="s">
        <v>1354</v>
      </c>
      <c r="C333" t="s">
        <v>270</v>
      </c>
      <c r="D333" t="s">
        <v>1355</v>
      </c>
      <c r="E333" t="s">
        <v>1356</v>
      </c>
      <c r="H333" t="s">
        <v>1357</v>
      </c>
      <c r="I333" t="s">
        <v>1358</v>
      </c>
      <c r="J333" t="s">
        <v>335</v>
      </c>
      <c r="K333">
        <v>3888</v>
      </c>
      <c r="L333" t="s">
        <v>259</v>
      </c>
      <c r="M333" t="s">
        <v>282</v>
      </c>
      <c r="N333" t="s">
        <v>259</v>
      </c>
      <c r="P333" t="s">
        <v>260</v>
      </c>
      <c r="Q333" t="s">
        <v>260</v>
      </c>
      <c r="R333" t="s">
        <v>283</v>
      </c>
      <c r="S333" t="s">
        <v>21</v>
      </c>
      <c r="T333">
        <v>100</v>
      </c>
      <c r="W333" t="s">
        <v>262</v>
      </c>
      <c r="X333">
        <v>-37.782918000000002</v>
      </c>
      <c r="Y333">
        <v>148.435136</v>
      </c>
      <c r="Z333">
        <v>310</v>
      </c>
    </row>
    <row r="334" spans="1:28" x14ac:dyDescent="0.3">
      <c r="A334" t="s">
        <v>21</v>
      </c>
      <c r="B334" t="s">
        <v>1359</v>
      </c>
      <c r="C334" t="s">
        <v>270</v>
      </c>
      <c r="D334" t="s">
        <v>1360</v>
      </c>
      <c r="E334">
        <v>5079</v>
      </c>
      <c r="G334" t="s">
        <v>272</v>
      </c>
      <c r="H334" t="s">
        <v>1342</v>
      </c>
      <c r="I334" t="s">
        <v>1343</v>
      </c>
      <c r="J334" t="s">
        <v>297</v>
      </c>
      <c r="K334">
        <v>4010</v>
      </c>
      <c r="L334" t="s">
        <v>276</v>
      </c>
      <c r="M334" t="s">
        <v>631</v>
      </c>
      <c r="N334" t="s">
        <v>276</v>
      </c>
      <c r="P334" t="s">
        <v>260</v>
      </c>
      <c r="Q334" t="s">
        <v>260</v>
      </c>
      <c r="R334" t="s">
        <v>261</v>
      </c>
      <c r="S334" t="s">
        <v>21</v>
      </c>
      <c r="T334">
        <v>100</v>
      </c>
      <c r="W334" t="s">
        <v>262</v>
      </c>
      <c r="X334">
        <v>-37.008338000000002</v>
      </c>
      <c r="Y334">
        <v>174.870574</v>
      </c>
      <c r="Z334">
        <v>731</v>
      </c>
      <c r="AA334" s="9">
        <v>42917</v>
      </c>
    </row>
    <row r="335" spans="1:28" x14ac:dyDescent="0.3">
      <c r="A335" t="s">
        <v>21</v>
      </c>
      <c r="B335" t="s">
        <v>1361</v>
      </c>
      <c r="C335" t="s">
        <v>270</v>
      </c>
      <c r="D335" t="s">
        <v>1362</v>
      </c>
      <c r="E335">
        <v>5080</v>
      </c>
      <c r="G335" t="s">
        <v>272</v>
      </c>
      <c r="H335" t="s">
        <v>639</v>
      </c>
      <c r="I335" t="s">
        <v>640</v>
      </c>
      <c r="J335" t="s">
        <v>641</v>
      </c>
      <c r="K335">
        <v>310</v>
      </c>
      <c r="L335" t="s">
        <v>276</v>
      </c>
      <c r="M335" t="s">
        <v>640</v>
      </c>
      <c r="N335" t="s">
        <v>276</v>
      </c>
      <c r="P335" t="s">
        <v>260</v>
      </c>
      <c r="Q335" t="s">
        <v>260</v>
      </c>
      <c r="R335" t="s">
        <v>261</v>
      </c>
      <c r="S335" t="s">
        <v>21</v>
      </c>
      <c r="T335">
        <v>100</v>
      </c>
      <c r="W335" t="s">
        <v>262</v>
      </c>
      <c r="X335">
        <v>-41.514532199999998</v>
      </c>
      <c r="Y335">
        <v>173.96193270000001</v>
      </c>
      <c r="Z335">
        <v>731</v>
      </c>
      <c r="AA335" s="9">
        <v>42917</v>
      </c>
    </row>
    <row r="336" spans="1:28" x14ac:dyDescent="0.3">
      <c r="A336" t="s">
        <v>21</v>
      </c>
      <c r="B336" t="s">
        <v>1363</v>
      </c>
      <c r="C336" t="s">
        <v>448</v>
      </c>
      <c r="D336" t="s">
        <v>1364</v>
      </c>
      <c r="E336">
        <v>5290</v>
      </c>
      <c r="G336" t="s">
        <v>1365</v>
      </c>
      <c r="M336" t="s">
        <v>274</v>
      </c>
      <c r="N336" t="s">
        <v>276</v>
      </c>
      <c r="P336" t="s">
        <v>260</v>
      </c>
      <c r="Q336" t="s">
        <v>260</v>
      </c>
      <c r="R336" t="s">
        <v>261</v>
      </c>
      <c r="S336" t="s">
        <v>21</v>
      </c>
      <c r="T336">
        <v>100</v>
      </c>
      <c r="W336" t="s">
        <v>262</v>
      </c>
    </row>
    <row r="337" spans="1:28" x14ac:dyDescent="0.3">
      <c r="A337" t="s">
        <v>21</v>
      </c>
      <c r="B337" t="s">
        <v>1366</v>
      </c>
      <c r="C337" t="s">
        <v>270</v>
      </c>
      <c r="D337" t="s">
        <v>1367</v>
      </c>
      <c r="E337">
        <v>5082</v>
      </c>
      <c r="G337" t="s">
        <v>272</v>
      </c>
      <c r="H337" t="s">
        <v>1368</v>
      </c>
      <c r="I337" t="s">
        <v>1369</v>
      </c>
      <c r="J337" t="s">
        <v>353</v>
      </c>
      <c r="K337">
        <v>3920</v>
      </c>
      <c r="L337" t="s">
        <v>276</v>
      </c>
      <c r="M337" t="s">
        <v>1368</v>
      </c>
      <c r="N337" t="s">
        <v>276</v>
      </c>
      <c r="P337" t="s">
        <v>260</v>
      </c>
      <c r="Q337" t="s">
        <v>260</v>
      </c>
      <c r="R337" t="s">
        <v>261</v>
      </c>
      <c r="S337" t="s">
        <v>21</v>
      </c>
      <c r="T337">
        <v>100</v>
      </c>
      <c r="W337" t="s">
        <v>262</v>
      </c>
      <c r="X337">
        <v>-35.94</v>
      </c>
      <c r="Y337">
        <v>173.87</v>
      </c>
      <c r="Z337">
        <v>731</v>
      </c>
      <c r="AA337" s="9">
        <v>42917</v>
      </c>
    </row>
    <row r="338" spans="1:28" x14ac:dyDescent="0.3">
      <c r="A338" t="s">
        <v>21</v>
      </c>
      <c r="B338" t="s">
        <v>1370</v>
      </c>
      <c r="C338" t="s">
        <v>270</v>
      </c>
      <c r="D338" t="s">
        <v>1371</v>
      </c>
      <c r="E338" t="s">
        <v>1371</v>
      </c>
      <c r="M338" t="s">
        <v>641</v>
      </c>
      <c r="N338" t="s">
        <v>276</v>
      </c>
      <c r="P338" t="s">
        <v>260</v>
      </c>
      <c r="Q338" t="s">
        <v>260</v>
      </c>
      <c r="R338" t="s">
        <v>261</v>
      </c>
      <c r="S338" t="s">
        <v>21</v>
      </c>
      <c r="T338">
        <v>100</v>
      </c>
      <c r="W338" t="s">
        <v>262</v>
      </c>
    </row>
    <row r="339" spans="1:28" x14ac:dyDescent="0.3">
      <c r="A339" t="s">
        <v>21</v>
      </c>
      <c r="B339" t="s">
        <v>1372</v>
      </c>
      <c r="C339" t="s">
        <v>270</v>
      </c>
      <c r="D339" t="s">
        <v>1373</v>
      </c>
      <c r="E339">
        <v>5084</v>
      </c>
      <c r="G339" t="s">
        <v>272</v>
      </c>
      <c r="H339" t="s">
        <v>766</v>
      </c>
      <c r="I339" t="s">
        <v>767</v>
      </c>
      <c r="J339" t="s">
        <v>685</v>
      </c>
      <c r="K339">
        <v>3171</v>
      </c>
      <c r="L339" t="s">
        <v>276</v>
      </c>
      <c r="M339" t="s">
        <v>767</v>
      </c>
      <c r="N339" t="s">
        <v>276</v>
      </c>
      <c r="P339" t="s">
        <v>260</v>
      </c>
      <c r="Q339" t="s">
        <v>260</v>
      </c>
      <c r="R339" t="s">
        <v>261</v>
      </c>
      <c r="S339" t="s">
        <v>21</v>
      </c>
      <c r="T339">
        <v>100</v>
      </c>
      <c r="W339" t="s">
        <v>262</v>
      </c>
      <c r="X339">
        <v>-38.889705499999998</v>
      </c>
      <c r="Y339">
        <v>175.24621249999899</v>
      </c>
      <c r="Z339">
        <v>731</v>
      </c>
      <c r="AA339" s="9">
        <v>42917</v>
      </c>
    </row>
    <row r="340" spans="1:28" x14ac:dyDescent="0.3">
      <c r="A340" t="s">
        <v>21</v>
      </c>
      <c r="B340" t="s">
        <v>1374</v>
      </c>
      <c r="C340" t="s">
        <v>270</v>
      </c>
      <c r="D340" t="s">
        <v>1375</v>
      </c>
      <c r="E340" t="s">
        <v>1375</v>
      </c>
      <c r="F340" t="s">
        <v>1375</v>
      </c>
      <c r="G340" t="s">
        <v>272</v>
      </c>
      <c r="H340" t="s">
        <v>757</v>
      </c>
      <c r="I340" t="s">
        <v>758</v>
      </c>
      <c r="J340" t="s">
        <v>399</v>
      </c>
      <c r="K340">
        <v>3171</v>
      </c>
      <c r="L340" t="s">
        <v>276</v>
      </c>
      <c r="M340" t="s">
        <v>759</v>
      </c>
      <c r="N340" t="s">
        <v>276</v>
      </c>
      <c r="P340" t="s">
        <v>260</v>
      </c>
      <c r="Q340" t="s">
        <v>260</v>
      </c>
      <c r="R340" t="s">
        <v>261</v>
      </c>
      <c r="S340" t="s">
        <v>21</v>
      </c>
      <c r="T340">
        <v>100</v>
      </c>
      <c r="W340" t="s">
        <v>262</v>
      </c>
      <c r="X340">
        <v>-39.349279799999998</v>
      </c>
      <c r="Y340">
        <v>174.2919713</v>
      </c>
      <c r="Z340">
        <v>731</v>
      </c>
      <c r="AA340" s="9">
        <v>42917</v>
      </c>
    </row>
    <row r="341" spans="1:28" x14ac:dyDescent="0.3">
      <c r="A341" t="s">
        <v>21</v>
      </c>
      <c r="B341" t="s">
        <v>1376</v>
      </c>
      <c r="C341" t="s">
        <v>270</v>
      </c>
      <c r="D341" t="s">
        <v>1377</v>
      </c>
      <c r="E341">
        <v>5087</v>
      </c>
      <c r="G341" t="s">
        <v>272</v>
      </c>
      <c r="H341" t="s">
        <v>777</v>
      </c>
      <c r="I341" t="s">
        <v>429</v>
      </c>
      <c r="J341" t="s">
        <v>430</v>
      </c>
      <c r="K341">
        <v>5022</v>
      </c>
      <c r="L341" t="s">
        <v>276</v>
      </c>
      <c r="M341" t="s">
        <v>429</v>
      </c>
      <c r="N341" t="s">
        <v>276</v>
      </c>
      <c r="P341" t="s">
        <v>260</v>
      </c>
      <c r="Q341" t="s">
        <v>260</v>
      </c>
      <c r="R341" t="s">
        <v>261</v>
      </c>
      <c r="S341" t="s">
        <v>21</v>
      </c>
      <c r="T341">
        <v>100</v>
      </c>
      <c r="W341" t="s">
        <v>262</v>
      </c>
      <c r="X341">
        <v>-37.742166999999903</v>
      </c>
      <c r="Y341">
        <v>176.10169889999901</v>
      </c>
      <c r="Z341">
        <v>731</v>
      </c>
      <c r="AA341" s="9">
        <v>42917</v>
      </c>
    </row>
    <row r="342" spans="1:28" x14ac:dyDescent="0.3">
      <c r="A342" t="s">
        <v>21</v>
      </c>
      <c r="B342" t="s">
        <v>1378</v>
      </c>
      <c r="C342" t="s">
        <v>270</v>
      </c>
      <c r="D342" t="s">
        <v>1379</v>
      </c>
      <c r="E342">
        <v>5089</v>
      </c>
      <c r="G342" t="s">
        <v>272</v>
      </c>
      <c r="H342" t="s">
        <v>821</v>
      </c>
      <c r="I342" t="s">
        <v>822</v>
      </c>
      <c r="J342" t="s">
        <v>403</v>
      </c>
      <c r="K342">
        <v>2104</v>
      </c>
      <c r="L342" t="s">
        <v>276</v>
      </c>
      <c r="M342" t="s">
        <v>822</v>
      </c>
      <c r="N342" t="s">
        <v>276</v>
      </c>
      <c r="P342" t="s">
        <v>260</v>
      </c>
      <c r="Q342" t="s">
        <v>260</v>
      </c>
      <c r="R342" t="s">
        <v>261</v>
      </c>
      <c r="S342" t="s">
        <v>21</v>
      </c>
      <c r="T342">
        <v>100</v>
      </c>
      <c r="W342" t="s">
        <v>262</v>
      </c>
      <c r="X342">
        <v>-41.137590600000003</v>
      </c>
      <c r="Y342">
        <v>174.831221499999</v>
      </c>
      <c r="Z342">
        <v>731</v>
      </c>
      <c r="AA342" s="9">
        <v>42917</v>
      </c>
    </row>
    <row r="343" spans="1:28" x14ac:dyDescent="0.3">
      <c r="A343" t="s">
        <v>21</v>
      </c>
      <c r="B343" t="s">
        <v>1380</v>
      </c>
      <c r="C343" t="s">
        <v>278</v>
      </c>
      <c r="D343" t="s">
        <v>1381</v>
      </c>
      <c r="E343" t="s">
        <v>1382</v>
      </c>
      <c r="G343" t="s">
        <v>1383</v>
      </c>
      <c r="M343" t="s">
        <v>282</v>
      </c>
      <c r="N343" t="s">
        <v>259</v>
      </c>
      <c r="P343" t="s">
        <v>260</v>
      </c>
      <c r="Q343" t="s">
        <v>260</v>
      </c>
      <c r="R343" t="s">
        <v>283</v>
      </c>
      <c r="S343" t="s">
        <v>21</v>
      </c>
      <c r="T343">
        <v>100</v>
      </c>
      <c r="W343" t="s">
        <v>262</v>
      </c>
      <c r="AB343" s="9">
        <v>45880</v>
      </c>
    </row>
    <row r="344" spans="1:28" x14ac:dyDescent="0.3">
      <c r="A344" t="s">
        <v>21</v>
      </c>
      <c r="B344" t="s">
        <v>1384</v>
      </c>
      <c r="C344" t="s">
        <v>299</v>
      </c>
      <c r="D344" t="s">
        <v>1385</v>
      </c>
      <c r="E344">
        <v>42</v>
      </c>
      <c r="H344" t="s">
        <v>1386</v>
      </c>
      <c r="I344" t="s">
        <v>526</v>
      </c>
      <c r="J344" t="s">
        <v>335</v>
      </c>
      <c r="K344">
        <v>3004</v>
      </c>
      <c r="L344" t="s">
        <v>259</v>
      </c>
      <c r="M344" t="s">
        <v>282</v>
      </c>
      <c r="N344" t="s">
        <v>259</v>
      </c>
      <c r="P344" t="s">
        <v>260</v>
      </c>
      <c r="Q344" t="s">
        <v>260</v>
      </c>
      <c r="R344" t="s">
        <v>283</v>
      </c>
      <c r="S344" t="s">
        <v>21</v>
      </c>
      <c r="T344">
        <v>100</v>
      </c>
      <c r="W344" t="s">
        <v>262</v>
      </c>
      <c r="X344">
        <v>-37.836927000000003</v>
      </c>
      <c r="Y344">
        <v>144.975583</v>
      </c>
      <c r="Z344">
        <v>310</v>
      </c>
    </row>
    <row r="345" spans="1:28" x14ac:dyDescent="0.3">
      <c r="A345" t="s">
        <v>21</v>
      </c>
      <c r="B345" t="s">
        <v>1387</v>
      </c>
      <c r="C345" t="s">
        <v>270</v>
      </c>
      <c r="D345" t="s">
        <v>1388</v>
      </c>
      <c r="E345">
        <v>5090</v>
      </c>
      <c r="G345" t="s">
        <v>1389</v>
      </c>
      <c r="H345" t="s">
        <v>1390</v>
      </c>
      <c r="I345" t="s">
        <v>1343</v>
      </c>
      <c r="J345" t="s">
        <v>297</v>
      </c>
      <c r="K345">
        <v>2104</v>
      </c>
      <c r="L345" t="s">
        <v>276</v>
      </c>
      <c r="M345" t="s">
        <v>631</v>
      </c>
      <c r="N345" t="s">
        <v>276</v>
      </c>
      <c r="P345" t="s">
        <v>260</v>
      </c>
      <c r="Q345" t="s">
        <v>260</v>
      </c>
      <c r="R345" t="s">
        <v>261</v>
      </c>
      <c r="S345" t="s">
        <v>21</v>
      </c>
      <c r="T345">
        <v>100</v>
      </c>
      <c r="U345" t="s">
        <v>354</v>
      </c>
      <c r="W345" t="s">
        <v>262</v>
      </c>
      <c r="X345">
        <v>-37.008338000000002</v>
      </c>
      <c r="Y345">
        <v>174.870574</v>
      </c>
      <c r="Z345">
        <v>729</v>
      </c>
      <c r="AA345" s="9">
        <v>42917</v>
      </c>
    </row>
    <row r="346" spans="1:28" x14ac:dyDescent="0.3">
      <c r="A346" t="s">
        <v>21</v>
      </c>
      <c r="B346" t="s">
        <v>1391</v>
      </c>
      <c r="C346" t="s">
        <v>270</v>
      </c>
      <c r="D346" t="s">
        <v>1392</v>
      </c>
      <c r="E346">
        <v>5091</v>
      </c>
      <c r="G346" t="s">
        <v>1389</v>
      </c>
      <c r="H346" t="s">
        <v>1390</v>
      </c>
      <c r="I346" t="s">
        <v>1343</v>
      </c>
      <c r="J346" t="s">
        <v>297</v>
      </c>
      <c r="K346">
        <v>7801</v>
      </c>
      <c r="L346" t="s">
        <v>276</v>
      </c>
      <c r="M346" t="s">
        <v>631</v>
      </c>
      <c r="N346" t="s">
        <v>276</v>
      </c>
      <c r="P346" t="s">
        <v>260</v>
      </c>
      <c r="Q346" t="s">
        <v>260</v>
      </c>
      <c r="R346" t="s">
        <v>261</v>
      </c>
      <c r="S346" t="s">
        <v>21</v>
      </c>
      <c r="T346">
        <v>100</v>
      </c>
      <c r="U346" t="s">
        <v>354</v>
      </c>
      <c r="W346" t="s">
        <v>262</v>
      </c>
      <c r="X346">
        <v>-37.008338000000002</v>
      </c>
      <c r="Y346">
        <v>174.870574</v>
      </c>
      <c r="Z346">
        <v>729</v>
      </c>
      <c r="AA346" s="9">
        <v>42917</v>
      </c>
    </row>
    <row r="347" spans="1:28" x14ac:dyDescent="0.3">
      <c r="A347" t="s">
        <v>21</v>
      </c>
      <c r="B347" t="s">
        <v>1393</v>
      </c>
      <c r="C347" t="s">
        <v>270</v>
      </c>
      <c r="D347" t="s">
        <v>1394</v>
      </c>
      <c r="E347">
        <v>5092</v>
      </c>
      <c r="G347" t="s">
        <v>1389</v>
      </c>
      <c r="H347" t="s">
        <v>1390</v>
      </c>
      <c r="I347" t="s">
        <v>1343</v>
      </c>
      <c r="J347" t="s">
        <v>297</v>
      </c>
      <c r="K347">
        <v>7011</v>
      </c>
      <c r="L347" t="s">
        <v>276</v>
      </c>
      <c r="M347" t="s">
        <v>631</v>
      </c>
      <c r="N347" t="s">
        <v>276</v>
      </c>
      <c r="P347" t="s">
        <v>260</v>
      </c>
      <c r="Q347" t="s">
        <v>260</v>
      </c>
      <c r="R347" t="s">
        <v>261</v>
      </c>
      <c r="S347" t="s">
        <v>21</v>
      </c>
      <c r="T347">
        <v>100</v>
      </c>
      <c r="U347" t="s">
        <v>354</v>
      </c>
      <c r="W347" t="s">
        <v>262</v>
      </c>
      <c r="X347">
        <v>-37.008338000000002</v>
      </c>
      <c r="Y347">
        <v>174.870574</v>
      </c>
      <c r="Z347">
        <v>729</v>
      </c>
      <c r="AA347" s="9">
        <v>42917</v>
      </c>
    </row>
    <row r="348" spans="1:28" x14ac:dyDescent="0.3">
      <c r="A348" t="s">
        <v>21</v>
      </c>
      <c r="B348" t="s">
        <v>1395</v>
      </c>
      <c r="C348" t="s">
        <v>270</v>
      </c>
      <c r="D348" t="s">
        <v>1396</v>
      </c>
      <c r="E348">
        <v>228</v>
      </c>
      <c r="H348" t="s">
        <v>1397</v>
      </c>
      <c r="I348" t="s">
        <v>1398</v>
      </c>
      <c r="J348" t="s">
        <v>305</v>
      </c>
      <c r="K348">
        <v>5700</v>
      </c>
      <c r="L348" t="s">
        <v>259</v>
      </c>
      <c r="M348" t="s">
        <v>307</v>
      </c>
      <c r="N348" t="s">
        <v>259</v>
      </c>
      <c r="P348" t="s">
        <v>260</v>
      </c>
      <c r="Q348" t="s">
        <v>260</v>
      </c>
      <c r="R348" t="s">
        <v>308</v>
      </c>
      <c r="S348" t="s">
        <v>21</v>
      </c>
      <c r="T348">
        <v>100</v>
      </c>
      <c r="V348" s="9">
        <v>45199</v>
      </c>
      <c r="W348" t="s">
        <v>262</v>
      </c>
      <c r="X348">
        <v>-32.51</v>
      </c>
      <c r="Y348">
        <v>137.786</v>
      </c>
      <c r="Z348">
        <v>310</v>
      </c>
      <c r="AB348" s="9">
        <v>42916</v>
      </c>
    </row>
    <row r="349" spans="1:28" x14ac:dyDescent="0.3">
      <c r="A349" t="s">
        <v>21</v>
      </c>
      <c r="B349" t="s">
        <v>1399</v>
      </c>
      <c r="C349" t="s">
        <v>270</v>
      </c>
      <c r="D349" t="s">
        <v>1400</v>
      </c>
      <c r="E349" t="s">
        <v>1400</v>
      </c>
      <c r="F349">
        <v>229</v>
      </c>
      <c r="H349" t="s">
        <v>1401</v>
      </c>
      <c r="I349" t="s">
        <v>1398</v>
      </c>
      <c r="J349" t="s">
        <v>307</v>
      </c>
      <c r="K349">
        <v>5700</v>
      </c>
      <c r="L349" t="s">
        <v>259</v>
      </c>
      <c r="M349" t="s">
        <v>307</v>
      </c>
      <c r="N349" t="s">
        <v>259</v>
      </c>
      <c r="P349" t="s">
        <v>260</v>
      </c>
      <c r="Q349" t="s">
        <v>260</v>
      </c>
      <c r="R349" t="s">
        <v>513</v>
      </c>
      <c r="S349" t="s">
        <v>21</v>
      </c>
      <c r="T349">
        <v>100</v>
      </c>
      <c r="W349" t="s">
        <v>262</v>
      </c>
      <c r="X349">
        <v>-32.488</v>
      </c>
      <c r="Y349">
        <v>137.78</v>
      </c>
      <c r="Z349">
        <v>239</v>
      </c>
      <c r="AB349" s="9">
        <v>43281</v>
      </c>
    </row>
    <row r="350" spans="1:28" x14ac:dyDescent="0.3">
      <c r="A350" t="s">
        <v>21</v>
      </c>
      <c r="B350" t="s">
        <v>1402</v>
      </c>
      <c r="C350" t="s">
        <v>289</v>
      </c>
      <c r="D350" t="s">
        <v>1403</v>
      </c>
      <c r="E350">
        <v>9120</v>
      </c>
      <c r="H350" t="s">
        <v>1404</v>
      </c>
      <c r="I350" t="s">
        <v>1405</v>
      </c>
      <c r="J350" t="s">
        <v>366</v>
      </c>
      <c r="K350">
        <v>2444</v>
      </c>
      <c r="M350" t="s">
        <v>312</v>
      </c>
      <c r="N350" t="s">
        <v>259</v>
      </c>
      <c r="P350" t="s">
        <v>260</v>
      </c>
      <c r="Q350" t="s">
        <v>260</v>
      </c>
      <c r="R350" t="s">
        <v>283</v>
      </c>
      <c r="S350" t="s">
        <v>21</v>
      </c>
      <c r="T350">
        <v>100</v>
      </c>
      <c r="W350" t="s">
        <v>262</v>
      </c>
      <c r="X350">
        <v>-31.452044000000001</v>
      </c>
      <c r="Y350">
        <v>152.884119</v>
      </c>
      <c r="Z350">
        <v>692</v>
      </c>
      <c r="AB350" s="9">
        <v>44951</v>
      </c>
    </row>
    <row r="351" spans="1:28" ht="409.5" customHeight="1" x14ac:dyDescent="0.3">
      <c r="A351" t="s">
        <v>21</v>
      </c>
      <c r="B351" t="s">
        <v>1406</v>
      </c>
      <c r="C351" t="s">
        <v>270</v>
      </c>
      <c r="D351" t="s">
        <v>1407</v>
      </c>
      <c r="E351" t="s">
        <v>1407</v>
      </c>
      <c r="F351">
        <v>519</v>
      </c>
      <c r="G351" s="10" t="s">
        <v>1408</v>
      </c>
      <c r="H351" t="s">
        <v>1409</v>
      </c>
      <c r="I351" t="s">
        <v>1410</v>
      </c>
      <c r="J351" t="s">
        <v>335</v>
      </c>
      <c r="K351">
        <v>3207</v>
      </c>
      <c r="L351" t="s">
        <v>259</v>
      </c>
      <c r="M351" t="s">
        <v>282</v>
      </c>
      <c r="N351" t="s">
        <v>259</v>
      </c>
      <c r="P351" t="s">
        <v>260</v>
      </c>
      <c r="Q351" t="s">
        <v>260</v>
      </c>
      <c r="R351" t="s">
        <v>313</v>
      </c>
      <c r="S351" t="s">
        <v>21</v>
      </c>
      <c r="T351">
        <v>100</v>
      </c>
      <c r="V351" s="9">
        <v>45107</v>
      </c>
      <c r="W351" t="s">
        <v>262</v>
      </c>
      <c r="X351">
        <v>-37.820999999999998</v>
      </c>
      <c r="Y351">
        <v>144.91999999999999</v>
      </c>
      <c r="Z351">
        <v>310</v>
      </c>
    </row>
    <row r="352" spans="1:28" x14ac:dyDescent="0.3">
      <c r="A352" t="s">
        <v>21</v>
      </c>
      <c r="B352" t="s">
        <v>1411</v>
      </c>
      <c r="C352" t="s">
        <v>270</v>
      </c>
      <c r="D352" t="s">
        <v>1412</v>
      </c>
      <c r="E352" t="s">
        <v>1413</v>
      </c>
      <c r="G352" t="s">
        <v>1414</v>
      </c>
      <c r="H352" t="s">
        <v>1415</v>
      </c>
      <c r="I352" t="s">
        <v>546</v>
      </c>
      <c r="J352" t="s">
        <v>305</v>
      </c>
      <c r="K352">
        <v>5010</v>
      </c>
      <c r="L352" t="s">
        <v>259</v>
      </c>
      <c r="M352" t="s">
        <v>307</v>
      </c>
      <c r="N352" t="s">
        <v>259</v>
      </c>
      <c r="P352" t="s">
        <v>260</v>
      </c>
      <c r="Q352" t="s">
        <v>260</v>
      </c>
      <c r="R352" t="s">
        <v>283</v>
      </c>
      <c r="S352" t="s">
        <v>21</v>
      </c>
      <c r="T352">
        <v>100</v>
      </c>
      <c r="W352" t="s">
        <v>262</v>
      </c>
      <c r="X352">
        <v>-34.860022999999998</v>
      </c>
      <c r="Y352">
        <v>138.57296400000001</v>
      </c>
      <c r="Z352">
        <v>310</v>
      </c>
      <c r="AB352" s="9">
        <v>44012</v>
      </c>
    </row>
    <row r="353" spans="1:28" x14ac:dyDescent="0.3">
      <c r="A353" t="s">
        <v>21</v>
      </c>
      <c r="B353" t="s">
        <v>1416</v>
      </c>
      <c r="C353" t="s">
        <v>270</v>
      </c>
      <c r="D353" t="s">
        <v>1417</v>
      </c>
      <c r="E353">
        <v>7034</v>
      </c>
      <c r="H353" t="s">
        <v>551</v>
      </c>
      <c r="I353" t="s">
        <v>526</v>
      </c>
      <c r="J353" t="s">
        <v>335</v>
      </c>
      <c r="K353">
        <v>3000</v>
      </c>
      <c r="L353" t="s">
        <v>259</v>
      </c>
      <c r="M353" t="s">
        <v>282</v>
      </c>
      <c r="N353" t="s">
        <v>259</v>
      </c>
      <c r="P353" t="s">
        <v>260</v>
      </c>
      <c r="Q353" t="s">
        <v>260</v>
      </c>
      <c r="R353" t="s">
        <v>283</v>
      </c>
      <c r="S353" t="s">
        <v>21</v>
      </c>
      <c r="T353">
        <v>100</v>
      </c>
      <c r="W353" t="s">
        <v>262</v>
      </c>
      <c r="X353">
        <v>-37.819015</v>
      </c>
      <c r="Y353">
        <v>144.95576199999999</v>
      </c>
      <c r="Z353">
        <v>310</v>
      </c>
      <c r="AB353" s="9">
        <v>44377</v>
      </c>
    </row>
    <row r="354" spans="1:28" x14ac:dyDescent="0.3">
      <c r="A354" t="s">
        <v>21</v>
      </c>
      <c r="B354" t="s">
        <v>1418</v>
      </c>
      <c r="C354" t="s">
        <v>264</v>
      </c>
      <c r="D354" t="s">
        <v>1419</v>
      </c>
      <c r="E354">
        <v>1015</v>
      </c>
      <c r="M354" t="s">
        <v>312</v>
      </c>
      <c r="N354" t="s">
        <v>259</v>
      </c>
      <c r="P354" t="s">
        <v>260</v>
      </c>
      <c r="Q354" t="s">
        <v>260</v>
      </c>
      <c r="R354" t="s">
        <v>293</v>
      </c>
      <c r="S354" t="s">
        <v>21</v>
      </c>
      <c r="T354">
        <v>100</v>
      </c>
      <c r="W354" t="s">
        <v>262</v>
      </c>
      <c r="Z354">
        <v>729</v>
      </c>
    </row>
    <row r="355" spans="1:28" x14ac:dyDescent="0.3">
      <c r="A355" t="s">
        <v>21</v>
      </c>
      <c r="B355" t="s">
        <v>1420</v>
      </c>
      <c r="C355" t="s">
        <v>1421</v>
      </c>
      <c r="D355" t="s">
        <v>1422</v>
      </c>
      <c r="E355">
        <v>9209</v>
      </c>
      <c r="M355" t="s">
        <v>312</v>
      </c>
      <c r="N355" t="s">
        <v>259</v>
      </c>
      <c r="P355" t="s">
        <v>260</v>
      </c>
      <c r="Q355" t="s">
        <v>260</v>
      </c>
      <c r="R355" t="s">
        <v>313</v>
      </c>
      <c r="S355" t="s">
        <v>21</v>
      </c>
      <c r="T355">
        <v>100</v>
      </c>
      <c r="V355" s="9">
        <v>45107</v>
      </c>
      <c r="W355" t="s">
        <v>262</v>
      </c>
      <c r="Z355">
        <v>3232</v>
      </c>
    </row>
    <row r="356" spans="1:28" x14ac:dyDescent="0.3">
      <c r="A356" t="s">
        <v>21</v>
      </c>
      <c r="B356" t="s">
        <v>1423</v>
      </c>
      <c r="C356" t="s">
        <v>439</v>
      </c>
      <c r="D356" t="s">
        <v>1424</v>
      </c>
      <c r="F356" t="s">
        <v>1425</v>
      </c>
      <c r="M356" t="s">
        <v>282</v>
      </c>
      <c r="N356" t="s">
        <v>259</v>
      </c>
      <c r="P356" t="s">
        <v>260</v>
      </c>
      <c r="Q356" t="s">
        <v>260</v>
      </c>
      <c r="R356" t="s">
        <v>283</v>
      </c>
      <c r="S356" t="s">
        <v>21</v>
      </c>
      <c r="T356">
        <v>100</v>
      </c>
      <c r="W356" t="s">
        <v>262</v>
      </c>
      <c r="AA356" s="9">
        <v>45170</v>
      </c>
      <c r="AB356" s="9">
        <v>45838</v>
      </c>
    </row>
    <row r="357" spans="1:28" x14ac:dyDescent="0.3">
      <c r="A357" t="s">
        <v>21</v>
      </c>
      <c r="B357" t="s">
        <v>1426</v>
      </c>
      <c r="C357" t="s">
        <v>278</v>
      </c>
      <c r="D357" t="s">
        <v>1427</v>
      </c>
      <c r="E357" t="s">
        <v>1428</v>
      </c>
      <c r="G357" t="s">
        <v>1429</v>
      </c>
      <c r="M357" t="s">
        <v>282</v>
      </c>
      <c r="N357" t="s">
        <v>259</v>
      </c>
      <c r="P357" t="s">
        <v>260</v>
      </c>
      <c r="Q357" t="s">
        <v>260</v>
      </c>
      <c r="R357" t="s">
        <v>283</v>
      </c>
      <c r="S357" t="s">
        <v>21</v>
      </c>
      <c r="T357">
        <v>100</v>
      </c>
      <c r="W357" t="s">
        <v>262</v>
      </c>
      <c r="AB357" s="9">
        <v>45626</v>
      </c>
    </row>
    <row r="358" spans="1:28" x14ac:dyDescent="0.3">
      <c r="A358" t="s">
        <v>21</v>
      </c>
      <c r="B358" t="s">
        <v>1430</v>
      </c>
      <c r="C358" t="s">
        <v>278</v>
      </c>
      <c r="D358" t="s">
        <v>1431</v>
      </c>
      <c r="E358" t="s">
        <v>1432</v>
      </c>
      <c r="G358" t="s">
        <v>1433</v>
      </c>
      <c r="M358" t="s">
        <v>282</v>
      </c>
      <c r="N358" t="s">
        <v>259</v>
      </c>
      <c r="P358" t="s">
        <v>260</v>
      </c>
      <c r="Q358" t="s">
        <v>260</v>
      </c>
      <c r="R358" t="s">
        <v>283</v>
      </c>
      <c r="S358" t="s">
        <v>21</v>
      </c>
      <c r="T358">
        <v>100</v>
      </c>
      <c r="W358" t="s">
        <v>262</v>
      </c>
      <c r="AB358" s="9">
        <v>45657</v>
      </c>
    </row>
    <row r="359" spans="1:28" x14ac:dyDescent="0.3">
      <c r="A359" t="s">
        <v>21</v>
      </c>
      <c r="B359" t="s">
        <v>1434</v>
      </c>
      <c r="C359" t="s">
        <v>278</v>
      </c>
      <c r="D359" t="s">
        <v>1435</v>
      </c>
      <c r="E359" t="s">
        <v>1436</v>
      </c>
      <c r="M359" t="s">
        <v>282</v>
      </c>
      <c r="N359" t="s">
        <v>259</v>
      </c>
      <c r="P359" t="s">
        <v>260</v>
      </c>
      <c r="Q359" t="s">
        <v>260</v>
      </c>
      <c r="R359" t="s">
        <v>283</v>
      </c>
      <c r="S359" t="s">
        <v>21</v>
      </c>
      <c r="T359">
        <v>100</v>
      </c>
      <c r="W359" t="s">
        <v>262</v>
      </c>
      <c r="AB359" s="9">
        <v>45657</v>
      </c>
    </row>
    <row r="360" spans="1:28" x14ac:dyDescent="0.3">
      <c r="A360" t="s">
        <v>21</v>
      </c>
      <c r="B360" t="s">
        <v>1437</v>
      </c>
      <c r="C360" t="s">
        <v>278</v>
      </c>
      <c r="D360" t="s">
        <v>1438</v>
      </c>
      <c r="E360" t="s">
        <v>1438</v>
      </c>
      <c r="M360" t="s">
        <v>282</v>
      </c>
      <c r="N360" t="s">
        <v>259</v>
      </c>
      <c r="P360" t="s">
        <v>260</v>
      </c>
      <c r="Q360" t="s">
        <v>260</v>
      </c>
      <c r="R360" t="s">
        <v>283</v>
      </c>
      <c r="S360" t="s">
        <v>21</v>
      </c>
      <c r="T360">
        <v>100</v>
      </c>
      <c r="W360" t="s">
        <v>262</v>
      </c>
      <c r="AB360" s="9">
        <v>45622</v>
      </c>
    </row>
    <row r="361" spans="1:28" ht="135" customHeight="1" x14ac:dyDescent="0.3">
      <c r="A361" t="s">
        <v>21</v>
      </c>
      <c r="B361" t="s">
        <v>1439</v>
      </c>
      <c r="C361" t="s">
        <v>299</v>
      </c>
      <c r="D361" t="s">
        <v>1440</v>
      </c>
      <c r="E361">
        <v>385</v>
      </c>
      <c r="G361" s="10" t="s">
        <v>1441</v>
      </c>
      <c r="H361" t="s">
        <v>1442</v>
      </c>
      <c r="I361" t="s">
        <v>1443</v>
      </c>
      <c r="J361" t="s">
        <v>318</v>
      </c>
      <c r="K361">
        <v>4510</v>
      </c>
      <c r="L361" t="s">
        <v>259</v>
      </c>
      <c r="M361" t="s">
        <v>302</v>
      </c>
      <c r="N361" t="s">
        <v>259</v>
      </c>
      <c r="P361" t="s">
        <v>260</v>
      </c>
      <c r="Q361" t="s">
        <v>260</v>
      </c>
      <c r="R361" t="s">
        <v>261</v>
      </c>
      <c r="S361" t="s">
        <v>21</v>
      </c>
      <c r="T361">
        <v>100</v>
      </c>
      <c r="W361" t="s">
        <v>262</v>
      </c>
      <c r="X361">
        <v>-27.079499999999999</v>
      </c>
      <c r="Y361">
        <v>152.97819999999999</v>
      </c>
      <c r="Z361">
        <v>310</v>
      </c>
    </row>
    <row r="362" spans="1:28" x14ac:dyDescent="0.3">
      <c r="A362" t="s">
        <v>21</v>
      </c>
      <c r="B362" t="s">
        <v>1444</v>
      </c>
      <c r="C362" t="s">
        <v>270</v>
      </c>
      <c r="D362" t="s">
        <v>1445</v>
      </c>
      <c r="E362">
        <v>5093</v>
      </c>
      <c r="G362" t="s">
        <v>1446</v>
      </c>
      <c r="H362" t="s">
        <v>1447</v>
      </c>
      <c r="I362" t="s">
        <v>1448</v>
      </c>
      <c r="J362" t="s">
        <v>1449</v>
      </c>
      <c r="K362">
        <v>4072</v>
      </c>
      <c r="L362" t="s">
        <v>276</v>
      </c>
      <c r="M362" t="s">
        <v>1450</v>
      </c>
      <c r="N362" t="s">
        <v>276</v>
      </c>
      <c r="P362" t="s">
        <v>260</v>
      </c>
      <c r="Q362" t="s">
        <v>260</v>
      </c>
      <c r="R362" t="s">
        <v>261</v>
      </c>
      <c r="S362" t="s">
        <v>21</v>
      </c>
      <c r="T362">
        <v>100</v>
      </c>
      <c r="U362" t="s">
        <v>354</v>
      </c>
      <c r="W362" t="s">
        <v>262</v>
      </c>
      <c r="X362">
        <v>-41.341722599999997</v>
      </c>
      <c r="Y362">
        <v>173.120736999999</v>
      </c>
      <c r="Z362" t="s">
        <v>1451</v>
      </c>
      <c r="AA362" s="9">
        <v>42917</v>
      </c>
    </row>
    <row r="363" spans="1:28" x14ac:dyDescent="0.3">
      <c r="A363" t="s">
        <v>21</v>
      </c>
      <c r="B363" t="s">
        <v>1452</v>
      </c>
      <c r="C363" t="s">
        <v>270</v>
      </c>
      <c r="D363" t="s">
        <v>1453</v>
      </c>
      <c r="E363">
        <v>5094</v>
      </c>
      <c r="G363" t="s">
        <v>1446</v>
      </c>
      <c r="H363" t="s">
        <v>1454</v>
      </c>
      <c r="I363" t="s">
        <v>717</v>
      </c>
      <c r="J363" t="s">
        <v>717</v>
      </c>
      <c r="K363">
        <v>2104</v>
      </c>
      <c r="L363" t="s">
        <v>276</v>
      </c>
      <c r="M363" t="s">
        <v>717</v>
      </c>
      <c r="N363" t="s">
        <v>276</v>
      </c>
      <c r="P363" t="s">
        <v>260</v>
      </c>
      <c r="Q363" t="s">
        <v>260</v>
      </c>
      <c r="R363" t="s">
        <v>261</v>
      </c>
      <c r="S363" t="s">
        <v>21</v>
      </c>
      <c r="T363">
        <v>100</v>
      </c>
      <c r="U363" t="s">
        <v>354</v>
      </c>
      <c r="W363" t="s">
        <v>262</v>
      </c>
      <c r="X363">
        <v>-41.325945500000003</v>
      </c>
      <c r="Y363">
        <v>173.26183609999899</v>
      </c>
      <c r="Z363" t="s">
        <v>1451</v>
      </c>
      <c r="AA363" s="9">
        <v>42917</v>
      </c>
    </row>
    <row r="364" spans="1:28" x14ac:dyDescent="0.3">
      <c r="A364" t="s">
        <v>21</v>
      </c>
      <c r="B364" t="s">
        <v>1455</v>
      </c>
      <c r="C364" t="s">
        <v>270</v>
      </c>
      <c r="D364" t="s">
        <v>1456</v>
      </c>
      <c r="E364">
        <v>5095</v>
      </c>
      <c r="G364" t="s">
        <v>1446</v>
      </c>
      <c r="H364" t="s">
        <v>1457</v>
      </c>
      <c r="I364" t="s">
        <v>669</v>
      </c>
      <c r="J364" t="s">
        <v>669</v>
      </c>
      <c r="K364">
        <v>3116</v>
      </c>
      <c r="L364" t="s">
        <v>276</v>
      </c>
      <c r="M364" t="s">
        <v>1458</v>
      </c>
      <c r="N364" t="s">
        <v>276</v>
      </c>
      <c r="P364" t="s">
        <v>260</v>
      </c>
      <c r="Q364" t="s">
        <v>260</v>
      </c>
      <c r="R364" t="s">
        <v>261</v>
      </c>
      <c r="S364" t="s">
        <v>21</v>
      </c>
      <c r="T364">
        <v>100</v>
      </c>
      <c r="U364" t="s">
        <v>354</v>
      </c>
      <c r="W364" t="s">
        <v>262</v>
      </c>
      <c r="X364">
        <v>-38.7566135</v>
      </c>
      <c r="Y364">
        <v>177.5963337</v>
      </c>
      <c r="Z364" t="s">
        <v>1451</v>
      </c>
      <c r="AA364" s="9">
        <v>42917</v>
      </c>
    </row>
    <row r="365" spans="1:28" x14ac:dyDescent="0.3">
      <c r="A365" t="s">
        <v>21</v>
      </c>
      <c r="B365" t="s">
        <v>1459</v>
      </c>
      <c r="C365" t="s">
        <v>270</v>
      </c>
      <c r="D365" t="s">
        <v>1460</v>
      </c>
      <c r="E365" t="s">
        <v>1460</v>
      </c>
      <c r="G365" t="s">
        <v>1341</v>
      </c>
      <c r="H365" t="s">
        <v>1342</v>
      </c>
      <c r="I365" t="s">
        <v>1343</v>
      </c>
      <c r="J365" t="s">
        <v>297</v>
      </c>
      <c r="K365">
        <v>2104</v>
      </c>
      <c r="L365" t="s">
        <v>276</v>
      </c>
      <c r="M365" t="s">
        <v>631</v>
      </c>
      <c r="N365" t="s">
        <v>276</v>
      </c>
      <c r="P365" t="s">
        <v>260</v>
      </c>
      <c r="Q365" t="s">
        <v>260</v>
      </c>
      <c r="R365" t="s">
        <v>261</v>
      </c>
      <c r="S365" t="s">
        <v>21</v>
      </c>
      <c r="T365">
        <v>100</v>
      </c>
      <c r="W365" t="s">
        <v>262</v>
      </c>
      <c r="X365">
        <v>-37.008338000000002</v>
      </c>
      <c r="Y365">
        <v>174.870574</v>
      </c>
      <c r="Z365">
        <v>729</v>
      </c>
      <c r="AA365" s="9">
        <v>42917</v>
      </c>
    </row>
    <row r="366" spans="1:28" x14ac:dyDescent="0.3">
      <c r="A366" t="s">
        <v>21</v>
      </c>
      <c r="B366" t="s">
        <v>1461</v>
      </c>
      <c r="C366" t="s">
        <v>270</v>
      </c>
      <c r="D366" t="s">
        <v>1462</v>
      </c>
      <c r="E366">
        <v>5002</v>
      </c>
      <c r="G366" t="s">
        <v>1341</v>
      </c>
      <c r="H366" t="s">
        <v>1342</v>
      </c>
      <c r="I366" t="s">
        <v>1343</v>
      </c>
      <c r="J366" t="s">
        <v>297</v>
      </c>
      <c r="K366">
        <v>2104</v>
      </c>
      <c r="L366" t="s">
        <v>276</v>
      </c>
      <c r="M366" t="s">
        <v>631</v>
      </c>
      <c r="N366" t="s">
        <v>276</v>
      </c>
      <c r="P366" t="s">
        <v>260</v>
      </c>
      <c r="Q366" t="s">
        <v>260</v>
      </c>
      <c r="R366" t="s">
        <v>293</v>
      </c>
      <c r="S366" t="s">
        <v>21</v>
      </c>
      <c r="T366">
        <v>100</v>
      </c>
      <c r="W366" t="s">
        <v>262</v>
      </c>
      <c r="X366">
        <v>-37.008338000000002</v>
      </c>
      <c r="Y366">
        <v>174.870574</v>
      </c>
      <c r="Z366">
        <v>729</v>
      </c>
      <c r="AA366" s="9">
        <v>42917</v>
      </c>
    </row>
    <row r="367" spans="1:28" x14ac:dyDescent="0.3">
      <c r="A367" t="s">
        <v>21</v>
      </c>
      <c r="B367" t="s">
        <v>1463</v>
      </c>
      <c r="C367" t="s">
        <v>270</v>
      </c>
      <c r="D367" t="s">
        <v>1464</v>
      </c>
      <c r="E367">
        <v>5004</v>
      </c>
      <c r="G367" t="s">
        <v>1341</v>
      </c>
      <c r="H367" t="s">
        <v>1342</v>
      </c>
      <c r="I367" t="s">
        <v>1343</v>
      </c>
      <c r="J367" t="s">
        <v>297</v>
      </c>
      <c r="K367">
        <v>2022</v>
      </c>
      <c r="L367" t="s">
        <v>276</v>
      </c>
      <c r="M367" t="s">
        <v>631</v>
      </c>
      <c r="N367" t="s">
        <v>276</v>
      </c>
      <c r="P367" t="s">
        <v>260</v>
      </c>
      <c r="Q367" t="s">
        <v>260</v>
      </c>
      <c r="R367" t="s">
        <v>293</v>
      </c>
      <c r="S367" t="s">
        <v>21</v>
      </c>
      <c r="T367">
        <v>100</v>
      </c>
      <c r="W367" t="s">
        <v>262</v>
      </c>
      <c r="X367">
        <v>-37.008338000000002</v>
      </c>
      <c r="Y367">
        <v>174.870574</v>
      </c>
      <c r="Z367">
        <v>729</v>
      </c>
      <c r="AA367" s="9">
        <v>42917</v>
      </c>
    </row>
    <row r="368" spans="1:28" x14ac:dyDescent="0.3">
      <c r="A368" t="s">
        <v>21</v>
      </c>
      <c r="B368" t="s">
        <v>1465</v>
      </c>
      <c r="C368" t="s">
        <v>299</v>
      </c>
      <c r="D368" t="s">
        <v>1466</v>
      </c>
      <c r="E368">
        <v>8021</v>
      </c>
      <c r="F368">
        <v>8021</v>
      </c>
      <c r="H368" t="s">
        <v>1467</v>
      </c>
      <c r="I368" t="s">
        <v>1353</v>
      </c>
      <c r="J368" t="s">
        <v>335</v>
      </c>
      <c r="K368">
        <v>3076</v>
      </c>
      <c r="L368" t="s">
        <v>259</v>
      </c>
      <c r="M368" t="s">
        <v>1353</v>
      </c>
      <c r="N368" t="s">
        <v>259</v>
      </c>
      <c r="P368" t="s">
        <v>260</v>
      </c>
      <c r="Q368" t="s">
        <v>260</v>
      </c>
      <c r="R368" t="s">
        <v>261</v>
      </c>
      <c r="S368" t="s">
        <v>21</v>
      </c>
      <c r="T368">
        <v>100</v>
      </c>
      <c r="W368" t="s">
        <v>262</v>
      </c>
      <c r="X368">
        <v>-37.646279</v>
      </c>
      <c r="Y368">
        <v>144.98043200000001</v>
      </c>
      <c r="Z368">
        <v>292</v>
      </c>
      <c r="AB368" s="9">
        <v>44012</v>
      </c>
    </row>
    <row r="369" spans="1:28" x14ac:dyDescent="0.3">
      <c r="A369" t="s">
        <v>21</v>
      </c>
      <c r="B369" t="s">
        <v>1468</v>
      </c>
      <c r="C369" t="s">
        <v>299</v>
      </c>
      <c r="D369" t="s">
        <v>1469</v>
      </c>
      <c r="E369">
        <v>8015</v>
      </c>
      <c r="G369" t="s">
        <v>1470</v>
      </c>
      <c r="H369" t="s">
        <v>364</v>
      </c>
      <c r="I369" t="s">
        <v>365</v>
      </c>
      <c r="J369" t="s">
        <v>366</v>
      </c>
      <c r="K369">
        <v>2142</v>
      </c>
      <c r="L369" t="s">
        <v>259</v>
      </c>
      <c r="M369" t="s">
        <v>312</v>
      </c>
      <c r="N369" t="s">
        <v>259</v>
      </c>
      <c r="P369" t="s">
        <v>260</v>
      </c>
      <c r="Q369" t="s">
        <v>260</v>
      </c>
      <c r="R369" t="s">
        <v>261</v>
      </c>
      <c r="S369" t="s">
        <v>21</v>
      </c>
      <c r="T369">
        <v>100</v>
      </c>
      <c r="W369" t="s">
        <v>262</v>
      </c>
      <c r="X369">
        <v>-33.829059000000001</v>
      </c>
      <c r="Y369">
        <v>151.02273700000001</v>
      </c>
      <c r="Z369">
        <v>292</v>
      </c>
      <c r="AB369" s="9">
        <v>44742</v>
      </c>
    </row>
    <row r="370" spans="1:28" x14ac:dyDescent="0.3">
      <c r="A370" t="s">
        <v>21</v>
      </c>
      <c r="B370" t="s">
        <v>1471</v>
      </c>
      <c r="C370" t="s">
        <v>499</v>
      </c>
      <c r="D370" t="s">
        <v>882</v>
      </c>
      <c r="E370" t="s">
        <v>1472</v>
      </c>
      <c r="M370" t="s">
        <v>411</v>
      </c>
      <c r="N370" t="s">
        <v>259</v>
      </c>
      <c r="P370" t="s">
        <v>260</v>
      </c>
      <c r="Q370" t="s">
        <v>260</v>
      </c>
      <c r="R370" t="s">
        <v>293</v>
      </c>
      <c r="S370" t="s">
        <v>21</v>
      </c>
      <c r="T370">
        <v>100</v>
      </c>
      <c r="W370" t="s">
        <v>262</v>
      </c>
    </row>
    <row r="371" spans="1:28" x14ac:dyDescent="0.3">
      <c r="A371" t="s">
        <v>21</v>
      </c>
      <c r="B371" t="s">
        <v>1473</v>
      </c>
      <c r="C371" t="s">
        <v>499</v>
      </c>
      <c r="D371" t="s">
        <v>1474</v>
      </c>
      <c r="E371" t="s">
        <v>1475</v>
      </c>
      <c r="M371" t="s">
        <v>1001</v>
      </c>
      <c r="N371" t="s">
        <v>259</v>
      </c>
      <c r="P371" t="s">
        <v>260</v>
      </c>
      <c r="Q371" t="s">
        <v>260</v>
      </c>
      <c r="R371" t="s">
        <v>261</v>
      </c>
      <c r="S371" t="s">
        <v>21</v>
      </c>
      <c r="T371">
        <v>100</v>
      </c>
      <c r="W371" t="s">
        <v>262</v>
      </c>
    </row>
    <row r="372" spans="1:28" x14ac:dyDescent="0.3">
      <c r="A372" t="s">
        <v>21</v>
      </c>
      <c r="B372" t="s">
        <v>1476</v>
      </c>
      <c r="C372" t="s">
        <v>499</v>
      </c>
      <c r="D372" t="s">
        <v>913</v>
      </c>
      <c r="E372" t="s">
        <v>913</v>
      </c>
      <c r="M372" t="s">
        <v>411</v>
      </c>
      <c r="N372" t="s">
        <v>259</v>
      </c>
      <c r="P372" t="s">
        <v>260</v>
      </c>
      <c r="Q372" t="s">
        <v>260</v>
      </c>
      <c r="R372" t="s">
        <v>293</v>
      </c>
      <c r="S372" t="s">
        <v>21</v>
      </c>
      <c r="T372">
        <v>100</v>
      </c>
      <c r="W372" t="s">
        <v>262</v>
      </c>
    </row>
    <row r="373" spans="1:28" x14ac:dyDescent="0.3">
      <c r="A373" t="s">
        <v>21</v>
      </c>
      <c r="B373" t="s">
        <v>1477</v>
      </c>
      <c r="C373" t="s">
        <v>499</v>
      </c>
      <c r="D373" t="s">
        <v>1478</v>
      </c>
      <c r="E373" t="s">
        <v>1479</v>
      </c>
      <c r="M373" t="s">
        <v>312</v>
      </c>
      <c r="N373" t="s">
        <v>259</v>
      </c>
      <c r="P373" t="s">
        <v>260</v>
      </c>
      <c r="Q373" t="s">
        <v>260</v>
      </c>
      <c r="R373" t="s">
        <v>313</v>
      </c>
      <c r="S373" t="s">
        <v>21</v>
      </c>
      <c r="T373">
        <v>100</v>
      </c>
      <c r="V373" s="9">
        <v>45107</v>
      </c>
      <c r="W373" t="s">
        <v>262</v>
      </c>
    </row>
    <row r="374" spans="1:28" x14ac:dyDescent="0.3">
      <c r="A374" t="s">
        <v>21</v>
      </c>
      <c r="B374" t="s">
        <v>1480</v>
      </c>
      <c r="C374" t="s">
        <v>270</v>
      </c>
      <c r="D374" t="s">
        <v>310</v>
      </c>
      <c r="E374" t="s">
        <v>310</v>
      </c>
      <c r="M374" t="s">
        <v>411</v>
      </c>
      <c r="N374" t="s">
        <v>259</v>
      </c>
      <c r="P374" t="s">
        <v>260</v>
      </c>
      <c r="Q374" t="s">
        <v>260</v>
      </c>
      <c r="R374" t="s">
        <v>313</v>
      </c>
      <c r="S374" t="s">
        <v>21</v>
      </c>
      <c r="T374">
        <v>100</v>
      </c>
      <c r="V374" s="9">
        <v>45107</v>
      </c>
      <c r="W374" t="s">
        <v>262</v>
      </c>
    </row>
    <row r="375" spans="1:28" x14ac:dyDescent="0.3">
      <c r="A375" t="s">
        <v>21</v>
      </c>
      <c r="B375" t="s">
        <v>1481</v>
      </c>
      <c r="C375" t="s">
        <v>499</v>
      </c>
      <c r="D375" t="s">
        <v>1482</v>
      </c>
      <c r="E375" t="s">
        <v>1483</v>
      </c>
      <c r="M375" t="s">
        <v>267</v>
      </c>
      <c r="N375" t="s">
        <v>259</v>
      </c>
      <c r="P375" t="s">
        <v>260</v>
      </c>
      <c r="Q375" t="s">
        <v>260</v>
      </c>
      <c r="R375" t="s">
        <v>268</v>
      </c>
      <c r="S375" t="s">
        <v>21</v>
      </c>
      <c r="T375">
        <v>100</v>
      </c>
      <c r="W375" t="s">
        <v>262</v>
      </c>
    </row>
    <row r="376" spans="1:28" x14ac:dyDescent="0.3">
      <c r="A376" t="s">
        <v>21</v>
      </c>
      <c r="B376" t="s">
        <v>1484</v>
      </c>
      <c r="C376" t="s">
        <v>499</v>
      </c>
      <c r="D376" t="s">
        <v>1485</v>
      </c>
      <c r="E376" t="s">
        <v>1486</v>
      </c>
      <c r="M376" t="s">
        <v>312</v>
      </c>
      <c r="N376" t="s">
        <v>259</v>
      </c>
      <c r="P376" t="s">
        <v>260</v>
      </c>
      <c r="Q376" t="s">
        <v>260</v>
      </c>
      <c r="R376" t="s">
        <v>283</v>
      </c>
      <c r="S376" t="s">
        <v>21</v>
      </c>
      <c r="T376">
        <v>100</v>
      </c>
      <c r="W376" t="s">
        <v>262</v>
      </c>
    </row>
    <row r="377" spans="1:28" x14ac:dyDescent="0.3">
      <c r="A377" t="s">
        <v>21</v>
      </c>
      <c r="B377" t="s">
        <v>1487</v>
      </c>
      <c r="C377" t="s">
        <v>499</v>
      </c>
      <c r="D377" t="s">
        <v>1488</v>
      </c>
      <c r="E377" t="s">
        <v>1489</v>
      </c>
      <c r="M377" t="s">
        <v>312</v>
      </c>
      <c r="N377" t="s">
        <v>259</v>
      </c>
      <c r="P377" t="s">
        <v>260</v>
      </c>
      <c r="Q377" t="s">
        <v>260</v>
      </c>
      <c r="R377" t="s">
        <v>261</v>
      </c>
      <c r="S377" t="s">
        <v>21</v>
      </c>
      <c r="T377">
        <v>100</v>
      </c>
      <c r="W377" t="s">
        <v>262</v>
      </c>
    </row>
    <row r="378" spans="1:28" x14ac:dyDescent="0.3">
      <c r="A378" t="s">
        <v>21</v>
      </c>
      <c r="B378" t="s">
        <v>1490</v>
      </c>
      <c r="C378" t="s">
        <v>499</v>
      </c>
      <c r="D378" t="s">
        <v>1491</v>
      </c>
      <c r="E378" t="s">
        <v>1492</v>
      </c>
      <c r="F378" t="s">
        <v>1492</v>
      </c>
      <c r="M378" t="s">
        <v>282</v>
      </c>
      <c r="N378" t="s">
        <v>259</v>
      </c>
      <c r="P378" t="s">
        <v>260</v>
      </c>
      <c r="Q378" t="s">
        <v>260</v>
      </c>
      <c r="R378" t="s">
        <v>261</v>
      </c>
      <c r="S378" t="s">
        <v>21</v>
      </c>
      <c r="T378">
        <v>100</v>
      </c>
      <c r="W378" t="s">
        <v>262</v>
      </c>
    </row>
    <row r="379" spans="1:28" x14ac:dyDescent="0.3">
      <c r="A379" t="s">
        <v>21</v>
      </c>
      <c r="B379" t="s">
        <v>1493</v>
      </c>
      <c r="C379" t="s">
        <v>499</v>
      </c>
      <c r="D379" t="s">
        <v>1494</v>
      </c>
      <c r="E379" t="s">
        <v>1495</v>
      </c>
      <c r="M379" t="s">
        <v>312</v>
      </c>
      <c r="N379" t="s">
        <v>259</v>
      </c>
      <c r="P379" t="s">
        <v>260</v>
      </c>
      <c r="Q379" t="s">
        <v>260</v>
      </c>
      <c r="R379" t="s">
        <v>313</v>
      </c>
      <c r="S379" t="s">
        <v>21</v>
      </c>
      <c r="T379">
        <v>100</v>
      </c>
      <c r="V379" s="9">
        <v>45107</v>
      </c>
      <c r="W379" t="s">
        <v>262</v>
      </c>
    </row>
    <row r="380" spans="1:28" x14ac:dyDescent="0.3">
      <c r="A380" t="s">
        <v>21</v>
      </c>
      <c r="B380" t="s">
        <v>1496</v>
      </c>
      <c r="C380" t="s">
        <v>270</v>
      </c>
      <c r="D380" t="s">
        <v>1497</v>
      </c>
      <c r="E380" t="s">
        <v>1497</v>
      </c>
      <c r="M380" t="s">
        <v>411</v>
      </c>
      <c r="N380" t="s">
        <v>259</v>
      </c>
      <c r="P380" t="s">
        <v>260</v>
      </c>
      <c r="Q380" t="s">
        <v>260</v>
      </c>
      <c r="R380" t="s">
        <v>313</v>
      </c>
      <c r="S380" t="s">
        <v>21</v>
      </c>
      <c r="T380">
        <v>100</v>
      </c>
      <c r="V380" s="9">
        <v>45107</v>
      </c>
      <c r="W380" t="s">
        <v>262</v>
      </c>
    </row>
    <row r="381" spans="1:28" x14ac:dyDescent="0.3">
      <c r="A381" t="s">
        <v>21</v>
      </c>
      <c r="B381" t="s">
        <v>1498</v>
      </c>
      <c r="C381" t="s">
        <v>499</v>
      </c>
      <c r="D381" t="s">
        <v>1499</v>
      </c>
      <c r="E381" t="s">
        <v>1500</v>
      </c>
      <c r="G381" t="s">
        <v>1501</v>
      </c>
      <c r="M381" t="s">
        <v>312</v>
      </c>
      <c r="N381" t="s">
        <v>259</v>
      </c>
      <c r="P381" t="s">
        <v>260</v>
      </c>
      <c r="Q381" t="s">
        <v>260</v>
      </c>
      <c r="R381" t="s">
        <v>283</v>
      </c>
      <c r="S381" t="s">
        <v>21</v>
      </c>
      <c r="T381">
        <v>100</v>
      </c>
      <c r="W381" t="s">
        <v>262</v>
      </c>
      <c r="AB381" s="9">
        <v>44742</v>
      </c>
    </row>
    <row r="382" spans="1:28" x14ac:dyDescent="0.3">
      <c r="A382" t="s">
        <v>21</v>
      </c>
      <c r="B382" t="s">
        <v>1502</v>
      </c>
      <c r="C382" t="s">
        <v>499</v>
      </c>
      <c r="D382" t="s">
        <v>1503</v>
      </c>
      <c r="E382" t="s">
        <v>1504</v>
      </c>
      <c r="M382" t="s">
        <v>411</v>
      </c>
      <c r="N382" t="s">
        <v>259</v>
      </c>
      <c r="P382" t="s">
        <v>260</v>
      </c>
      <c r="Q382" t="s">
        <v>260</v>
      </c>
      <c r="R382" t="s">
        <v>293</v>
      </c>
      <c r="S382" t="s">
        <v>21</v>
      </c>
      <c r="T382">
        <v>100</v>
      </c>
      <c r="W382" t="s">
        <v>262</v>
      </c>
    </row>
    <row r="383" spans="1:28" x14ac:dyDescent="0.3">
      <c r="A383" t="s">
        <v>21</v>
      </c>
      <c r="B383" t="s">
        <v>1505</v>
      </c>
      <c r="C383" t="s">
        <v>499</v>
      </c>
      <c r="D383" t="s">
        <v>889</v>
      </c>
      <c r="E383" t="s">
        <v>1506</v>
      </c>
      <c r="M383" t="s">
        <v>411</v>
      </c>
      <c r="N383" t="s">
        <v>259</v>
      </c>
      <c r="P383" t="s">
        <v>260</v>
      </c>
      <c r="Q383" t="s">
        <v>260</v>
      </c>
      <c r="R383" t="s">
        <v>268</v>
      </c>
      <c r="S383" t="s">
        <v>21</v>
      </c>
      <c r="T383">
        <v>100</v>
      </c>
      <c r="W383" t="s">
        <v>262</v>
      </c>
    </row>
    <row r="384" spans="1:28" x14ac:dyDescent="0.3">
      <c r="A384" t="s">
        <v>21</v>
      </c>
      <c r="B384" t="s">
        <v>1507</v>
      </c>
      <c r="C384" t="s">
        <v>499</v>
      </c>
      <c r="D384" t="s">
        <v>1508</v>
      </c>
      <c r="E384" t="s">
        <v>1509</v>
      </c>
      <c r="M384" t="s">
        <v>1510</v>
      </c>
      <c r="N384" t="s">
        <v>259</v>
      </c>
      <c r="P384" t="s">
        <v>260</v>
      </c>
      <c r="Q384" t="s">
        <v>260</v>
      </c>
      <c r="R384" t="s">
        <v>268</v>
      </c>
      <c r="S384" t="s">
        <v>21</v>
      </c>
      <c r="T384">
        <v>100</v>
      </c>
      <c r="W384" t="s">
        <v>262</v>
      </c>
    </row>
    <row r="385" spans="1:28" x14ac:dyDescent="0.3">
      <c r="A385" t="s">
        <v>21</v>
      </c>
      <c r="B385" t="s">
        <v>1511</v>
      </c>
      <c r="C385" t="s">
        <v>499</v>
      </c>
      <c r="D385" t="s">
        <v>1512</v>
      </c>
      <c r="E385" t="s">
        <v>1513</v>
      </c>
      <c r="M385" t="s">
        <v>411</v>
      </c>
      <c r="N385" t="s">
        <v>259</v>
      </c>
      <c r="P385" t="s">
        <v>260</v>
      </c>
      <c r="Q385" t="s">
        <v>260</v>
      </c>
      <c r="R385" t="s">
        <v>293</v>
      </c>
      <c r="S385" t="s">
        <v>21</v>
      </c>
      <c r="T385">
        <v>100</v>
      </c>
      <c r="W385" t="s">
        <v>262</v>
      </c>
    </row>
    <row r="386" spans="1:28" x14ac:dyDescent="0.3">
      <c r="A386" t="s">
        <v>21</v>
      </c>
      <c r="B386" t="s">
        <v>1514</v>
      </c>
      <c r="C386" t="s">
        <v>499</v>
      </c>
      <c r="D386" t="s">
        <v>1099</v>
      </c>
      <c r="E386" t="s">
        <v>1515</v>
      </c>
      <c r="M386" t="s">
        <v>411</v>
      </c>
      <c r="N386" t="s">
        <v>259</v>
      </c>
      <c r="P386" t="s">
        <v>260</v>
      </c>
      <c r="Q386" t="s">
        <v>260</v>
      </c>
      <c r="R386" t="s">
        <v>261</v>
      </c>
      <c r="S386" t="s">
        <v>21</v>
      </c>
      <c r="T386">
        <v>100</v>
      </c>
      <c r="W386" t="s">
        <v>262</v>
      </c>
    </row>
    <row r="387" spans="1:28" x14ac:dyDescent="0.3">
      <c r="A387" t="s">
        <v>21</v>
      </c>
      <c r="B387" t="s">
        <v>1516</v>
      </c>
      <c r="C387" t="s">
        <v>499</v>
      </c>
      <c r="D387" t="s">
        <v>1517</v>
      </c>
      <c r="E387" t="s">
        <v>1518</v>
      </c>
      <c r="M387" t="s">
        <v>267</v>
      </c>
      <c r="N387" t="s">
        <v>259</v>
      </c>
      <c r="P387" t="s">
        <v>260</v>
      </c>
      <c r="Q387" t="s">
        <v>260</v>
      </c>
      <c r="R387" t="s">
        <v>268</v>
      </c>
      <c r="S387" t="s">
        <v>21</v>
      </c>
      <c r="T387">
        <v>100</v>
      </c>
      <c r="W387" t="s">
        <v>262</v>
      </c>
    </row>
    <row r="388" spans="1:28" x14ac:dyDescent="0.3">
      <c r="A388" t="s">
        <v>21</v>
      </c>
      <c r="B388" t="s">
        <v>1519</v>
      </c>
      <c r="C388" t="s">
        <v>499</v>
      </c>
      <c r="D388" t="s">
        <v>1520</v>
      </c>
      <c r="E388" t="s">
        <v>1521</v>
      </c>
      <c r="M388" t="s">
        <v>411</v>
      </c>
      <c r="N388" t="s">
        <v>259</v>
      </c>
      <c r="P388" t="s">
        <v>260</v>
      </c>
      <c r="Q388" t="s">
        <v>260</v>
      </c>
      <c r="R388" t="s">
        <v>283</v>
      </c>
      <c r="S388" t="s">
        <v>21</v>
      </c>
      <c r="T388">
        <v>100</v>
      </c>
      <c r="W388" t="s">
        <v>262</v>
      </c>
    </row>
    <row r="389" spans="1:28" x14ac:dyDescent="0.3">
      <c r="A389" t="s">
        <v>21</v>
      </c>
      <c r="B389" t="s">
        <v>1522</v>
      </c>
      <c r="C389" t="s">
        <v>499</v>
      </c>
      <c r="D389" t="s">
        <v>1523</v>
      </c>
      <c r="E389" t="s">
        <v>1523</v>
      </c>
      <c r="M389" t="s">
        <v>411</v>
      </c>
      <c r="N389" t="s">
        <v>259</v>
      </c>
      <c r="P389" t="s">
        <v>260</v>
      </c>
      <c r="Q389" t="s">
        <v>260</v>
      </c>
      <c r="R389" t="s">
        <v>293</v>
      </c>
      <c r="S389" t="s">
        <v>21</v>
      </c>
      <c r="T389">
        <v>100</v>
      </c>
      <c r="W389" t="s">
        <v>262</v>
      </c>
    </row>
    <row r="390" spans="1:28" x14ac:dyDescent="0.3">
      <c r="A390" t="s">
        <v>21</v>
      </c>
      <c r="B390" t="s">
        <v>1524</v>
      </c>
      <c r="C390" t="s">
        <v>499</v>
      </c>
      <c r="D390" t="s">
        <v>1525</v>
      </c>
      <c r="E390" t="s">
        <v>1526</v>
      </c>
      <c r="F390" t="s">
        <v>1526</v>
      </c>
      <c r="M390" t="s">
        <v>380</v>
      </c>
      <c r="N390" t="s">
        <v>276</v>
      </c>
      <c r="P390" t="s">
        <v>260</v>
      </c>
      <c r="Q390" t="s">
        <v>260</v>
      </c>
      <c r="R390" t="s">
        <v>268</v>
      </c>
      <c r="S390" t="s">
        <v>21</v>
      </c>
      <c r="T390">
        <v>100</v>
      </c>
      <c r="W390" t="s">
        <v>262</v>
      </c>
    </row>
    <row r="391" spans="1:28" x14ac:dyDescent="0.3">
      <c r="A391" t="s">
        <v>21</v>
      </c>
      <c r="B391" t="s">
        <v>1527</v>
      </c>
      <c r="C391" t="s">
        <v>499</v>
      </c>
      <c r="D391" t="s">
        <v>1528</v>
      </c>
      <c r="E391" t="s">
        <v>1529</v>
      </c>
      <c r="M391" t="s">
        <v>1001</v>
      </c>
      <c r="N391" t="s">
        <v>259</v>
      </c>
      <c r="P391" t="s">
        <v>260</v>
      </c>
      <c r="Q391" t="s">
        <v>260</v>
      </c>
      <c r="R391" t="s">
        <v>268</v>
      </c>
      <c r="S391" t="s">
        <v>21</v>
      </c>
      <c r="T391">
        <v>100</v>
      </c>
      <c r="W391" t="s">
        <v>262</v>
      </c>
    </row>
    <row r="392" spans="1:28" x14ac:dyDescent="0.3">
      <c r="A392" t="s">
        <v>21</v>
      </c>
      <c r="B392" t="s">
        <v>1530</v>
      </c>
      <c r="C392" t="s">
        <v>499</v>
      </c>
      <c r="D392" t="s">
        <v>419</v>
      </c>
      <c r="E392" t="s">
        <v>1531</v>
      </c>
      <c r="M392" t="s">
        <v>1001</v>
      </c>
      <c r="N392" t="s">
        <v>259</v>
      </c>
      <c r="P392" t="s">
        <v>260</v>
      </c>
      <c r="Q392" t="s">
        <v>260</v>
      </c>
      <c r="R392" t="s">
        <v>261</v>
      </c>
      <c r="S392" t="s">
        <v>21</v>
      </c>
      <c r="T392">
        <v>100</v>
      </c>
      <c r="W392" t="s">
        <v>262</v>
      </c>
    </row>
    <row r="393" spans="1:28" x14ac:dyDescent="0.3">
      <c r="A393" t="s">
        <v>21</v>
      </c>
      <c r="B393" t="s">
        <v>1532</v>
      </c>
      <c r="C393" t="s">
        <v>499</v>
      </c>
      <c r="D393" t="s">
        <v>1533</v>
      </c>
      <c r="E393" t="s">
        <v>1533</v>
      </c>
      <c r="M393" t="s">
        <v>411</v>
      </c>
      <c r="N393" t="s">
        <v>259</v>
      </c>
      <c r="P393" t="s">
        <v>260</v>
      </c>
      <c r="Q393" t="s">
        <v>260</v>
      </c>
      <c r="R393" t="s">
        <v>283</v>
      </c>
      <c r="S393" t="s">
        <v>21</v>
      </c>
      <c r="T393">
        <v>100</v>
      </c>
      <c r="W393" t="s">
        <v>262</v>
      </c>
    </row>
    <row r="394" spans="1:28" x14ac:dyDescent="0.3">
      <c r="A394" t="s">
        <v>21</v>
      </c>
      <c r="B394" t="s">
        <v>1534</v>
      </c>
      <c r="C394" t="s">
        <v>499</v>
      </c>
      <c r="D394" t="s">
        <v>1535</v>
      </c>
      <c r="E394" t="s">
        <v>1536</v>
      </c>
      <c r="M394" t="s">
        <v>312</v>
      </c>
      <c r="N394" t="s">
        <v>259</v>
      </c>
      <c r="P394" t="s">
        <v>260</v>
      </c>
      <c r="Q394" t="s">
        <v>260</v>
      </c>
      <c r="R394" t="s">
        <v>283</v>
      </c>
      <c r="S394" t="s">
        <v>21</v>
      </c>
      <c r="T394">
        <v>100</v>
      </c>
      <c r="W394" t="s">
        <v>262</v>
      </c>
    </row>
    <row r="395" spans="1:28" x14ac:dyDescent="0.3">
      <c r="A395" t="s">
        <v>21</v>
      </c>
      <c r="B395" t="s">
        <v>1537</v>
      </c>
      <c r="C395" t="s">
        <v>499</v>
      </c>
      <c r="D395" t="s">
        <v>1538</v>
      </c>
      <c r="E395" t="s">
        <v>1539</v>
      </c>
      <c r="M395" t="s">
        <v>312</v>
      </c>
      <c r="N395" t="s">
        <v>259</v>
      </c>
      <c r="P395" t="s">
        <v>260</v>
      </c>
      <c r="Q395" t="s">
        <v>260</v>
      </c>
      <c r="R395" t="s">
        <v>283</v>
      </c>
      <c r="S395" t="s">
        <v>21</v>
      </c>
      <c r="T395">
        <v>100</v>
      </c>
      <c r="W395" t="s">
        <v>262</v>
      </c>
    </row>
    <row r="396" spans="1:28" x14ac:dyDescent="0.3">
      <c r="A396" t="s">
        <v>21</v>
      </c>
      <c r="B396" t="s">
        <v>1540</v>
      </c>
      <c r="C396" t="s">
        <v>499</v>
      </c>
      <c r="D396" t="s">
        <v>1541</v>
      </c>
      <c r="E396" t="s">
        <v>1542</v>
      </c>
      <c r="M396" t="s">
        <v>411</v>
      </c>
      <c r="N396" t="s">
        <v>259</v>
      </c>
      <c r="P396" t="s">
        <v>260</v>
      </c>
      <c r="Q396" t="s">
        <v>260</v>
      </c>
      <c r="R396" t="s">
        <v>268</v>
      </c>
      <c r="S396" t="s">
        <v>21</v>
      </c>
      <c r="T396">
        <v>100</v>
      </c>
      <c r="W396" t="s">
        <v>262</v>
      </c>
    </row>
    <row r="397" spans="1:28" x14ac:dyDescent="0.3">
      <c r="A397" t="s">
        <v>21</v>
      </c>
      <c r="B397" t="s">
        <v>1543</v>
      </c>
      <c r="C397" t="s">
        <v>264</v>
      </c>
      <c r="D397" t="s">
        <v>889</v>
      </c>
      <c r="E397" t="s">
        <v>1544</v>
      </c>
      <c r="F397" t="s">
        <v>1544</v>
      </c>
      <c r="M397" t="s">
        <v>411</v>
      </c>
      <c r="N397" t="s">
        <v>259</v>
      </c>
      <c r="P397" t="s">
        <v>260</v>
      </c>
      <c r="Q397" t="s">
        <v>260</v>
      </c>
      <c r="R397" t="s">
        <v>268</v>
      </c>
      <c r="S397" t="s">
        <v>21</v>
      </c>
      <c r="T397">
        <v>100</v>
      </c>
      <c r="W397" t="s">
        <v>262</v>
      </c>
    </row>
    <row r="398" spans="1:28" x14ac:dyDescent="0.3">
      <c r="A398" t="s">
        <v>21</v>
      </c>
      <c r="B398" t="s">
        <v>1545</v>
      </c>
      <c r="C398" t="s">
        <v>499</v>
      </c>
      <c r="D398" t="s">
        <v>887</v>
      </c>
      <c r="E398" t="s">
        <v>1546</v>
      </c>
      <c r="G398" t="s">
        <v>1547</v>
      </c>
      <c r="M398" t="s">
        <v>312</v>
      </c>
      <c r="N398" t="s">
        <v>259</v>
      </c>
      <c r="P398" t="s">
        <v>260</v>
      </c>
      <c r="Q398" t="s">
        <v>260</v>
      </c>
      <c r="R398" t="s">
        <v>283</v>
      </c>
      <c r="S398" t="s">
        <v>21</v>
      </c>
      <c r="T398">
        <v>100</v>
      </c>
      <c r="W398" t="s">
        <v>262</v>
      </c>
    </row>
    <row r="399" spans="1:28" x14ac:dyDescent="0.3">
      <c r="A399" t="s">
        <v>21</v>
      </c>
      <c r="B399" t="s">
        <v>1548</v>
      </c>
      <c r="C399" t="s">
        <v>499</v>
      </c>
      <c r="D399" t="s">
        <v>887</v>
      </c>
      <c r="E399" t="s">
        <v>1546</v>
      </c>
      <c r="M399" t="s">
        <v>1001</v>
      </c>
      <c r="N399" t="s">
        <v>259</v>
      </c>
      <c r="P399" t="s">
        <v>260</v>
      </c>
      <c r="Q399" t="s">
        <v>260</v>
      </c>
      <c r="R399" t="s">
        <v>283</v>
      </c>
      <c r="S399" t="s">
        <v>21</v>
      </c>
      <c r="T399">
        <v>100</v>
      </c>
      <c r="W399" t="s">
        <v>262</v>
      </c>
      <c r="AB399" s="9">
        <v>44742</v>
      </c>
    </row>
    <row r="400" spans="1:28" x14ac:dyDescent="0.3">
      <c r="A400" t="s">
        <v>21</v>
      </c>
      <c r="B400" t="s">
        <v>1549</v>
      </c>
      <c r="C400" t="s">
        <v>499</v>
      </c>
      <c r="D400" t="s">
        <v>1550</v>
      </c>
      <c r="G400" t="s">
        <v>1551</v>
      </c>
      <c r="M400" t="s">
        <v>282</v>
      </c>
      <c r="N400" t="s">
        <v>259</v>
      </c>
      <c r="P400" t="s">
        <v>260</v>
      </c>
      <c r="Q400" t="s">
        <v>260</v>
      </c>
      <c r="R400" t="s">
        <v>261</v>
      </c>
      <c r="S400" t="s">
        <v>21</v>
      </c>
      <c r="T400">
        <v>100</v>
      </c>
      <c r="W400" t="s">
        <v>262</v>
      </c>
    </row>
    <row r="401" spans="1:28" x14ac:dyDescent="0.3">
      <c r="A401" t="s">
        <v>21</v>
      </c>
      <c r="B401" t="s">
        <v>1552</v>
      </c>
      <c r="C401" t="s">
        <v>499</v>
      </c>
      <c r="D401" t="s">
        <v>1553</v>
      </c>
      <c r="M401" t="s">
        <v>411</v>
      </c>
      <c r="N401" t="s">
        <v>259</v>
      </c>
      <c r="P401" t="s">
        <v>260</v>
      </c>
      <c r="Q401" t="s">
        <v>260</v>
      </c>
      <c r="R401" t="s">
        <v>313</v>
      </c>
      <c r="S401" t="s">
        <v>21</v>
      </c>
      <c r="T401">
        <v>100</v>
      </c>
      <c r="V401" s="9">
        <v>45107</v>
      </c>
      <c r="W401" t="s">
        <v>262</v>
      </c>
    </row>
    <row r="402" spans="1:28" x14ac:dyDescent="0.3">
      <c r="A402" t="s">
        <v>21</v>
      </c>
      <c r="B402" t="s">
        <v>1554</v>
      </c>
      <c r="C402" t="s">
        <v>499</v>
      </c>
      <c r="D402" t="s">
        <v>1555</v>
      </c>
      <c r="M402" t="s">
        <v>411</v>
      </c>
      <c r="N402" t="s">
        <v>259</v>
      </c>
      <c r="P402" t="s">
        <v>260</v>
      </c>
      <c r="Q402" t="s">
        <v>260</v>
      </c>
      <c r="R402" t="s">
        <v>293</v>
      </c>
      <c r="S402" t="s">
        <v>21</v>
      </c>
      <c r="T402">
        <v>100</v>
      </c>
      <c r="W402" t="s">
        <v>262</v>
      </c>
    </row>
    <row r="403" spans="1:28" x14ac:dyDescent="0.3">
      <c r="A403" t="s">
        <v>21</v>
      </c>
      <c r="B403" t="s">
        <v>1556</v>
      </c>
      <c r="C403" t="s">
        <v>499</v>
      </c>
      <c r="D403" t="s">
        <v>1557</v>
      </c>
      <c r="M403" t="s">
        <v>411</v>
      </c>
      <c r="N403" t="s">
        <v>259</v>
      </c>
      <c r="P403" t="s">
        <v>260</v>
      </c>
      <c r="Q403" t="s">
        <v>260</v>
      </c>
      <c r="R403" t="s">
        <v>293</v>
      </c>
      <c r="S403" t="s">
        <v>21</v>
      </c>
      <c r="T403">
        <v>100</v>
      </c>
      <c r="W403" t="s">
        <v>262</v>
      </c>
    </row>
    <row r="404" spans="1:28" x14ac:dyDescent="0.3">
      <c r="A404" t="s">
        <v>21</v>
      </c>
      <c r="B404" t="s">
        <v>1558</v>
      </c>
      <c r="C404" t="s">
        <v>499</v>
      </c>
      <c r="D404" t="s">
        <v>1559</v>
      </c>
      <c r="M404" t="s">
        <v>411</v>
      </c>
      <c r="N404" t="s">
        <v>259</v>
      </c>
      <c r="P404" t="s">
        <v>260</v>
      </c>
      <c r="Q404" t="s">
        <v>260</v>
      </c>
      <c r="R404" t="s">
        <v>268</v>
      </c>
      <c r="S404" t="s">
        <v>21</v>
      </c>
      <c r="T404">
        <v>100</v>
      </c>
      <c r="W404" t="s">
        <v>262</v>
      </c>
    </row>
    <row r="405" spans="1:28" x14ac:dyDescent="0.3">
      <c r="A405" t="s">
        <v>21</v>
      </c>
      <c r="B405" t="s">
        <v>1560</v>
      </c>
      <c r="C405" t="s">
        <v>499</v>
      </c>
      <c r="D405" t="s">
        <v>1561</v>
      </c>
      <c r="M405" t="s">
        <v>411</v>
      </c>
      <c r="N405" t="s">
        <v>259</v>
      </c>
      <c r="P405" t="s">
        <v>260</v>
      </c>
      <c r="Q405" t="s">
        <v>260</v>
      </c>
      <c r="R405" t="s">
        <v>293</v>
      </c>
      <c r="S405" t="s">
        <v>21</v>
      </c>
      <c r="T405">
        <v>100</v>
      </c>
      <c r="W405" t="s">
        <v>262</v>
      </c>
    </row>
    <row r="406" spans="1:28" x14ac:dyDescent="0.3">
      <c r="A406" t="s">
        <v>21</v>
      </c>
      <c r="B406" t="s">
        <v>1562</v>
      </c>
      <c r="C406" t="s">
        <v>499</v>
      </c>
      <c r="D406" t="s">
        <v>1563</v>
      </c>
      <c r="M406" t="s">
        <v>411</v>
      </c>
      <c r="N406" t="s">
        <v>259</v>
      </c>
      <c r="P406" t="s">
        <v>260</v>
      </c>
      <c r="Q406" t="s">
        <v>260</v>
      </c>
      <c r="R406" t="s">
        <v>308</v>
      </c>
      <c r="S406" t="s">
        <v>21</v>
      </c>
      <c r="T406">
        <v>100</v>
      </c>
      <c r="V406" s="9">
        <v>45199</v>
      </c>
      <c r="W406" t="s">
        <v>262</v>
      </c>
    </row>
    <row r="407" spans="1:28" x14ac:dyDescent="0.3">
      <c r="A407" t="s">
        <v>21</v>
      </c>
      <c r="B407" t="s">
        <v>1564</v>
      </c>
      <c r="C407" t="s">
        <v>499</v>
      </c>
      <c r="D407" t="s">
        <v>1565</v>
      </c>
      <c r="M407" t="s">
        <v>411</v>
      </c>
      <c r="N407" t="s">
        <v>259</v>
      </c>
      <c r="P407" t="s">
        <v>260</v>
      </c>
      <c r="Q407" t="s">
        <v>260</v>
      </c>
      <c r="R407" t="s">
        <v>283</v>
      </c>
      <c r="S407" t="s">
        <v>21</v>
      </c>
      <c r="T407">
        <v>100</v>
      </c>
      <c r="W407" t="s">
        <v>262</v>
      </c>
    </row>
    <row r="408" spans="1:28" x14ac:dyDescent="0.3">
      <c r="A408" t="s">
        <v>21</v>
      </c>
      <c r="B408" t="s">
        <v>1566</v>
      </c>
      <c r="C408" t="s">
        <v>499</v>
      </c>
      <c r="D408" t="s">
        <v>1567</v>
      </c>
      <c r="M408" t="s">
        <v>411</v>
      </c>
      <c r="N408" t="s">
        <v>259</v>
      </c>
      <c r="P408" t="s">
        <v>260</v>
      </c>
      <c r="Q408" t="s">
        <v>260</v>
      </c>
      <c r="R408" t="s">
        <v>513</v>
      </c>
      <c r="S408" t="s">
        <v>21</v>
      </c>
      <c r="T408">
        <v>100</v>
      </c>
      <c r="W408" t="s">
        <v>262</v>
      </c>
    </row>
    <row r="409" spans="1:28" x14ac:dyDescent="0.3">
      <c r="A409" t="s">
        <v>21</v>
      </c>
      <c r="B409" t="s">
        <v>1568</v>
      </c>
      <c r="C409" t="s">
        <v>499</v>
      </c>
      <c r="D409" t="s">
        <v>1569</v>
      </c>
      <c r="E409" t="s">
        <v>1570</v>
      </c>
      <c r="M409" t="s">
        <v>411</v>
      </c>
      <c r="N409" t="s">
        <v>259</v>
      </c>
      <c r="P409" t="s">
        <v>260</v>
      </c>
      <c r="Q409" t="s">
        <v>260</v>
      </c>
      <c r="R409" t="s">
        <v>261</v>
      </c>
      <c r="S409" t="s">
        <v>21</v>
      </c>
      <c r="T409">
        <v>100</v>
      </c>
      <c r="W409" t="s">
        <v>262</v>
      </c>
    </row>
    <row r="410" spans="1:28" x14ac:dyDescent="0.3">
      <c r="A410" t="s">
        <v>21</v>
      </c>
      <c r="B410" t="s">
        <v>1571</v>
      </c>
      <c r="C410" t="s">
        <v>499</v>
      </c>
      <c r="D410" t="s">
        <v>1572</v>
      </c>
      <c r="M410" t="s">
        <v>411</v>
      </c>
      <c r="N410" t="s">
        <v>259</v>
      </c>
      <c r="P410" t="s">
        <v>260</v>
      </c>
      <c r="Q410" t="s">
        <v>260</v>
      </c>
      <c r="R410" t="s">
        <v>283</v>
      </c>
      <c r="S410" t="s">
        <v>21</v>
      </c>
      <c r="T410">
        <v>100</v>
      </c>
      <c r="W410" t="s">
        <v>262</v>
      </c>
    </row>
    <row r="411" spans="1:28" x14ac:dyDescent="0.3">
      <c r="A411" t="s">
        <v>21</v>
      </c>
      <c r="B411" t="s">
        <v>1573</v>
      </c>
      <c r="C411" t="s">
        <v>499</v>
      </c>
      <c r="D411" t="s">
        <v>1574</v>
      </c>
      <c r="E411">
        <v>13000740</v>
      </c>
      <c r="G411" t="s">
        <v>1575</v>
      </c>
      <c r="M411" t="s">
        <v>411</v>
      </c>
      <c r="N411" t="s">
        <v>259</v>
      </c>
      <c r="P411" t="s">
        <v>260</v>
      </c>
      <c r="Q411" t="s">
        <v>260</v>
      </c>
      <c r="R411" t="s">
        <v>268</v>
      </c>
      <c r="S411" t="s">
        <v>21</v>
      </c>
      <c r="T411">
        <v>100</v>
      </c>
      <c r="W411" t="s">
        <v>262</v>
      </c>
      <c r="AB411" s="9">
        <v>44742</v>
      </c>
    </row>
    <row r="412" spans="1:28" x14ac:dyDescent="0.3">
      <c r="A412" t="s">
        <v>21</v>
      </c>
      <c r="B412" t="s">
        <v>1576</v>
      </c>
      <c r="C412" t="s">
        <v>499</v>
      </c>
      <c r="D412" t="s">
        <v>1577</v>
      </c>
      <c r="E412" t="s">
        <v>1578</v>
      </c>
      <c r="G412" t="s">
        <v>1579</v>
      </c>
      <c r="M412" t="s">
        <v>312</v>
      </c>
      <c r="N412" t="s">
        <v>259</v>
      </c>
      <c r="P412" t="s">
        <v>260</v>
      </c>
      <c r="Q412" t="s">
        <v>260</v>
      </c>
      <c r="R412" t="s">
        <v>268</v>
      </c>
      <c r="S412" t="s">
        <v>21</v>
      </c>
      <c r="T412">
        <v>100</v>
      </c>
      <c r="W412" t="s">
        <v>262</v>
      </c>
    </row>
    <row r="413" spans="1:28" x14ac:dyDescent="0.3">
      <c r="A413" t="s">
        <v>21</v>
      </c>
      <c r="B413" t="s">
        <v>1580</v>
      </c>
      <c r="C413" t="s">
        <v>499</v>
      </c>
      <c r="D413" t="s">
        <v>1581</v>
      </c>
      <c r="E413" t="s">
        <v>1582</v>
      </c>
      <c r="M413" t="s">
        <v>411</v>
      </c>
      <c r="N413" t="s">
        <v>259</v>
      </c>
      <c r="P413" t="s">
        <v>260</v>
      </c>
      <c r="Q413" t="s">
        <v>260</v>
      </c>
      <c r="R413" t="s">
        <v>308</v>
      </c>
      <c r="S413" t="s">
        <v>21</v>
      </c>
      <c r="T413">
        <v>100</v>
      </c>
      <c r="V413" s="9">
        <v>45199</v>
      </c>
      <c r="W413" t="s">
        <v>262</v>
      </c>
    </row>
    <row r="414" spans="1:28" x14ac:dyDescent="0.3">
      <c r="A414" t="s">
        <v>21</v>
      </c>
      <c r="B414" t="s">
        <v>1583</v>
      </c>
      <c r="C414" t="s">
        <v>499</v>
      </c>
      <c r="D414" t="s">
        <v>904</v>
      </c>
      <c r="E414" t="s">
        <v>1584</v>
      </c>
      <c r="M414" t="s">
        <v>411</v>
      </c>
      <c r="N414" t="s">
        <v>259</v>
      </c>
      <c r="P414" t="s">
        <v>260</v>
      </c>
      <c r="Q414" t="s">
        <v>260</v>
      </c>
      <c r="R414" t="s">
        <v>268</v>
      </c>
      <c r="S414" t="s">
        <v>21</v>
      </c>
      <c r="T414">
        <v>100</v>
      </c>
      <c r="W414" t="s">
        <v>262</v>
      </c>
    </row>
    <row r="415" spans="1:28" x14ac:dyDescent="0.3">
      <c r="A415" t="s">
        <v>21</v>
      </c>
      <c r="B415" t="s">
        <v>1585</v>
      </c>
      <c r="C415" t="s">
        <v>1147</v>
      </c>
      <c r="D415" t="s">
        <v>1586</v>
      </c>
      <c r="E415" t="s">
        <v>1587</v>
      </c>
      <c r="M415" t="s">
        <v>411</v>
      </c>
      <c r="N415" t="s">
        <v>259</v>
      </c>
      <c r="P415" t="s">
        <v>260</v>
      </c>
      <c r="Q415" t="s">
        <v>260</v>
      </c>
      <c r="R415" t="s">
        <v>268</v>
      </c>
      <c r="S415" t="s">
        <v>21</v>
      </c>
      <c r="T415">
        <v>100</v>
      </c>
      <c r="W415" t="s">
        <v>262</v>
      </c>
    </row>
    <row r="416" spans="1:28" x14ac:dyDescent="0.3">
      <c r="A416" t="s">
        <v>21</v>
      </c>
      <c r="B416" t="s">
        <v>1588</v>
      </c>
      <c r="C416" t="s">
        <v>270</v>
      </c>
      <c r="D416" t="s">
        <v>1138</v>
      </c>
      <c r="E416" t="s">
        <v>1138</v>
      </c>
      <c r="M416" t="s">
        <v>411</v>
      </c>
      <c r="N416" t="s">
        <v>259</v>
      </c>
      <c r="P416" t="s">
        <v>260</v>
      </c>
      <c r="Q416" t="s">
        <v>260</v>
      </c>
      <c r="R416" t="s">
        <v>308</v>
      </c>
      <c r="S416" t="s">
        <v>21</v>
      </c>
      <c r="T416">
        <v>100</v>
      </c>
      <c r="V416" s="9">
        <v>45199</v>
      </c>
      <c r="W416" t="s">
        <v>262</v>
      </c>
    </row>
    <row r="417" spans="1:23" x14ac:dyDescent="0.3">
      <c r="A417" t="s">
        <v>21</v>
      </c>
      <c r="B417" t="s">
        <v>1589</v>
      </c>
      <c r="C417" t="s">
        <v>499</v>
      </c>
      <c r="D417" t="s">
        <v>1590</v>
      </c>
      <c r="E417" t="s">
        <v>1591</v>
      </c>
      <c r="M417" t="s">
        <v>411</v>
      </c>
      <c r="N417" t="s">
        <v>259</v>
      </c>
      <c r="P417" t="s">
        <v>260</v>
      </c>
      <c r="Q417" t="s">
        <v>260</v>
      </c>
      <c r="R417" t="s">
        <v>313</v>
      </c>
      <c r="S417" t="s">
        <v>21</v>
      </c>
      <c r="T417">
        <v>100</v>
      </c>
      <c r="V417" s="9">
        <v>45107</v>
      </c>
      <c r="W417" t="s">
        <v>262</v>
      </c>
    </row>
    <row r="418" spans="1:23" x14ac:dyDescent="0.3">
      <c r="A418" t="s">
        <v>21</v>
      </c>
      <c r="B418" t="s">
        <v>1592</v>
      </c>
      <c r="C418" t="s">
        <v>499</v>
      </c>
      <c r="D418" t="s">
        <v>1593</v>
      </c>
      <c r="E418" t="s">
        <v>1593</v>
      </c>
      <c r="M418" t="s">
        <v>312</v>
      </c>
      <c r="N418" t="s">
        <v>259</v>
      </c>
      <c r="P418" t="s">
        <v>260</v>
      </c>
      <c r="Q418" t="s">
        <v>260</v>
      </c>
      <c r="R418" t="s">
        <v>283</v>
      </c>
      <c r="S418" t="s">
        <v>21</v>
      </c>
      <c r="T418">
        <v>100</v>
      </c>
      <c r="W418" t="s">
        <v>262</v>
      </c>
    </row>
    <row r="419" spans="1:23" x14ac:dyDescent="0.3">
      <c r="A419" t="s">
        <v>21</v>
      </c>
      <c r="B419" t="s">
        <v>1594</v>
      </c>
      <c r="C419" t="s">
        <v>499</v>
      </c>
      <c r="D419" t="s">
        <v>1595</v>
      </c>
      <c r="E419" t="s">
        <v>1596</v>
      </c>
      <c r="M419" t="s">
        <v>411</v>
      </c>
      <c r="N419" t="s">
        <v>259</v>
      </c>
      <c r="P419" t="s">
        <v>260</v>
      </c>
      <c r="Q419" t="s">
        <v>260</v>
      </c>
      <c r="R419" t="s">
        <v>313</v>
      </c>
      <c r="S419" t="s">
        <v>21</v>
      </c>
      <c r="T419">
        <v>100</v>
      </c>
      <c r="V419" s="9">
        <v>45107</v>
      </c>
      <c r="W419" t="s">
        <v>262</v>
      </c>
    </row>
    <row r="420" spans="1:23" x14ac:dyDescent="0.3">
      <c r="A420" t="s">
        <v>21</v>
      </c>
      <c r="B420" t="s">
        <v>1597</v>
      </c>
      <c r="C420" t="s">
        <v>499</v>
      </c>
      <c r="D420" t="s">
        <v>1538</v>
      </c>
      <c r="E420" t="s">
        <v>1598</v>
      </c>
      <c r="M420" t="s">
        <v>411</v>
      </c>
      <c r="N420" t="s">
        <v>259</v>
      </c>
      <c r="P420" t="s">
        <v>260</v>
      </c>
      <c r="Q420" t="s">
        <v>260</v>
      </c>
      <c r="R420" t="s">
        <v>283</v>
      </c>
      <c r="S420" t="s">
        <v>21</v>
      </c>
      <c r="T420">
        <v>100</v>
      </c>
      <c r="W420" t="s">
        <v>262</v>
      </c>
    </row>
    <row r="421" spans="1:23" x14ac:dyDescent="0.3">
      <c r="A421" t="s">
        <v>21</v>
      </c>
      <c r="B421" t="s">
        <v>1599</v>
      </c>
      <c r="C421" t="s">
        <v>499</v>
      </c>
      <c r="D421" t="s">
        <v>1600</v>
      </c>
      <c r="E421" t="s">
        <v>1600</v>
      </c>
      <c r="M421" t="s">
        <v>411</v>
      </c>
      <c r="N421" t="s">
        <v>259</v>
      </c>
      <c r="P421" t="s">
        <v>260</v>
      </c>
      <c r="Q421" t="s">
        <v>260</v>
      </c>
      <c r="R421" t="s">
        <v>308</v>
      </c>
      <c r="S421" t="s">
        <v>21</v>
      </c>
      <c r="T421">
        <v>100</v>
      </c>
      <c r="V421" s="9">
        <v>45199</v>
      </c>
      <c r="W421" t="s">
        <v>262</v>
      </c>
    </row>
    <row r="422" spans="1:23" x14ac:dyDescent="0.3">
      <c r="A422" t="s">
        <v>21</v>
      </c>
      <c r="B422" t="s">
        <v>1601</v>
      </c>
      <c r="C422" t="s">
        <v>499</v>
      </c>
      <c r="D422" t="s">
        <v>1602</v>
      </c>
      <c r="E422" t="s">
        <v>1603</v>
      </c>
      <c r="M422" t="s">
        <v>411</v>
      </c>
      <c r="N422" t="s">
        <v>259</v>
      </c>
      <c r="P422" t="s">
        <v>260</v>
      </c>
      <c r="Q422" t="s">
        <v>260</v>
      </c>
      <c r="R422" t="s">
        <v>283</v>
      </c>
      <c r="S422" t="s">
        <v>21</v>
      </c>
      <c r="T422">
        <v>100</v>
      </c>
      <c r="W422" t="s">
        <v>262</v>
      </c>
    </row>
    <row r="423" spans="1:23" x14ac:dyDescent="0.3">
      <c r="A423" t="s">
        <v>21</v>
      </c>
      <c r="B423" t="s">
        <v>1604</v>
      </c>
      <c r="C423" t="s">
        <v>499</v>
      </c>
      <c r="D423" t="s">
        <v>1605</v>
      </c>
      <c r="E423" t="s">
        <v>1606</v>
      </c>
      <c r="M423" t="s">
        <v>411</v>
      </c>
      <c r="N423" t="s">
        <v>259</v>
      </c>
      <c r="P423" t="s">
        <v>260</v>
      </c>
      <c r="Q423" t="s">
        <v>260</v>
      </c>
      <c r="R423" t="s">
        <v>308</v>
      </c>
      <c r="S423" t="s">
        <v>21</v>
      </c>
      <c r="T423">
        <v>100</v>
      </c>
      <c r="V423" s="9">
        <v>45199</v>
      </c>
      <c r="W423" t="s">
        <v>262</v>
      </c>
    </row>
    <row r="424" spans="1:23" x14ac:dyDescent="0.3">
      <c r="A424" t="s">
        <v>21</v>
      </c>
      <c r="B424" t="s">
        <v>1607</v>
      </c>
      <c r="C424" t="s">
        <v>499</v>
      </c>
      <c r="D424" t="s">
        <v>1608</v>
      </c>
      <c r="E424" t="s">
        <v>1609</v>
      </c>
      <c r="M424" t="s">
        <v>411</v>
      </c>
      <c r="N424" t="s">
        <v>259</v>
      </c>
      <c r="P424" t="s">
        <v>260</v>
      </c>
      <c r="Q424" t="s">
        <v>260</v>
      </c>
      <c r="R424" t="s">
        <v>283</v>
      </c>
      <c r="S424" t="s">
        <v>21</v>
      </c>
      <c r="T424">
        <v>100</v>
      </c>
      <c r="W424" t="s">
        <v>262</v>
      </c>
    </row>
    <row r="425" spans="1:23" x14ac:dyDescent="0.3">
      <c r="A425" t="s">
        <v>21</v>
      </c>
      <c r="B425" t="s">
        <v>1610</v>
      </c>
      <c r="C425" t="s">
        <v>499</v>
      </c>
      <c r="D425" t="s">
        <v>1611</v>
      </c>
      <c r="E425" t="s">
        <v>1612</v>
      </c>
      <c r="M425" t="s">
        <v>411</v>
      </c>
      <c r="N425" t="s">
        <v>259</v>
      </c>
      <c r="P425" t="s">
        <v>260</v>
      </c>
      <c r="Q425" t="s">
        <v>260</v>
      </c>
      <c r="R425" t="s">
        <v>308</v>
      </c>
      <c r="S425" t="s">
        <v>21</v>
      </c>
      <c r="T425">
        <v>100</v>
      </c>
      <c r="V425" s="9">
        <v>45199</v>
      </c>
      <c r="W425" t="s">
        <v>262</v>
      </c>
    </row>
    <row r="426" spans="1:23" x14ac:dyDescent="0.3">
      <c r="A426" t="s">
        <v>21</v>
      </c>
      <c r="B426" t="s">
        <v>1613</v>
      </c>
      <c r="C426" t="s">
        <v>499</v>
      </c>
      <c r="D426" t="s">
        <v>1614</v>
      </c>
      <c r="E426" t="s">
        <v>1615</v>
      </c>
      <c r="M426" t="s">
        <v>312</v>
      </c>
      <c r="N426" t="s">
        <v>259</v>
      </c>
      <c r="P426" t="s">
        <v>260</v>
      </c>
      <c r="Q426" t="s">
        <v>260</v>
      </c>
      <c r="R426" t="s">
        <v>293</v>
      </c>
      <c r="S426" t="s">
        <v>21</v>
      </c>
      <c r="T426">
        <v>100</v>
      </c>
      <c r="W426" t="s">
        <v>262</v>
      </c>
    </row>
    <row r="427" spans="1:23" x14ac:dyDescent="0.3">
      <c r="A427" t="s">
        <v>21</v>
      </c>
      <c r="B427" t="s">
        <v>1616</v>
      </c>
      <c r="C427" t="s">
        <v>499</v>
      </c>
      <c r="D427" t="s">
        <v>1614</v>
      </c>
      <c r="E427" t="s">
        <v>1617</v>
      </c>
      <c r="M427" t="s">
        <v>411</v>
      </c>
      <c r="N427" t="s">
        <v>259</v>
      </c>
      <c r="P427" t="s">
        <v>260</v>
      </c>
      <c r="Q427" t="s">
        <v>260</v>
      </c>
      <c r="R427" t="s">
        <v>293</v>
      </c>
      <c r="S427" t="s">
        <v>21</v>
      </c>
      <c r="T427">
        <v>100</v>
      </c>
      <c r="W427" t="s">
        <v>262</v>
      </c>
    </row>
    <row r="428" spans="1:23" x14ac:dyDescent="0.3">
      <c r="A428" t="s">
        <v>21</v>
      </c>
      <c r="B428" t="s">
        <v>1618</v>
      </c>
      <c r="C428" t="s">
        <v>499</v>
      </c>
      <c r="D428" t="s">
        <v>1619</v>
      </c>
      <c r="E428" t="s">
        <v>1619</v>
      </c>
      <c r="M428" t="s">
        <v>312</v>
      </c>
      <c r="N428" t="s">
        <v>259</v>
      </c>
      <c r="P428" t="s">
        <v>260</v>
      </c>
      <c r="Q428" t="s">
        <v>260</v>
      </c>
      <c r="R428" t="s">
        <v>308</v>
      </c>
      <c r="S428" t="s">
        <v>21</v>
      </c>
      <c r="T428">
        <v>100</v>
      </c>
      <c r="V428" s="9">
        <v>45199</v>
      </c>
      <c r="W428" t="s">
        <v>262</v>
      </c>
    </row>
    <row r="429" spans="1:23" x14ac:dyDescent="0.3">
      <c r="A429" t="s">
        <v>21</v>
      </c>
      <c r="B429" t="s">
        <v>1620</v>
      </c>
      <c r="C429" t="s">
        <v>499</v>
      </c>
      <c r="D429" t="s">
        <v>388</v>
      </c>
      <c r="E429" t="s">
        <v>1621</v>
      </c>
      <c r="M429" t="s">
        <v>1001</v>
      </c>
      <c r="N429" t="s">
        <v>259</v>
      </c>
      <c r="P429" t="s">
        <v>260</v>
      </c>
      <c r="Q429" t="s">
        <v>260</v>
      </c>
      <c r="R429" t="s">
        <v>261</v>
      </c>
      <c r="S429" t="s">
        <v>21</v>
      </c>
      <c r="T429">
        <v>100</v>
      </c>
      <c r="W429" t="s">
        <v>262</v>
      </c>
    </row>
    <row r="430" spans="1:23" x14ac:dyDescent="0.3">
      <c r="A430" t="s">
        <v>21</v>
      </c>
      <c r="B430" t="s">
        <v>1622</v>
      </c>
      <c r="C430" t="s">
        <v>1147</v>
      </c>
      <c r="D430" t="s">
        <v>1623</v>
      </c>
      <c r="E430" t="s">
        <v>1624</v>
      </c>
      <c r="M430" t="s">
        <v>411</v>
      </c>
      <c r="N430" t="s">
        <v>259</v>
      </c>
      <c r="P430" t="s">
        <v>260</v>
      </c>
      <c r="Q430" t="s">
        <v>260</v>
      </c>
      <c r="R430" t="s">
        <v>1625</v>
      </c>
      <c r="S430" t="s">
        <v>21</v>
      </c>
      <c r="T430">
        <v>100</v>
      </c>
      <c r="W430" t="s">
        <v>262</v>
      </c>
    </row>
    <row r="431" spans="1:23" x14ac:dyDescent="0.3">
      <c r="A431" t="s">
        <v>21</v>
      </c>
      <c r="B431" t="s">
        <v>1626</v>
      </c>
      <c r="C431" t="s">
        <v>499</v>
      </c>
      <c r="D431" t="s">
        <v>1627</v>
      </c>
      <c r="E431" t="s">
        <v>1628</v>
      </c>
      <c r="M431" t="s">
        <v>411</v>
      </c>
      <c r="N431" t="s">
        <v>259</v>
      </c>
      <c r="P431" t="s">
        <v>260</v>
      </c>
      <c r="Q431" t="s">
        <v>260</v>
      </c>
      <c r="R431" t="s">
        <v>283</v>
      </c>
      <c r="S431" t="s">
        <v>21</v>
      </c>
      <c r="T431">
        <v>100</v>
      </c>
      <c r="W431" t="s">
        <v>262</v>
      </c>
    </row>
    <row r="432" spans="1:23" x14ac:dyDescent="0.3">
      <c r="A432" t="s">
        <v>21</v>
      </c>
      <c r="B432" t="s">
        <v>1629</v>
      </c>
      <c r="C432" t="s">
        <v>499</v>
      </c>
      <c r="D432" t="s">
        <v>1630</v>
      </c>
      <c r="E432" t="s">
        <v>1631</v>
      </c>
      <c r="M432" t="s">
        <v>312</v>
      </c>
      <c r="N432" t="s">
        <v>259</v>
      </c>
      <c r="P432" t="s">
        <v>260</v>
      </c>
      <c r="Q432" t="s">
        <v>260</v>
      </c>
      <c r="R432" t="s">
        <v>308</v>
      </c>
      <c r="S432" t="s">
        <v>21</v>
      </c>
      <c r="T432">
        <v>100</v>
      </c>
      <c r="V432" s="9">
        <v>45199</v>
      </c>
      <c r="W432" t="s">
        <v>262</v>
      </c>
    </row>
    <row r="433" spans="1:23" x14ac:dyDescent="0.3">
      <c r="A433" t="s">
        <v>21</v>
      </c>
      <c r="B433" t="s">
        <v>1632</v>
      </c>
      <c r="C433" t="s">
        <v>499</v>
      </c>
      <c r="D433" t="s">
        <v>919</v>
      </c>
      <c r="E433" t="s">
        <v>1633</v>
      </c>
      <c r="M433" t="s">
        <v>312</v>
      </c>
      <c r="N433" t="s">
        <v>259</v>
      </c>
      <c r="P433" t="s">
        <v>260</v>
      </c>
      <c r="Q433" t="s">
        <v>260</v>
      </c>
      <c r="R433" t="s">
        <v>157</v>
      </c>
      <c r="S433" t="s">
        <v>21</v>
      </c>
      <c r="T433">
        <v>100</v>
      </c>
      <c r="W433" t="s">
        <v>262</v>
      </c>
    </row>
    <row r="434" spans="1:23" x14ac:dyDescent="0.3">
      <c r="A434" t="s">
        <v>21</v>
      </c>
      <c r="B434" t="s">
        <v>1634</v>
      </c>
      <c r="C434" t="s">
        <v>499</v>
      </c>
      <c r="D434" t="s">
        <v>921</v>
      </c>
      <c r="E434" t="s">
        <v>1635</v>
      </c>
      <c r="M434" t="s">
        <v>411</v>
      </c>
      <c r="N434" t="s">
        <v>259</v>
      </c>
      <c r="P434" t="s">
        <v>260</v>
      </c>
      <c r="Q434" t="s">
        <v>260</v>
      </c>
      <c r="R434" t="s">
        <v>283</v>
      </c>
      <c r="S434" t="s">
        <v>21</v>
      </c>
      <c r="T434">
        <v>100</v>
      </c>
      <c r="W434" t="s">
        <v>262</v>
      </c>
    </row>
    <row r="435" spans="1:23" x14ac:dyDescent="0.3">
      <c r="A435" t="s">
        <v>21</v>
      </c>
      <c r="B435" t="s">
        <v>1636</v>
      </c>
      <c r="C435" t="s">
        <v>499</v>
      </c>
      <c r="D435" t="s">
        <v>1637</v>
      </c>
      <c r="E435" t="s">
        <v>1638</v>
      </c>
      <c r="M435" t="s">
        <v>411</v>
      </c>
      <c r="N435" t="s">
        <v>259</v>
      </c>
      <c r="P435" t="s">
        <v>260</v>
      </c>
      <c r="Q435" t="s">
        <v>260</v>
      </c>
      <c r="R435" t="s">
        <v>283</v>
      </c>
      <c r="S435" t="s">
        <v>21</v>
      </c>
      <c r="T435">
        <v>100</v>
      </c>
      <c r="W435" t="s">
        <v>262</v>
      </c>
    </row>
    <row r="436" spans="1:23" x14ac:dyDescent="0.3">
      <c r="A436" t="s">
        <v>21</v>
      </c>
      <c r="B436" t="s">
        <v>1639</v>
      </c>
      <c r="C436" t="s">
        <v>499</v>
      </c>
      <c r="D436" t="s">
        <v>1640</v>
      </c>
      <c r="E436" t="s">
        <v>1641</v>
      </c>
      <c r="M436" t="s">
        <v>302</v>
      </c>
      <c r="N436" t="s">
        <v>259</v>
      </c>
      <c r="P436" t="s">
        <v>260</v>
      </c>
      <c r="Q436" t="s">
        <v>260</v>
      </c>
      <c r="R436" t="s">
        <v>283</v>
      </c>
      <c r="S436" t="s">
        <v>21</v>
      </c>
      <c r="T436">
        <v>100</v>
      </c>
      <c r="W436" t="s">
        <v>262</v>
      </c>
    </row>
    <row r="437" spans="1:23" x14ac:dyDescent="0.3">
      <c r="A437" t="s">
        <v>21</v>
      </c>
      <c r="B437" t="s">
        <v>1642</v>
      </c>
      <c r="C437" t="s">
        <v>499</v>
      </c>
      <c r="D437" t="s">
        <v>1643</v>
      </c>
      <c r="E437" t="s">
        <v>1644</v>
      </c>
      <c r="M437" t="s">
        <v>312</v>
      </c>
      <c r="N437" t="s">
        <v>259</v>
      </c>
      <c r="P437" t="s">
        <v>260</v>
      </c>
      <c r="Q437" t="s">
        <v>260</v>
      </c>
      <c r="R437" t="s">
        <v>283</v>
      </c>
      <c r="S437" t="s">
        <v>21</v>
      </c>
      <c r="T437">
        <v>100</v>
      </c>
      <c r="W437" t="s">
        <v>262</v>
      </c>
    </row>
    <row r="438" spans="1:23" x14ac:dyDescent="0.3">
      <c r="A438" t="s">
        <v>21</v>
      </c>
      <c r="B438" t="s">
        <v>1645</v>
      </c>
      <c r="C438" t="s">
        <v>499</v>
      </c>
      <c r="D438" t="s">
        <v>1646</v>
      </c>
      <c r="E438" t="s">
        <v>1647</v>
      </c>
      <c r="M438" t="s">
        <v>411</v>
      </c>
      <c r="N438" t="s">
        <v>259</v>
      </c>
      <c r="P438" t="s">
        <v>260</v>
      </c>
      <c r="Q438" t="s">
        <v>260</v>
      </c>
      <c r="R438" t="s">
        <v>283</v>
      </c>
      <c r="S438" t="s">
        <v>21</v>
      </c>
      <c r="T438">
        <v>100</v>
      </c>
      <c r="W438" t="s">
        <v>262</v>
      </c>
    </row>
    <row r="439" spans="1:23" x14ac:dyDescent="0.3">
      <c r="A439" t="s">
        <v>21</v>
      </c>
      <c r="B439" t="s">
        <v>1648</v>
      </c>
      <c r="C439" t="s">
        <v>499</v>
      </c>
      <c r="D439" t="s">
        <v>1649</v>
      </c>
      <c r="E439" t="s">
        <v>1650</v>
      </c>
      <c r="M439" t="s">
        <v>411</v>
      </c>
      <c r="N439" t="s">
        <v>259</v>
      </c>
      <c r="P439" t="s">
        <v>260</v>
      </c>
      <c r="Q439" t="s">
        <v>260</v>
      </c>
      <c r="R439" t="s">
        <v>283</v>
      </c>
      <c r="S439" t="s">
        <v>21</v>
      </c>
      <c r="T439">
        <v>100</v>
      </c>
      <c r="W439" t="s">
        <v>262</v>
      </c>
    </row>
    <row r="440" spans="1:23" x14ac:dyDescent="0.3">
      <c r="A440" t="s">
        <v>21</v>
      </c>
      <c r="B440" t="s">
        <v>1651</v>
      </c>
      <c r="C440" t="s">
        <v>499</v>
      </c>
      <c r="D440" t="s">
        <v>1652</v>
      </c>
      <c r="E440" t="s">
        <v>1653</v>
      </c>
      <c r="M440" t="s">
        <v>411</v>
      </c>
      <c r="N440" t="s">
        <v>259</v>
      </c>
      <c r="P440" t="s">
        <v>260</v>
      </c>
      <c r="Q440" t="s">
        <v>260</v>
      </c>
      <c r="R440" t="s">
        <v>283</v>
      </c>
      <c r="S440" t="s">
        <v>21</v>
      </c>
      <c r="T440">
        <v>100</v>
      </c>
      <c r="W440" t="s">
        <v>262</v>
      </c>
    </row>
    <row r="441" spans="1:23" x14ac:dyDescent="0.3">
      <c r="A441" t="s">
        <v>21</v>
      </c>
      <c r="B441" t="s">
        <v>1654</v>
      </c>
      <c r="C441" t="s">
        <v>499</v>
      </c>
      <c r="D441" t="s">
        <v>1655</v>
      </c>
      <c r="E441" t="s">
        <v>1656</v>
      </c>
      <c r="M441" t="s">
        <v>411</v>
      </c>
      <c r="N441" t="s">
        <v>259</v>
      </c>
      <c r="P441" t="s">
        <v>260</v>
      </c>
      <c r="Q441" t="s">
        <v>260</v>
      </c>
      <c r="R441" t="s">
        <v>283</v>
      </c>
      <c r="S441" t="s">
        <v>21</v>
      </c>
      <c r="T441">
        <v>100</v>
      </c>
      <c r="W441" t="s">
        <v>262</v>
      </c>
    </row>
    <row r="442" spans="1:23" x14ac:dyDescent="0.3">
      <c r="A442" t="s">
        <v>21</v>
      </c>
      <c r="B442" t="s">
        <v>1657</v>
      </c>
      <c r="C442" t="s">
        <v>499</v>
      </c>
      <c r="D442" t="s">
        <v>1658</v>
      </c>
      <c r="E442" t="s">
        <v>1659</v>
      </c>
      <c r="M442" t="s">
        <v>302</v>
      </c>
      <c r="N442" t="s">
        <v>259</v>
      </c>
      <c r="P442" t="s">
        <v>260</v>
      </c>
      <c r="Q442" t="s">
        <v>260</v>
      </c>
      <c r="R442" t="s">
        <v>293</v>
      </c>
      <c r="S442" t="s">
        <v>21</v>
      </c>
      <c r="T442">
        <v>100</v>
      </c>
      <c r="W442" t="s">
        <v>262</v>
      </c>
    </row>
    <row r="443" spans="1:23" x14ac:dyDescent="0.3">
      <c r="A443" t="s">
        <v>21</v>
      </c>
      <c r="B443" t="s">
        <v>1660</v>
      </c>
      <c r="C443" t="s">
        <v>499</v>
      </c>
      <c r="D443" t="s">
        <v>1661</v>
      </c>
      <c r="E443" t="s">
        <v>1662</v>
      </c>
      <c r="M443" t="s">
        <v>411</v>
      </c>
      <c r="N443" t="s">
        <v>259</v>
      </c>
      <c r="P443" t="s">
        <v>260</v>
      </c>
      <c r="Q443" t="s">
        <v>260</v>
      </c>
      <c r="R443" t="s">
        <v>268</v>
      </c>
      <c r="S443" t="s">
        <v>21</v>
      </c>
      <c r="T443">
        <v>100</v>
      </c>
      <c r="W443" t="s">
        <v>262</v>
      </c>
    </row>
    <row r="444" spans="1:23" x14ac:dyDescent="0.3">
      <c r="A444" t="s">
        <v>21</v>
      </c>
      <c r="B444" t="s">
        <v>1663</v>
      </c>
      <c r="C444" t="s">
        <v>499</v>
      </c>
      <c r="D444" t="s">
        <v>1664</v>
      </c>
      <c r="E444" t="s">
        <v>1665</v>
      </c>
      <c r="M444" t="s">
        <v>302</v>
      </c>
      <c r="N444" t="s">
        <v>259</v>
      </c>
      <c r="P444" t="s">
        <v>260</v>
      </c>
      <c r="Q444" t="s">
        <v>260</v>
      </c>
      <c r="R444" t="s">
        <v>283</v>
      </c>
      <c r="S444" t="s">
        <v>21</v>
      </c>
      <c r="T444">
        <v>100</v>
      </c>
      <c r="W444" t="s">
        <v>262</v>
      </c>
    </row>
    <row r="445" spans="1:23" x14ac:dyDescent="0.3">
      <c r="A445" t="s">
        <v>21</v>
      </c>
      <c r="B445" t="s">
        <v>1666</v>
      </c>
      <c r="C445" t="s">
        <v>499</v>
      </c>
      <c r="D445" t="s">
        <v>1667</v>
      </c>
      <c r="E445" t="s">
        <v>1668</v>
      </c>
      <c r="M445" t="s">
        <v>302</v>
      </c>
      <c r="N445" t="s">
        <v>259</v>
      </c>
      <c r="P445" t="s">
        <v>260</v>
      </c>
      <c r="Q445" t="s">
        <v>260</v>
      </c>
      <c r="R445" t="s">
        <v>283</v>
      </c>
      <c r="S445" t="s">
        <v>21</v>
      </c>
      <c r="T445">
        <v>100</v>
      </c>
      <c r="W445" t="s">
        <v>262</v>
      </c>
    </row>
    <row r="446" spans="1:23" x14ac:dyDescent="0.3">
      <c r="A446" t="s">
        <v>21</v>
      </c>
      <c r="B446" t="s">
        <v>1669</v>
      </c>
      <c r="C446" t="s">
        <v>499</v>
      </c>
      <c r="D446" t="s">
        <v>1649</v>
      </c>
      <c r="E446" t="s">
        <v>1670</v>
      </c>
      <c r="M446" t="s">
        <v>302</v>
      </c>
      <c r="N446" t="s">
        <v>259</v>
      </c>
      <c r="P446" t="s">
        <v>260</v>
      </c>
      <c r="Q446" t="s">
        <v>260</v>
      </c>
      <c r="R446" t="s">
        <v>283</v>
      </c>
      <c r="S446" t="s">
        <v>21</v>
      </c>
      <c r="T446">
        <v>100</v>
      </c>
      <c r="W446" t="s">
        <v>262</v>
      </c>
    </row>
    <row r="447" spans="1:23" x14ac:dyDescent="0.3">
      <c r="A447" t="s">
        <v>21</v>
      </c>
      <c r="B447" t="s">
        <v>1671</v>
      </c>
      <c r="C447" t="s">
        <v>499</v>
      </c>
      <c r="D447" t="s">
        <v>1672</v>
      </c>
      <c r="E447" t="s">
        <v>1673</v>
      </c>
      <c r="M447" t="s">
        <v>297</v>
      </c>
      <c r="N447" t="s">
        <v>276</v>
      </c>
      <c r="P447" t="s">
        <v>260</v>
      </c>
      <c r="Q447" t="s">
        <v>260</v>
      </c>
      <c r="R447" t="s">
        <v>293</v>
      </c>
      <c r="S447" t="s">
        <v>21</v>
      </c>
      <c r="T447">
        <v>100</v>
      </c>
      <c r="W447" t="s">
        <v>262</v>
      </c>
    </row>
    <row r="448" spans="1:23" x14ac:dyDescent="0.3">
      <c r="A448" t="s">
        <v>21</v>
      </c>
      <c r="B448" t="s">
        <v>1674</v>
      </c>
      <c r="C448" t="s">
        <v>499</v>
      </c>
      <c r="D448" t="s">
        <v>1675</v>
      </c>
      <c r="E448" t="s">
        <v>1676</v>
      </c>
      <c r="M448" t="s">
        <v>297</v>
      </c>
      <c r="N448" t="s">
        <v>276</v>
      </c>
      <c r="P448" t="s">
        <v>260</v>
      </c>
      <c r="Q448" t="s">
        <v>260</v>
      </c>
      <c r="R448" t="s">
        <v>268</v>
      </c>
      <c r="S448" t="s">
        <v>21</v>
      </c>
      <c r="T448">
        <v>100</v>
      </c>
      <c r="W448" t="s">
        <v>262</v>
      </c>
    </row>
    <row r="449" spans="1:23" x14ac:dyDescent="0.3">
      <c r="A449" t="s">
        <v>21</v>
      </c>
      <c r="B449" t="s">
        <v>1677</v>
      </c>
      <c r="C449" t="s">
        <v>499</v>
      </c>
      <c r="D449" t="s">
        <v>1678</v>
      </c>
      <c r="E449" t="s">
        <v>1678</v>
      </c>
      <c r="M449" t="s">
        <v>394</v>
      </c>
      <c r="N449" t="s">
        <v>276</v>
      </c>
      <c r="P449" t="s">
        <v>260</v>
      </c>
      <c r="Q449" t="s">
        <v>260</v>
      </c>
      <c r="R449" t="s">
        <v>293</v>
      </c>
      <c r="S449" t="s">
        <v>21</v>
      </c>
      <c r="T449">
        <v>100</v>
      </c>
      <c r="W449" t="s">
        <v>262</v>
      </c>
    </row>
    <row r="450" spans="1:23" x14ac:dyDescent="0.3">
      <c r="A450" t="s">
        <v>21</v>
      </c>
      <c r="B450" t="s">
        <v>1679</v>
      </c>
      <c r="C450" t="s">
        <v>499</v>
      </c>
      <c r="D450" t="s">
        <v>1037</v>
      </c>
      <c r="E450" t="s">
        <v>1680</v>
      </c>
      <c r="M450" t="s">
        <v>394</v>
      </c>
      <c r="N450" t="s">
        <v>276</v>
      </c>
      <c r="P450" t="s">
        <v>260</v>
      </c>
      <c r="Q450" t="s">
        <v>260</v>
      </c>
      <c r="R450" t="s">
        <v>261</v>
      </c>
      <c r="S450" t="s">
        <v>21</v>
      </c>
      <c r="T450">
        <v>100</v>
      </c>
      <c r="U450" t="s">
        <v>354</v>
      </c>
      <c r="W450" t="s">
        <v>262</v>
      </c>
    </row>
    <row r="451" spans="1:23" x14ac:dyDescent="0.3">
      <c r="A451" t="s">
        <v>21</v>
      </c>
      <c r="B451" t="s">
        <v>1681</v>
      </c>
      <c r="C451" t="s">
        <v>499</v>
      </c>
      <c r="D451" t="s">
        <v>1682</v>
      </c>
      <c r="E451" t="s">
        <v>1683</v>
      </c>
      <c r="M451" t="s">
        <v>297</v>
      </c>
      <c r="N451" t="s">
        <v>276</v>
      </c>
      <c r="P451" t="s">
        <v>260</v>
      </c>
      <c r="Q451" t="s">
        <v>260</v>
      </c>
      <c r="R451" t="s">
        <v>283</v>
      </c>
      <c r="S451" t="s">
        <v>21</v>
      </c>
      <c r="T451">
        <v>100</v>
      </c>
      <c r="W451" t="s">
        <v>262</v>
      </c>
    </row>
    <row r="452" spans="1:23" x14ac:dyDescent="0.3">
      <c r="A452" t="s">
        <v>21</v>
      </c>
      <c r="B452" t="s">
        <v>1684</v>
      </c>
      <c r="C452" t="s">
        <v>299</v>
      </c>
      <c r="D452" t="s">
        <v>296</v>
      </c>
      <c r="E452" t="s">
        <v>1685</v>
      </c>
      <c r="M452" t="s">
        <v>394</v>
      </c>
      <c r="N452" t="s">
        <v>276</v>
      </c>
      <c r="P452" t="s">
        <v>260</v>
      </c>
      <c r="Q452" t="s">
        <v>260</v>
      </c>
      <c r="R452" t="s">
        <v>293</v>
      </c>
      <c r="S452" t="s">
        <v>21</v>
      </c>
      <c r="T452">
        <v>100</v>
      </c>
      <c r="W452" t="s">
        <v>262</v>
      </c>
    </row>
    <row r="453" spans="1:23" x14ac:dyDescent="0.3">
      <c r="A453" t="s">
        <v>21</v>
      </c>
      <c r="B453" t="s">
        <v>1686</v>
      </c>
      <c r="C453" t="s">
        <v>1687</v>
      </c>
      <c r="D453" t="s">
        <v>1688</v>
      </c>
      <c r="E453" t="s">
        <v>1689</v>
      </c>
      <c r="M453" t="s">
        <v>394</v>
      </c>
      <c r="N453" t="s">
        <v>276</v>
      </c>
      <c r="P453" t="s">
        <v>260</v>
      </c>
      <c r="Q453" t="s">
        <v>260</v>
      </c>
      <c r="R453" t="s">
        <v>261</v>
      </c>
      <c r="S453" t="s">
        <v>21</v>
      </c>
      <c r="T453">
        <v>100</v>
      </c>
      <c r="W453" t="s">
        <v>262</v>
      </c>
    </row>
    <row r="454" spans="1:23" x14ac:dyDescent="0.3">
      <c r="A454" t="s">
        <v>21</v>
      </c>
      <c r="B454" t="s">
        <v>1690</v>
      </c>
      <c r="C454" t="s">
        <v>499</v>
      </c>
      <c r="D454" t="s">
        <v>1691</v>
      </c>
      <c r="E454" t="s">
        <v>1692</v>
      </c>
      <c r="M454" t="s">
        <v>394</v>
      </c>
      <c r="N454" t="s">
        <v>276</v>
      </c>
      <c r="P454" t="s">
        <v>260</v>
      </c>
      <c r="Q454" t="s">
        <v>260</v>
      </c>
      <c r="R454" t="s">
        <v>283</v>
      </c>
      <c r="S454" t="s">
        <v>21</v>
      </c>
      <c r="T454">
        <v>100</v>
      </c>
      <c r="W454" t="s">
        <v>262</v>
      </c>
    </row>
    <row r="455" spans="1:23" x14ac:dyDescent="0.3">
      <c r="A455" t="s">
        <v>21</v>
      </c>
      <c r="B455" t="s">
        <v>1693</v>
      </c>
      <c r="C455" t="s">
        <v>499</v>
      </c>
      <c r="D455" t="s">
        <v>1694</v>
      </c>
      <c r="E455" t="s">
        <v>1695</v>
      </c>
      <c r="M455" t="s">
        <v>394</v>
      </c>
      <c r="N455" t="s">
        <v>276</v>
      </c>
      <c r="P455" t="s">
        <v>260</v>
      </c>
      <c r="Q455" t="s">
        <v>260</v>
      </c>
      <c r="R455" t="s">
        <v>261</v>
      </c>
      <c r="S455" t="s">
        <v>21</v>
      </c>
      <c r="T455">
        <v>100</v>
      </c>
      <c r="W455" t="s">
        <v>262</v>
      </c>
    </row>
    <row r="456" spans="1:23" x14ac:dyDescent="0.3">
      <c r="A456" t="s">
        <v>21</v>
      </c>
      <c r="B456" t="s">
        <v>1696</v>
      </c>
      <c r="C456" t="s">
        <v>499</v>
      </c>
      <c r="D456" t="s">
        <v>1697</v>
      </c>
      <c r="E456" t="s">
        <v>1698</v>
      </c>
      <c r="M456" t="s">
        <v>394</v>
      </c>
      <c r="N456" t="s">
        <v>276</v>
      </c>
      <c r="P456" t="s">
        <v>260</v>
      </c>
      <c r="Q456" t="s">
        <v>260</v>
      </c>
      <c r="R456" t="s">
        <v>261</v>
      </c>
      <c r="S456" t="s">
        <v>21</v>
      </c>
      <c r="T456">
        <v>100</v>
      </c>
      <c r="W456" t="s">
        <v>262</v>
      </c>
    </row>
    <row r="457" spans="1:23" x14ac:dyDescent="0.3">
      <c r="A457" t="s">
        <v>21</v>
      </c>
      <c r="B457" t="s">
        <v>1699</v>
      </c>
      <c r="C457" t="s">
        <v>499</v>
      </c>
      <c r="D457" t="s">
        <v>1700</v>
      </c>
      <c r="E457" t="s">
        <v>1701</v>
      </c>
      <c r="M457" t="s">
        <v>394</v>
      </c>
      <c r="N457" t="s">
        <v>276</v>
      </c>
      <c r="P457" t="s">
        <v>260</v>
      </c>
      <c r="Q457" t="s">
        <v>260</v>
      </c>
      <c r="R457" t="s">
        <v>268</v>
      </c>
      <c r="S457" t="s">
        <v>21</v>
      </c>
      <c r="T457">
        <v>100</v>
      </c>
      <c r="W457" t="s">
        <v>262</v>
      </c>
    </row>
    <row r="458" spans="1:23" x14ac:dyDescent="0.3">
      <c r="A458" t="s">
        <v>21</v>
      </c>
      <c r="B458" t="s">
        <v>1702</v>
      </c>
      <c r="C458" t="s">
        <v>499</v>
      </c>
      <c r="D458" t="s">
        <v>1703</v>
      </c>
      <c r="E458" t="s">
        <v>1704</v>
      </c>
      <c r="M458" t="s">
        <v>394</v>
      </c>
      <c r="N458" t="s">
        <v>276</v>
      </c>
      <c r="P458" t="s">
        <v>260</v>
      </c>
      <c r="Q458" t="s">
        <v>260</v>
      </c>
      <c r="R458" t="s">
        <v>268</v>
      </c>
      <c r="S458" t="s">
        <v>21</v>
      </c>
      <c r="T458">
        <v>100</v>
      </c>
      <c r="W458" t="s">
        <v>262</v>
      </c>
    </row>
    <row r="459" spans="1:23" x14ac:dyDescent="0.3">
      <c r="A459" t="s">
        <v>21</v>
      </c>
      <c r="B459" t="s">
        <v>1705</v>
      </c>
      <c r="C459" t="s">
        <v>499</v>
      </c>
      <c r="D459" t="s">
        <v>1706</v>
      </c>
      <c r="E459" t="s">
        <v>1707</v>
      </c>
      <c r="M459" t="s">
        <v>394</v>
      </c>
      <c r="N459" t="s">
        <v>276</v>
      </c>
      <c r="P459" t="s">
        <v>260</v>
      </c>
      <c r="Q459" t="s">
        <v>260</v>
      </c>
      <c r="R459" t="s">
        <v>268</v>
      </c>
      <c r="S459" t="s">
        <v>21</v>
      </c>
      <c r="T459">
        <v>100</v>
      </c>
      <c r="W459" t="s">
        <v>262</v>
      </c>
    </row>
    <row r="460" spans="1:23" x14ac:dyDescent="0.3">
      <c r="A460" t="s">
        <v>21</v>
      </c>
      <c r="B460" t="s">
        <v>1708</v>
      </c>
      <c r="C460" t="s">
        <v>499</v>
      </c>
      <c r="D460" t="s">
        <v>1709</v>
      </c>
      <c r="E460" t="s">
        <v>1710</v>
      </c>
      <c r="M460" t="s">
        <v>411</v>
      </c>
      <c r="N460" t="s">
        <v>259</v>
      </c>
      <c r="P460" t="s">
        <v>260</v>
      </c>
      <c r="Q460" t="s">
        <v>260</v>
      </c>
      <c r="R460" t="s">
        <v>283</v>
      </c>
      <c r="S460" t="s">
        <v>21</v>
      </c>
      <c r="T460">
        <v>100</v>
      </c>
      <c r="W460" t="s">
        <v>262</v>
      </c>
    </row>
    <row r="461" spans="1:23" x14ac:dyDescent="0.3">
      <c r="A461" t="s">
        <v>21</v>
      </c>
      <c r="B461" t="s">
        <v>1711</v>
      </c>
      <c r="C461" t="s">
        <v>499</v>
      </c>
      <c r="D461" t="s">
        <v>38</v>
      </c>
      <c r="E461" t="s">
        <v>1712</v>
      </c>
      <c r="M461" t="s">
        <v>411</v>
      </c>
      <c r="N461" t="s">
        <v>259</v>
      </c>
      <c r="P461" t="s">
        <v>260</v>
      </c>
      <c r="Q461" t="s">
        <v>260</v>
      </c>
      <c r="R461" t="s">
        <v>261</v>
      </c>
      <c r="S461" t="s">
        <v>21</v>
      </c>
      <c r="T461">
        <v>100</v>
      </c>
      <c r="W461" t="s">
        <v>262</v>
      </c>
    </row>
    <row r="462" spans="1:23" x14ac:dyDescent="0.3">
      <c r="A462" t="s">
        <v>21</v>
      </c>
      <c r="B462" t="s">
        <v>1713</v>
      </c>
      <c r="C462" t="s">
        <v>499</v>
      </c>
      <c r="D462" t="s">
        <v>1714</v>
      </c>
      <c r="E462" t="s">
        <v>1715</v>
      </c>
      <c r="M462" t="s">
        <v>312</v>
      </c>
      <c r="N462" t="s">
        <v>259</v>
      </c>
      <c r="P462" t="s">
        <v>260</v>
      </c>
      <c r="Q462" t="s">
        <v>260</v>
      </c>
      <c r="R462" t="s">
        <v>308</v>
      </c>
      <c r="S462" t="s">
        <v>21</v>
      </c>
      <c r="T462">
        <v>100</v>
      </c>
      <c r="V462" s="9">
        <v>45199</v>
      </c>
      <c r="W462" t="s">
        <v>262</v>
      </c>
    </row>
    <row r="463" spans="1:23" x14ac:dyDescent="0.3">
      <c r="A463" t="s">
        <v>21</v>
      </c>
      <c r="B463" t="s">
        <v>1716</v>
      </c>
      <c r="C463" t="s">
        <v>499</v>
      </c>
      <c r="D463" t="s">
        <v>1717</v>
      </c>
      <c r="E463" t="s">
        <v>1718</v>
      </c>
      <c r="F463" t="s">
        <v>1718</v>
      </c>
      <c r="M463" t="s">
        <v>282</v>
      </c>
      <c r="N463" t="s">
        <v>259</v>
      </c>
      <c r="P463" t="s">
        <v>260</v>
      </c>
      <c r="Q463" t="s">
        <v>260</v>
      </c>
      <c r="R463" t="s">
        <v>261</v>
      </c>
      <c r="S463" t="s">
        <v>21</v>
      </c>
      <c r="T463">
        <v>100</v>
      </c>
      <c r="W463" t="s">
        <v>262</v>
      </c>
    </row>
    <row r="464" spans="1:23" x14ac:dyDescent="0.3">
      <c r="A464" t="s">
        <v>21</v>
      </c>
      <c r="B464" t="s">
        <v>1719</v>
      </c>
      <c r="C464" t="s">
        <v>499</v>
      </c>
      <c r="D464" t="s">
        <v>1720</v>
      </c>
      <c r="E464" t="s">
        <v>1721</v>
      </c>
      <c r="M464" t="s">
        <v>411</v>
      </c>
      <c r="N464" t="s">
        <v>259</v>
      </c>
      <c r="P464" t="s">
        <v>260</v>
      </c>
      <c r="Q464" t="s">
        <v>260</v>
      </c>
      <c r="R464" t="s">
        <v>293</v>
      </c>
      <c r="S464" t="s">
        <v>21</v>
      </c>
      <c r="T464">
        <v>100</v>
      </c>
      <c r="W464" t="s">
        <v>262</v>
      </c>
    </row>
    <row r="465" spans="1:28" x14ac:dyDescent="0.3">
      <c r="A465" t="s">
        <v>21</v>
      </c>
      <c r="B465" t="s">
        <v>1722</v>
      </c>
      <c r="C465" t="s">
        <v>499</v>
      </c>
      <c r="D465" t="s">
        <v>1723</v>
      </c>
      <c r="E465" t="s">
        <v>1724</v>
      </c>
      <c r="M465" t="s">
        <v>312</v>
      </c>
      <c r="N465" t="s">
        <v>259</v>
      </c>
      <c r="P465" t="s">
        <v>260</v>
      </c>
      <c r="Q465" t="s">
        <v>260</v>
      </c>
      <c r="R465" t="s">
        <v>283</v>
      </c>
      <c r="S465" t="s">
        <v>21</v>
      </c>
      <c r="T465">
        <v>100</v>
      </c>
      <c r="W465" t="s">
        <v>262</v>
      </c>
    </row>
    <row r="466" spans="1:28" x14ac:dyDescent="0.3">
      <c r="A466" t="s">
        <v>21</v>
      </c>
      <c r="B466" t="s">
        <v>1725</v>
      </c>
      <c r="C466" t="s">
        <v>499</v>
      </c>
      <c r="D466" t="s">
        <v>1533</v>
      </c>
      <c r="E466" t="s">
        <v>1726</v>
      </c>
      <c r="G466" t="s">
        <v>1727</v>
      </c>
      <c r="M466" t="s">
        <v>312</v>
      </c>
      <c r="N466" t="s">
        <v>259</v>
      </c>
      <c r="P466" t="s">
        <v>260</v>
      </c>
      <c r="Q466" t="s">
        <v>260</v>
      </c>
      <c r="R466" t="s">
        <v>283</v>
      </c>
      <c r="S466" t="s">
        <v>21</v>
      </c>
      <c r="T466">
        <v>100</v>
      </c>
      <c r="W466" t="s">
        <v>262</v>
      </c>
    </row>
    <row r="467" spans="1:28" x14ac:dyDescent="0.3">
      <c r="A467" t="s">
        <v>21</v>
      </c>
      <c r="B467" t="s">
        <v>1728</v>
      </c>
      <c r="C467" t="s">
        <v>560</v>
      </c>
      <c r="D467" t="s">
        <v>1729</v>
      </c>
      <c r="E467" t="s">
        <v>1730</v>
      </c>
      <c r="M467" t="s">
        <v>411</v>
      </c>
      <c r="N467" t="s">
        <v>259</v>
      </c>
      <c r="P467" t="s">
        <v>260</v>
      </c>
      <c r="Q467" t="s">
        <v>260</v>
      </c>
      <c r="R467" t="s">
        <v>313</v>
      </c>
      <c r="S467" t="s">
        <v>21</v>
      </c>
      <c r="T467">
        <v>100</v>
      </c>
      <c r="V467" s="9">
        <v>45107</v>
      </c>
      <c r="W467" t="s">
        <v>262</v>
      </c>
    </row>
    <row r="468" spans="1:28" x14ac:dyDescent="0.3">
      <c r="A468" t="s">
        <v>21</v>
      </c>
      <c r="B468" t="s">
        <v>1731</v>
      </c>
      <c r="C468" t="s">
        <v>499</v>
      </c>
      <c r="D468" t="s">
        <v>1732</v>
      </c>
      <c r="E468" t="s">
        <v>1733</v>
      </c>
      <c r="M468" t="s">
        <v>1001</v>
      </c>
      <c r="N468" t="s">
        <v>259</v>
      </c>
      <c r="P468" t="s">
        <v>260</v>
      </c>
      <c r="Q468" t="s">
        <v>260</v>
      </c>
      <c r="R468" t="s">
        <v>283</v>
      </c>
      <c r="S468" t="s">
        <v>21</v>
      </c>
      <c r="T468">
        <v>100</v>
      </c>
      <c r="W468" t="s">
        <v>262</v>
      </c>
      <c r="AB468" s="9">
        <v>44742</v>
      </c>
    </row>
    <row r="469" spans="1:28" x14ac:dyDescent="0.3">
      <c r="A469" t="s">
        <v>21</v>
      </c>
      <c r="B469" t="s">
        <v>1734</v>
      </c>
      <c r="C469" t="s">
        <v>499</v>
      </c>
      <c r="D469" t="s">
        <v>1735</v>
      </c>
      <c r="E469" t="s">
        <v>1736</v>
      </c>
      <c r="M469" t="s">
        <v>312</v>
      </c>
      <c r="N469" t="s">
        <v>259</v>
      </c>
      <c r="P469" t="s">
        <v>260</v>
      </c>
      <c r="Q469" t="s">
        <v>260</v>
      </c>
      <c r="R469" t="s">
        <v>283</v>
      </c>
      <c r="S469" t="s">
        <v>21</v>
      </c>
      <c r="T469">
        <v>100</v>
      </c>
      <c r="W469" t="s">
        <v>262</v>
      </c>
    </row>
    <row r="470" spans="1:28" x14ac:dyDescent="0.3">
      <c r="A470" t="s">
        <v>21</v>
      </c>
      <c r="B470" t="s">
        <v>1737</v>
      </c>
      <c r="C470" t="s">
        <v>499</v>
      </c>
      <c r="D470" t="s">
        <v>1738</v>
      </c>
      <c r="E470" t="s">
        <v>1739</v>
      </c>
      <c r="M470" t="s">
        <v>411</v>
      </c>
      <c r="N470" t="s">
        <v>259</v>
      </c>
      <c r="P470" t="s">
        <v>260</v>
      </c>
      <c r="Q470" t="s">
        <v>260</v>
      </c>
      <c r="R470" t="s">
        <v>283</v>
      </c>
      <c r="S470" t="s">
        <v>21</v>
      </c>
      <c r="T470">
        <v>100</v>
      </c>
      <c r="W470" t="s">
        <v>262</v>
      </c>
    </row>
    <row r="471" spans="1:28" x14ac:dyDescent="0.3">
      <c r="A471" t="s">
        <v>21</v>
      </c>
      <c r="B471" t="s">
        <v>1740</v>
      </c>
      <c r="C471" t="s">
        <v>499</v>
      </c>
      <c r="D471" t="s">
        <v>1741</v>
      </c>
      <c r="E471" t="s">
        <v>1742</v>
      </c>
      <c r="M471" t="s">
        <v>411</v>
      </c>
      <c r="N471" t="s">
        <v>259</v>
      </c>
      <c r="P471" t="s">
        <v>260</v>
      </c>
      <c r="Q471" t="s">
        <v>260</v>
      </c>
      <c r="R471" t="s">
        <v>283</v>
      </c>
      <c r="S471" t="s">
        <v>21</v>
      </c>
      <c r="T471">
        <v>100</v>
      </c>
      <c r="W471" t="s">
        <v>262</v>
      </c>
    </row>
    <row r="472" spans="1:28" x14ac:dyDescent="0.3">
      <c r="A472" t="s">
        <v>21</v>
      </c>
      <c r="B472" t="s">
        <v>1743</v>
      </c>
      <c r="C472" t="s">
        <v>499</v>
      </c>
      <c r="D472" t="s">
        <v>1744</v>
      </c>
      <c r="E472" t="s">
        <v>1745</v>
      </c>
      <c r="M472" t="s">
        <v>302</v>
      </c>
      <c r="N472" t="s">
        <v>259</v>
      </c>
      <c r="P472" t="s">
        <v>260</v>
      </c>
      <c r="Q472" t="s">
        <v>260</v>
      </c>
      <c r="R472" t="s">
        <v>308</v>
      </c>
      <c r="S472" t="s">
        <v>21</v>
      </c>
      <c r="T472">
        <v>100</v>
      </c>
      <c r="V472" s="9">
        <v>45199</v>
      </c>
      <c r="W472" t="s">
        <v>262</v>
      </c>
    </row>
    <row r="473" spans="1:28" x14ac:dyDescent="0.3">
      <c r="A473" t="s">
        <v>21</v>
      </c>
      <c r="B473" t="s">
        <v>1746</v>
      </c>
      <c r="C473" t="s">
        <v>499</v>
      </c>
      <c r="D473" t="s">
        <v>1747</v>
      </c>
      <c r="E473" t="s">
        <v>1748</v>
      </c>
      <c r="M473" t="s">
        <v>282</v>
      </c>
      <c r="N473" t="s">
        <v>259</v>
      </c>
      <c r="P473" t="s">
        <v>260</v>
      </c>
      <c r="Q473" t="s">
        <v>260</v>
      </c>
      <c r="R473" t="s">
        <v>293</v>
      </c>
      <c r="S473" t="s">
        <v>21</v>
      </c>
      <c r="T473">
        <v>100</v>
      </c>
      <c r="W473" t="s">
        <v>262</v>
      </c>
    </row>
    <row r="474" spans="1:28" x14ac:dyDescent="0.3">
      <c r="A474" t="s">
        <v>21</v>
      </c>
      <c r="B474" t="s">
        <v>1749</v>
      </c>
      <c r="C474" t="s">
        <v>499</v>
      </c>
      <c r="D474" t="s">
        <v>1750</v>
      </c>
      <c r="E474" t="s">
        <v>1751</v>
      </c>
      <c r="M474" t="s">
        <v>312</v>
      </c>
      <c r="N474" t="s">
        <v>259</v>
      </c>
      <c r="P474" t="s">
        <v>260</v>
      </c>
      <c r="Q474" t="s">
        <v>260</v>
      </c>
      <c r="R474" t="s">
        <v>308</v>
      </c>
      <c r="S474" t="s">
        <v>21</v>
      </c>
      <c r="T474">
        <v>100</v>
      </c>
      <c r="V474" s="9">
        <v>45199</v>
      </c>
      <c r="W474" t="s">
        <v>262</v>
      </c>
    </row>
    <row r="475" spans="1:28" x14ac:dyDescent="0.3">
      <c r="A475" t="s">
        <v>21</v>
      </c>
      <c r="B475" t="s">
        <v>1752</v>
      </c>
      <c r="C475" t="s">
        <v>499</v>
      </c>
      <c r="D475" t="s">
        <v>1753</v>
      </c>
      <c r="E475" t="s">
        <v>1754</v>
      </c>
      <c r="M475" t="s">
        <v>312</v>
      </c>
      <c r="N475" t="s">
        <v>259</v>
      </c>
      <c r="P475" t="s">
        <v>260</v>
      </c>
      <c r="Q475" t="s">
        <v>260</v>
      </c>
      <c r="R475" t="s">
        <v>261</v>
      </c>
      <c r="S475" t="s">
        <v>21</v>
      </c>
      <c r="T475">
        <v>100</v>
      </c>
      <c r="W475" t="s">
        <v>262</v>
      </c>
    </row>
    <row r="476" spans="1:28" x14ac:dyDescent="0.3">
      <c r="A476" t="s">
        <v>21</v>
      </c>
      <c r="B476" t="s">
        <v>1755</v>
      </c>
      <c r="C476" t="s">
        <v>499</v>
      </c>
      <c r="D476" t="s">
        <v>1753</v>
      </c>
      <c r="E476" t="s">
        <v>1756</v>
      </c>
      <c r="M476" t="s">
        <v>411</v>
      </c>
      <c r="N476" t="s">
        <v>259</v>
      </c>
      <c r="P476" t="s">
        <v>260</v>
      </c>
      <c r="Q476" t="s">
        <v>260</v>
      </c>
      <c r="R476" t="s">
        <v>261</v>
      </c>
      <c r="S476" t="s">
        <v>21</v>
      </c>
      <c r="T476">
        <v>100</v>
      </c>
      <c r="W476" t="s">
        <v>262</v>
      </c>
    </row>
    <row r="477" spans="1:28" x14ac:dyDescent="0.3">
      <c r="A477" t="s">
        <v>21</v>
      </c>
      <c r="B477" t="s">
        <v>1757</v>
      </c>
      <c r="C477" t="s">
        <v>499</v>
      </c>
      <c r="D477" t="s">
        <v>1758</v>
      </c>
      <c r="E477" t="s">
        <v>1759</v>
      </c>
      <c r="M477" t="s">
        <v>282</v>
      </c>
      <c r="N477" t="s">
        <v>259</v>
      </c>
      <c r="P477" t="s">
        <v>260</v>
      </c>
      <c r="Q477" t="s">
        <v>260</v>
      </c>
      <c r="R477" t="s">
        <v>261</v>
      </c>
      <c r="S477" t="s">
        <v>21</v>
      </c>
      <c r="T477">
        <v>100</v>
      </c>
      <c r="W477" t="s">
        <v>262</v>
      </c>
    </row>
    <row r="478" spans="1:28" x14ac:dyDescent="0.3">
      <c r="A478" t="s">
        <v>21</v>
      </c>
      <c r="B478" t="s">
        <v>1760</v>
      </c>
      <c r="C478" t="s">
        <v>499</v>
      </c>
      <c r="D478" t="s">
        <v>1761</v>
      </c>
      <c r="E478" t="s">
        <v>1762</v>
      </c>
      <c r="M478" t="s">
        <v>312</v>
      </c>
      <c r="N478" t="s">
        <v>259</v>
      </c>
      <c r="P478" t="s">
        <v>260</v>
      </c>
      <c r="Q478" t="s">
        <v>260</v>
      </c>
      <c r="R478" t="s">
        <v>268</v>
      </c>
      <c r="S478" t="s">
        <v>21</v>
      </c>
      <c r="T478">
        <v>100</v>
      </c>
      <c r="W478" t="s">
        <v>262</v>
      </c>
      <c r="AB478" s="9">
        <v>44742</v>
      </c>
    </row>
    <row r="479" spans="1:28" x14ac:dyDescent="0.3">
      <c r="A479" t="s">
        <v>21</v>
      </c>
      <c r="B479" t="s">
        <v>1763</v>
      </c>
      <c r="C479" t="s">
        <v>499</v>
      </c>
      <c r="D479" t="s">
        <v>1764</v>
      </c>
      <c r="E479" t="s">
        <v>1765</v>
      </c>
      <c r="M479" t="s">
        <v>312</v>
      </c>
      <c r="N479" t="s">
        <v>259</v>
      </c>
      <c r="P479" t="s">
        <v>260</v>
      </c>
      <c r="Q479" t="s">
        <v>260</v>
      </c>
      <c r="R479" t="s">
        <v>261</v>
      </c>
      <c r="S479" t="s">
        <v>21</v>
      </c>
      <c r="T479">
        <v>100</v>
      </c>
      <c r="W479" t="s">
        <v>262</v>
      </c>
      <c r="AB479" s="9">
        <v>44742</v>
      </c>
    </row>
    <row r="480" spans="1:28" x14ac:dyDescent="0.3">
      <c r="A480" t="s">
        <v>21</v>
      </c>
      <c r="B480" t="s">
        <v>1766</v>
      </c>
      <c r="C480" t="s">
        <v>499</v>
      </c>
      <c r="D480" t="s">
        <v>1488</v>
      </c>
      <c r="E480" t="s">
        <v>1767</v>
      </c>
      <c r="M480" t="s">
        <v>411</v>
      </c>
      <c r="N480" t="s">
        <v>259</v>
      </c>
      <c r="P480" t="s">
        <v>260</v>
      </c>
      <c r="Q480" t="s">
        <v>260</v>
      </c>
      <c r="R480" t="s">
        <v>261</v>
      </c>
      <c r="S480" t="s">
        <v>21</v>
      </c>
      <c r="T480">
        <v>100</v>
      </c>
      <c r="W480" t="s">
        <v>262</v>
      </c>
    </row>
    <row r="481" spans="1:23" x14ac:dyDescent="0.3">
      <c r="A481" t="s">
        <v>21</v>
      </c>
      <c r="B481" t="s">
        <v>1768</v>
      </c>
      <c r="C481" t="s">
        <v>499</v>
      </c>
      <c r="D481" t="s">
        <v>1769</v>
      </c>
      <c r="E481" t="s">
        <v>1770</v>
      </c>
      <c r="M481" t="s">
        <v>411</v>
      </c>
      <c r="N481" t="s">
        <v>259</v>
      </c>
      <c r="P481" t="s">
        <v>260</v>
      </c>
      <c r="Q481" t="s">
        <v>260</v>
      </c>
      <c r="R481" t="s">
        <v>261</v>
      </c>
      <c r="S481" t="s">
        <v>21</v>
      </c>
      <c r="T481">
        <v>100</v>
      </c>
      <c r="W481" t="s">
        <v>262</v>
      </c>
    </row>
    <row r="482" spans="1:23" x14ac:dyDescent="0.3">
      <c r="A482" t="s">
        <v>21</v>
      </c>
      <c r="B482" t="s">
        <v>1771</v>
      </c>
      <c r="C482" t="s">
        <v>499</v>
      </c>
      <c r="D482" t="s">
        <v>1772</v>
      </c>
      <c r="E482" t="s">
        <v>1773</v>
      </c>
      <c r="G482" t="s">
        <v>1774</v>
      </c>
      <c r="M482" t="s">
        <v>411</v>
      </c>
      <c r="N482" t="s">
        <v>259</v>
      </c>
      <c r="P482" t="s">
        <v>260</v>
      </c>
      <c r="Q482" t="s">
        <v>260</v>
      </c>
      <c r="R482" t="s">
        <v>261</v>
      </c>
      <c r="S482" t="s">
        <v>21</v>
      </c>
      <c r="T482">
        <v>100</v>
      </c>
      <c r="W482" t="s">
        <v>262</v>
      </c>
    </row>
    <row r="483" spans="1:23" x14ac:dyDescent="0.3">
      <c r="A483" t="s">
        <v>21</v>
      </c>
      <c r="B483" t="s">
        <v>1775</v>
      </c>
      <c r="C483" t="s">
        <v>499</v>
      </c>
      <c r="D483" t="s">
        <v>1776</v>
      </c>
      <c r="E483" t="s">
        <v>1777</v>
      </c>
      <c r="M483" t="s">
        <v>411</v>
      </c>
      <c r="N483" t="s">
        <v>259</v>
      </c>
      <c r="P483" t="s">
        <v>260</v>
      </c>
      <c r="Q483" t="s">
        <v>260</v>
      </c>
      <c r="R483" t="s">
        <v>513</v>
      </c>
      <c r="S483" t="s">
        <v>21</v>
      </c>
      <c r="T483">
        <v>100</v>
      </c>
      <c r="W483" t="s">
        <v>262</v>
      </c>
    </row>
    <row r="484" spans="1:23" x14ac:dyDescent="0.3">
      <c r="A484" t="s">
        <v>21</v>
      </c>
      <c r="B484" t="s">
        <v>1778</v>
      </c>
      <c r="C484" t="s">
        <v>499</v>
      </c>
      <c r="D484" t="s">
        <v>1779</v>
      </c>
      <c r="E484" t="s">
        <v>1780</v>
      </c>
      <c r="M484" t="s">
        <v>411</v>
      </c>
      <c r="N484" t="s">
        <v>259</v>
      </c>
      <c r="P484" t="s">
        <v>260</v>
      </c>
      <c r="Q484" t="s">
        <v>260</v>
      </c>
      <c r="R484" t="s">
        <v>513</v>
      </c>
      <c r="S484" t="s">
        <v>21</v>
      </c>
      <c r="T484">
        <v>100</v>
      </c>
      <c r="W484" t="s">
        <v>262</v>
      </c>
    </row>
    <row r="485" spans="1:23" x14ac:dyDescent="0.3">
      <c r="A485" t="s">
        <v>21</v>
      </c>
      <c r="B485" t="s">
        <v>1781</v>
      </c>
      <c r="C485" t="s">
        <v>499</v>
      </c>
      <c r="D485" t="s">
        <v>1782</v>
      </c>
      <c r="E485" t="s">
        <v>1783</v>
      </c>
      <c r="F485" t="s">
        <v>1783</v>
      </c>
      <c r="M485" t="s">
        <v>302</v>
      </c>
      <c r="N485" t="s">
        <v>259</v>
      </c>
      <c r="P485" t="s">
        <v>260</v>
      </c>
      <c r="Q485" t="s">
        <v>260</v>
      </c>
      <c r="R485" t="s">
        <v>261</v>
      </c>
      <c r="S485" t="s">
        <v>21</v>
      </c>
      <c r="T485">
        <v>100</v>
      </c>
      <c r="W485" t="s">
        <v>262</v>
      </c>
    </row>
    <row r="486" spans="1:23" x14ac:dyDescent="0.3">
      <c r="A486" t="s">
        <v>21</v>
      </c>
      <c r="B486" t="s">
        <v>1784</v>
      </c>
      <c r="C486" t="s">
        <v>499</v>
      </c>
      <c r="D486" t="s">
        <v>1785</v>
      </c>
      <c r="E486" t="s">
        <v>1786</v>
      </c>
      <c r="M486" t="s">
        <v>312</v>
      </c>
      <c r="N486" t="s">
        <v>259</v>
      </c>
      <c r="P486" t="s">
        <v>260</v>
      </c>
      <c r="Q486" t="s">
        <v>260</v>
      </c>
      <c r="R486" t="s">
        <v>513</v>
      </c>
      <c r="S486" t="s">
        <v>21</v>
      </c>
      <c r="T486">
        <v>100</v>
      </c>
      <c r="W486" t="s">
        <v>262</v>
      </c>
    </row>
    <row r="487" spans="1:23" x14ac:dyDescent="0.3">
      <c r="A487" t="s">
        <v>21</v>
      </c>
      <c r="B487" t="s">
        <v>1787</v>
      </c>
      <c r="C487" t="s">
        <v>499</v>
      </c>
      <c r="D487" t="s">
        <v>1788</v>
      </c>
      <c r="E487" t="s">
        <v>1789</v>
      </c>
      <c r="M487" t="s">
        <v>312</v>
      </c>
      <c r="N487" t="s">
        <v>259</v>
      </c>
      <c r="P487" t="s">
        <v>260</v>
      </c>
      <c r="Q487" t="s">
        <v>260</v>
      </c>
      <c r="R487" t="s">
        <v>513</v>
      </c>
      <c r="S487" t="s">
        <v>21</v>
      </c>
      <c r="T487">
        <v>100</v>
      </c>
      <c r="W487" t="s">
        <v>262</v>
      </c>
    </row>
    <row r="488" spans="1:23" x14ac:dyDescent="0.3">
      <c r="A488" t="s">
        <v>21</v>
      </c>
      <c r="B488" t="s">
        <v>1790</v>
      </c>
      <c r="C488" t="s">
        <v>270</v>
      </c>
      <c r="D488" t="s">
        <v>1791</v>
      </c>
      <c r="E488" t="s">
        <v>1791</v>
      </c>
      <c r="M488" t="s">
        <v>411</v>
      </c>
      <c r="N488" t="s">
        <v>259</v>
      </c>
      <c r="P488" t="s">
        <v>260</v>
      </c>
      <c r="Q488" t="s">
        <v>260</v>
      </c>
      <c r="R488" t="s">
        <v>513</v>
      </c>
      <c r="S488" t="s">
        <v>21</v>
      </c>
      <c r="T488">
        <v>100</v>
      </c>
      <c r="W488" t="s">
        <v>262</v>
      </c>
    </row>
    <row r="489" spans="1:23" x14ac:dyDescent="0.3">
      <c r="A489" t="s">
        <v>21</v>
      </c>
      <c r="B489" t="s">
        <v>1792</v>
      </c>
      <c r="C489" t="s">
        <v>499</v>
      </c>
      <c r="D489" t="s">
        <v>1793</v>
      </c>
      <c r="E489" t="s">
        <v>1794</v>
      </c>
      <c r="M489" t="s">
        <v>302</v>
      </c>
      <c r="N489" t="s">
        <v>259</v>
      </c>
      <c r="P489" t="s">
        <v>260</v>
      </c>
      <c r="Q489" t="s">
        <v>260</v>
      </c>
      <c r="R489" t="s">
        <v>513</v>
      </c>
      <c r="S489" t="s">
        <v>21</v>
      </c>
      <c r="T489">
        <v>100</v>
      </c>
      <c r="W489" t="s">
        <v>262</v>
      </c>
    </row>
    <row r="490" spans="1:23" x14ac:dyDescent="0.3">
      <c r="A490" t="s">
        <v>21</v>
      </c>
      <c r="B490" t="s">
        <v>1795</v>
      </c>
      <c r="C490" t="s">
        <v>499</v>
      </c>
      <c r="D490" t="s">
        <v>1796</v>
      </c>
      <c r="E490" t="s">
        <v>1797</v>
      </c>
      <c r="M490" t="s">
        <v>282</v>
      </c>
      <c r="N490" t="s">
        <v>259</v>
      </c>
      <c r="P490" t="s">
        <v>260</v>
      </c>
      <c r="Q490" t="s">
        <v>260</v>
      </c>
      <c r="R490" t="s">
        <v>513</v>
      </c>
      <c r="S490" t="s">
        <v>21</v>
      </c>
      <c r="T490">
        <v>100</v>
      </c>
      <c r="W490" t="s">
        <v>262</v>
      </c>
    </row>
    <row r="491" spans="1:23" x14ac:dyDescent="0.3">
      <c r="A491" t="s">
        <v>21</v>
      </c>
      <c r="B491" t="s">
        <v>1798</v>
      </c>
      <c r="C491" t="s">
        <v>499</v>
      </c>
      <c r="D491" t="s">
        <v>894</v>
      </c>
      <c r="E491" t="s">
        <v>1799</v>
      </c>
      <c r="M491" t="s">
        <v>503</v>
      </c>
      <c r="N491" t="s">
        <v>259</v>
      </c>
      <c r="P491" t="s">
        <v>260</v>
      </c>
      <c r="Q491" t="s">
        <v>260</v>
      </c>
      <c r="R491" t="s">
        <v>513</v>
      </c>
      <c r="S491" t="s">
        <v>21</v>
      </c>
      <c r="T491">
        <v>100</v>
      </c>
      <c r="W491" t="s">
        <v>262</v>
      </c>
    </row>
    <row r="492" spans="1:23" x14ac:dyDescent="0.3">
      <c r="A492" t="s">
        <v>21</v>
      </c>
      <c r="B492" t="s">
        <v>1800</v>
      </c>
      <c r="C492" t="s">
        <v>499</v>
      </c>
      <c r="D492" t="s">
        <v>1801</v>
      </c>
      <c r="E492" t="s">
        <v>1802</v>
      </c>
      <c r="M492" t="s">
        <v>411</v>
      </c>
      <c r="N492" t="s">
        <v>259</v>
      </c>
      <c r="P492" t="s">
        <v>260</v>
      </c>
      <c r="Q492" t="s">
        <v>260</v>
      </c>
      <c r="R492" t="s">
        <v>513</v>
      </c>
      <c r="S492" t="s">
        <v>21</v>
      </c>
      <c r="T492">
        <v>100</v>
      </c>
      <c r="W492" t="s">
        <v>262</v>
      </c>
    </row>
    <row r="493" spans="1:23" x14ac:dyDescent="0.3">
      <c r="A493" t="s">
        <v>21</v>
      </c>
      <c r="B493" t="s">
        <v>1803</v>
      </c>
      <c r="C493" t="s">
        <v>499</v>
      </c>
      <c r="D493" t="s">
        <v>1804</v>
      </c>
      <c r="E493" t="s">
        <v>1805</v>
      </c>
      <c r="M493" t="s">
        <v>411</v>
      </c>
      <c r="N493" t="s">
        <v>259</v>
      </c>
      <c r="P493" t="s">
        <v>260</v>
      </c>
      <c r="Q493" t="s">
        <v>260</v>
      </c>
      <c r="R493" t="s">
        <v>308</v>
      </c>
      <c r="S493" t="s">
        <v>21</v>
      </c>
      <c r="T493">
        <v>100</v>
      </c>
      <c r="V493" s="9">
        <v>45199</v>
      </c>
      <c r="W493" t="s">
        <v>262</v>
      </c>
    </row>
    <row r="494" spans="1:23" x14ac:dyDescent="0.3">
      <c r="A494" t="s">
        <v>21</v>
      </c>
      <c r="B494" t="s">
        <v>1806</v>
      </c>
      <c r="C494" t="s">
        <v>499</v>
      </c>
      <c r="D494" t="s">
        <v>1807</v>
      </c>
      <c r="E494" t="s">
        <v>1808</v>
      </c>
      <c r="M494" t="s">
        <v>312</v>
      </c>
      <c r="N494" t="s">
        <v>259</v>
      </c>
      <c r="P494" t="s">
        <v>260</v>
      </c>
      <c r="Q494" t="s">
        <v>260</v>
      </c>
      <c r="R494" t="s">
        <v>308</v>
      </c>
      <c r="S494" t="s">
        <v>21</v>
      </c>
      <c r="T494">
        <v>100</v>
      </c>
      <c r="V494" s="9">
        <v>45199</v>
      </c>
      <c r="W494" t="s">
        <v>262</v>
      </c>
    </row>
    <row r="495" spans="1:23" x14ac:dyDescent="0.3">
      <c r="A495" t="s">
        <v>21</v>
      </c>
      <c r="B495" t="s">
        <v>1809</v>
      </c>
      <c r="C495" t="s">
        <v>499</v>
      </c>
      <c r="D495" t="s">
        <v>1810</v>
      </c>
      <c r="E495" t="s">
        <v>1811</v>
      </c>
      <c r="M495" t="s">
        <v>257</v>
      </c>
      <c r="N495" t="s">
        <v>259</v>
      </c>
      <c r="P495" t="s">
        <v>260</v>
      </c>
      <c r="Q495" t="s">
        <v>260</v>
      </c>
      <c r="R495" t="s">
        <v>261</v>
      </c>
      <c r="S495" t="s">
        <v>21</v>
      </c>
      <c r="T495">
        <v>100</v>
      </c>
      <c r="W495" t="s">
        <v>262</v>
      </c>
    </row>
    <row r="496" spans="1:23" x14ac:dyDescent="0.3">
      <c r="A496" t="s">
        <v>21</v>
      </c>
      <c r="B496" t="s">
        <v>1812</v>
      </c>
      <c r="C496" t="s">
        <v>499</v>
      </c>
      <c r="D496" t="s">
        <v>1813</v>
      </c>
      <c r="E496" t="s">
        <v>1814</v>
      </c>
      <c r="M496" t="s">
        <v>312</v>
      </c>
      <c r="N496" t="s">
        <v>259</v>
      </c>
      <c r="P496" t="s">
        <v>260</v>
      </c>
      <c r="Q496" t="s">
        <v>260</v>
      </c>
      <c r="R496" t="s">
        <v>283</v>
      </c>
      <c r="S496" t="s">
        <v>21</v>
      </c>
      <c r="T496">
        <v>100</v>
      </c>
      <c r="W496" t="s">
        <v>262</v>
      </c>
    </row>
    <row r="497" spans="1:28" x14ac:dyDescent="0.3">
      <c r="A497" t="s">
        <v>21</v>
      </c>
      <c r="B497" t="s">
        <v>1815</v>
      </c>
      <c r="C497" t="s">
        <v>270</v>
      </c>
      <c r="D497" t="s">
        <v>1816</v>
      </c>
      <c r="E497" t="s">
        <v>1816</v>
      </c>
      <c r="M497" t="s">
        <v>411</v>
      </c>
      <c r="N497" t="s">
        <v>259</v>
      </c>
      <c r="P497" t="s">
        <v>260</v>
      </c>
      <c r="Q497" t="s">
        <v>260</v>
      </c>
      <c r="R497" t="s">
        <v>283</v>
      </c>
      <c r="S497" t="s">
        <v>21</v>
      </c>
      <c r="T497">
        <v>100</v>
      </c>
      <c r="W497" t="s">
        <v>262</v>
      </c>
    </row>
    <row r="498" spans="1:28" x14ac:dyDescent="0.3">
      <c r="A498" t="s">
        <v>21</v>
      </c>
      <c r="B498" t="s">
        <v>1817</v>
      </c>
      <c r="C498" t="s">
        <v>499</v>
      </c>
      <c r="D498" t="s">
        <v>1818</v>
      </c>
      <c r="E498" t="s">
        <v>1819</v>
      </c>
      <c r="F498" t="s">
        <v>1819</v>
      </c>
      <c r="M498" t="s">
        <v>302</v>
      </c>
      <c r="N498" t="s">
        <v>259</v>
      </c>
      <c r="P498" t="s">
        <v>260</v>
      </c>
      <c r="Q498" t="s">
        <v>260</v>
      </c>
      <c r="R498" t="s">
        <v>283</v>
      </c>
      <c r="S498" t="s">
        <v>21</v>
      </c>
      <c r="T498">
        <v>100</v>
      </c>
      <c r="W498" t="s">
        <v>262</v>
      </c>
    </row>
    <row r="499" spans="1:28" x14ac:dyDescent="0.3">
      <c r="A499" t="s">
        <v>21</v>
      </c>
      <c r="B499" t="s">
        <v>1820</v>
      </c>
      <c r="C499" t="s">
        <v>499</v>
      </c>
      <c r="D499" t="s">
        <v>1821</v>
      </c>
      <c r="E499" t="s">
        <v>1822</v>
      </c>
      <c r="M499" t="s">
        <v>503</v>
      </c>
      <c r="N499" t="s">
        <v>259</v>
      </c>
      <c r="P499" t="s">
        <v>260</v>
      </c>
      <c r="Q499" t="s">
        <v>260</v>
      </c>
      <c r="R499" t="s">
        <v>308</v>
      </c>
      <c r="S499" t="s">
        <v>21</v>
      </c>
      <c r="T499">
        <v>100</v>
      </c>
      <c r="V499" s="9">
        <v>45199</v>
      </c>
      <c r="W499" t="s">
        <v>262</v>
      </c>
    </row>
    <row r="500" spans="1:28" x14ac:dyDescent="0.3">
      <c r="A500" t="s">
        <v>21</v>
      </c>
      <c r="B500" t="s">
        <v>1823</v>
      </c>
      <c r="C500" t="s">
        <v>499</v>
      </c>
      <c r="D500" t="s">
        <v>1824</v>
      </c>
      <c r="E500" t="s">
        <v>1825</v>
      </c>
      <c r="G500" t="s">
        <v>1826</v>
      </c>
      <c r="M500" t="s">
        <v>312</v>
      </c>
      <c r="N500" t="s">
        <v>259</v>
      </c>
      <c r="P500" t="s">
        <v>260</v>
      </c>
      <c r="Q500" t="s">
        <v>260</v>
      </c>
      <c r="R500" t="s">
        <v>283</v>
      </c>
      <c r="S500" t="s">
        <v>21</v>
      </c>
      <c r="T500">
        <v>100</v>
      </c>
      <c r="W500" t="s">
        <v>262</v>
      </c>
      <c r="AB500" s="9">
        <v>44742</v>
      </c>
    </row>
    <row r="501" spans="1:28" x14ac:dyDescent="0.3">
      <c r="A501" t="s">
        <v>21</v>
      </c>
      <c r="B501" t="s">
        <v>1827</v>
      </c>
      <c r="C501" t="s">
        <v>499</v>
      </c>
      <c r="D501" t="s">
        <v>1824</v>
      </c>
      <c r="E501" t="s">
        <v>1825</v>
      </c>
      <c r="G501" t="s">
        <v>1826</v>
      </c>
      <c r="M501" t="s">
        <v>312</v>
      </c>
      <c r="N501" t="s">
        <v>259</v>
      </c>
      <c r="P501" t="s">
        <v>260</v>
      </c>
      <c r="Q501" t="s">
        <v>260</v>
      </c>
      <c r="R501" t="s">
        <v>283</v>
      </c>
      <c r="S501" t="s">
        <v>21</v>
      </c>
      <c r="T501">
        <v>100</v>
      </c>
      <c r="W501" t="s">
        <v>262</v>
      </c>
      <c r="AB501" s="9">
        <v>44742</v>
      </c>
    </row>
    <row r="502" spans="1:28" x14ac:dyDescent="0.3">
      <c r="A502" t="s">
        <v>21</v>
      </c>
      <c r="B502" t="s">
        <v>1828</v>
      </c>
      <c r="C502" t="s">
        <v>499</v>
      </c>
      <c r="D502" t="s">
        <v>1829</v>
      </c>
      <c r="E502" t="s">
        <v>1825</v>
      </c>
      <c r="G502" t="s">
        <v>1826</v>
      </c>
      <c r="M502" t="s">
        <v>312</v>
      </c>
      <c r="N502" t="s">
        <v>259</v>
      </c>
      <c r="P502" t="s">
        <v>260</v>
      </c>
      <c r="Q502" t="s">
        <v>260</v>
      </c>
      <c r="R502" t="s">
        <v>283</v>
      </c>
      <c r="S502" t="s">
        <v>21</v>
      </c>
      <c r="T502">
        <v>100</v>
      </c>
      <c r="W502" t="s">
        <v>262</v>
      </c>
      <c r="AB502" s="9">
        <v>45077</v>
      </c>
    </row>
    <row r="503" spans="1:28" x14ac:dyDescent="0.3">
      <c r="A503" t="s">
        <v>21</v>
      </c>
      <c r="B503" t="s">
        <v>1830</v>
      </c>
      <c r="C503" t="s">
        <v>499</v>
      </c>
      <c r="D503" t="s">
        <v>1831</v>
      </c>
      <c r="E503" t="s">
        <v>1832</v>
      </c>
      <c r="M503" t="s">
        <v>411</v>
      </c>
      <c r="N503" t="s">
        <v>259</v>
      </c>
      <c r="P503" t="s">
        <v>260</v>
      </c>
      <c r="Q503" t="s">
        <v>260</v>
      </c>
      <c r="R503" t="s">
        <v>283</v>
      </c>
      <c r="S503" t="s">
        <v>21</v>
      </c>
      <c r="T503">
        <v>100</v>
      </c>
      <c r="W503" t="s">
        <v>262</v>
      </c>
    </row>
    <row r="504" spans="1:28" x14ac:dyDescent="0.3">
      <c r="A504" t="s">
        <v>21</v>
      </c>
      <c r="B504" t="s">
        <v>1833</v>
      </c>
      <c r="C504" t="s">
        <v>499</v>
      </c>
      <c r="D504" t="s">
        <v>1834</v>
      </c>
      <c r="E504" t="s">
        <v>1834</v>
      </c>
      <c r="M504" t="s">
        <v>1001</v>
      </c>
      <c r="N504" t="s">
        <v>259</v>
      </c>
      <c r="P504" t="s">
        <v>260</v>
      </c>
      <c r="Q504" t="s">
        <v>260</v>
      </c>
      <c r="R504" t="s">
        <v>1625</v>
      </c>
      <c r="S504" t="s">
        <v>21</v>
      </c>
      <c r="T504">
        <v>100</v>
      </c>
      <c r="W504" t="s">
        <v>262</v>
      </c>
      <c r="AB504" s="9">
        <v>44742</v>
      </c>
    </row>
    <row r="505" spans="1:28" x14ac:dyDescent="0.3">
      <c r="A505" t="s">
        <v>21</v>
      </c>
      <c r="B505" t="s">
        <v>1835</v>
      </c>
      <c r="C505" t="s">
        <v>264</v>
      </c>
      <c r="D505" t="s">
        <v>1836</v>
      </c>
      <c r="E505" t="s">
        <v>1837</v>
      </c>
      <c r="M505" t="s">
        <v>1838</v>
      </c>
      <c r="N505" t="s">
        <v>259</v>
      </c>
      <c r="P505" t="s">
        <v>260</v>
      </c>
      <c r="Q505" t="s">
        <v>260</v>
      </c>
      <c r="R505" t="s">
        <v>261</v>
      </c>
      <c r="S505" t="s">
        <v>21</v>
      </c>
      <c r="T505">
        <v>100</v>
      </c>
      <c r="W505" t="s">
        <v>262</v>
      </c>
      <c r="AB505" s="9">
        <v>44377</v>
      </c>
    </row>
    <row r="506" spans="1:28" x14ac:dyDescent="0.3">
      <c r="A506" t="s">
        <v>21</v>
      </c>
      <c r="B506" t="s">
        <v>1839</v>
      </c>
      <c r="C506" t="s">
        <v>299</v>
      </c>
      <c r="D506" t="s">
        <v>1840</v>
      </c>
      <c r="E506" t="s">
        <v>1840</v>
      </c>
      <c r="G506" t="s">
        <v>1841</v>
      </c>
      <c r="H506" t="s">
        <v>1842</v>
      </c>
      <c r="I506" t="s">
        <v>1843</v>
      </c>
      <c r="J506" t="s">
        <v>366</v>
      </c>
      <c r="K506">
        <v>2795</v>
      </c>
      <c r="L506" t="s">
        <v>259</v>
      </c>
      <c r="M506" t="s">
        <v>312</v>
      </c>
      <c r="N506" t="s">
        <v>259</v>
      </c>
      <c r="P506" t="s">
        <v>260</v>
      </c>
      <c r="Q506" t="s">
        <v>260</v>
      </c>
      <c r="R506" t="s">
        <v>261</v>
      </c>
      <c r="S506" t="s">
        <v>21</v>
      </c>
      <c r="T506">
        <v>100</v>
      </c>
      <c r="W506" t="s">
        <v>262</v>
      </c>
      <c r="X506">
        <v>-29.717987999999998</v>
      </c>
      <c r="Y506">
        <v>152.94833199999999</v>
      </c>
      <c r="Z506">
        <v>310</v>
      </c>
      <c r="AB506" s="9">
        <v>45107</v>
      </c>
    </row>
    <row r="507" spans="1:28" x14ac:dyDescent="0.3">
      <c r="A507" t="s">
        <v>21</v>
      </c>
      <c r="B507" t="s">
        <v>1844</v>
      </c>
      <c r="C507" t="s">
        <v>1845</v>
      </c>
      <c r="D507" t="s">
        <v>1846</v>
      </c>
      <c r="E507" t="s">
        <v>1847</v>
      </c>
      <c r="M507" t="s">
        <v>307</v>
      </c>
      <c r="N507" t="s">
        <v>259</v>
      </c>
      <c r="P507" t="s">
        <v>260</v>
      </c>
      <c r="Q507" t="s">
        <v>260</v>
      </c>
      <c r="R507" t="s">
        <v>283</v>
      </c>
      <c r="S507" t="s">
        <v>21</v>
      </c>
      <c r="T507">
        <v>100</v>
      </c>
      <c r="W507" t="s">
        <v>262</v>
      </c>
      <c r="AB507" s="9">
        <v>45657</v>
      </c>
    </row>
    <row r="508" spans="1:28" x14ac:dyDescent="0.3">
      <c r="A508" t="s">
        <v>21</v>
      </c>
      <c r="B508" t="s">
        <v>1848</v>
      </c>
      <c r="C508" t="s">
        <v>299</v>
      </c>
      <c r="D508" t="s">
        <v>1062</v>
      </c>
      <c r="E508" t="s">
        <v>1062</v>
      </c>
      <c r="H508" t="s">
        <v>1849</v>
      </c>
      <c r="I508" t="s">
        <v>1850</v>
      </c>
      <c r="J508" t="s">
        <v>305</v>
      </c>
      <c r="K508">
        <v>5032</v>
      </c>
      <c r="L508" t="s">
        <v>259</v>
      </c>
      <c r="M508" t="s">
        <v>306</v>
      </c>
      <c r="N508" t="s">
        <v>259</v>
      </c>
      <c r="P508" t="s">
        <v>260</v>
      </c>
      <c r="Q508" t="s">
        <v>260</v>
      </c>
      <c r="R508" t="s">
        <v>308</v>
      </c>
      <c r="S508" t="s">
        <v>21</v>
      </c>
      <c r="T508">
        <v>100</v>
      </c>
      <c r="V508" s="9">
        <v>45199</v>
      </c>
      <c r="W508" t="s">
        <v>262</v>
      </c>
      <c r="X508">
        <v>-34.915999999999997</v>
      </c>
      <c r="Y508">
        <v>138.55099999999999</v>
      </c>
      <c r="Z508">
        <v>310</v>
      </c>
      <c r="AB508" s="9">
        <v>45016</v>
      </c>
    </row>
    <row r="509" spans="1:28" x14ac:dyDescent="0.3">
      <c r="A509" t="s">
        <v>21</v>
      </c>
      <c r="B509" t="s">
        <v>1851</v>
      </c>
      <c r="C509" t="s">
        <v>439</v>
      </c>
      <c r="D509" t="s">
        <v>1852</v>
      </c>
      <c r="E509">
        <v>74</v>
      </c>
      <c r="G509" t="s">
        <v>1853</v>
      </c>
      <c r="M509" t="s">
        <v>503</v>
      </c>
      <c r="N509" t="s">
        <v>259</v>
      </c>
      <c r="P509" t="s">
        <v>260</v>
      </c>
      <c r="Q509" t="s">
        <v>260</v>
      </c>
      <c r="R509" t="s">
        <v>283</v>
      </c>
      <c r="S509" t="s">
        <v>21</v>
      </c>
      <c r="T509">
        <v>100</v>
      </c>
      <c r="V509" s="9">
        <v>44377</v>
      </c>
      <c r="W509" t="s">
        <v>262</v>
      </c>
    </row>
    <row r="510" spans="1:28" x14ac:dyDescent="0.3">
      <c r="A510" t="s">
        <v>21</v>
      </c>
      <c r="B510" t="s">
        <v>1854</v>
      </c>
      <c r="C510" t="s">
        <v>439</v>
      </c>
      <c r="D510" t="s">
        <v>1855</v>
      </c>
      <c r="E510" t="s">
        <v>1855</v>
      </c>
      <c r="F510">
        <v>65</v>
      </c>
      <c r="H510" t="s">
        <v>1856</v>
      </c>
      <c r="I510" t="s">
        <v>1857</v>
      </c>
      <c r="J510" t="s">
        <v>318</v>
      </c>
      <c r="K510">
        <v>4561</v>
      </c>
      <c r="M510" t="s">
        <v>302</v>
      </c>
      <c r="N510" t="s">
        <v>259</v>
      </c>
      <c r="P510" t="s">
        <v>260</v>
      </c>
      <c r="Q510" t="s">
        <v>260</v>
      </c>
      <c r="R510" t="s">
        <v>283</v>
      </c>
      <c r="S510" t="s">
        <v>21</v>
      </c>
      <c r="T510">
        <v>100</v>
      </c>
      <c r="W510" t="s">
        <v>262</v>
      </c>
      <c r="X510">
        <v>-26.559283000000001</v>
      </c>
      <c r="Y510">
        <v>153.02863099999999</v>
      </c>
      <c r="Z510">
        <v>310</v>
      </c>
      <c r="AB510" s="9">
        <v>44903</v>
      </c>
    </row>
    <row r="511" spans="1:28" x14ac:dyDescent="0.3">
      <c r="A511" t="s">
        <v>21</v>
      </c>
      <c r="B511" t="s">
        <v>1858</v>
      </c>
      <c r="C511" t="s">
        <v>278</v>
      </c>
      <c r="D511" t="s">
        <v>876</v>
      </c>
      <c r="E511">
        <v>7046</v>
      </c>
      <c r="G511" t="s">
        <v>1859</v>
      </c>
      <c r="M511" t="s">
        <v>282</v>
      </c>
      <c r="N511" t="s">
        <v>259</v>
      </c>
      <c r="P511" t="s">
        <v>260</v>
      </c>
      <c r="Q511" t="s">
        <v>260</v>
      </c>
      <c r="R511" t="s">
        <v>283</v>
      </c>
      <c r="S511" t="s">
        <v>21</v>
      </c>
      <c r="T511">
        <v>100</v>
      </c>
      <c r="W511" t="s">
        <v>262</v>
      </c>
      <c r="X511">
        <v>-37.810332000000002</v>
      </c>
      <c r="Y511">
        <v>144.94721699999999</v>
      </c>
      <c r="Z511">
        <v>310</v>
      </c>
      <c r="AB511" s="9">
        <v>44742</v>
      </c>
    </row>
    <row r="512" spans="1:28" x14ac:dyDescent="0.3">
      <c r="A512" t="s">
        <v>21</v>
      </c>
      <c r="B512" t="s">
        <v>1860</v>
      </c>
      <c r="C512" t="s">
        <v>1861</v>
      </c>
      <c r="D512" t="s">
        <v>1862</v>
      </c>
      <c r="E512">
        <v>16004840</v>
      </c>
      <c r="M512" t="s">
        <v>312</v>
      </c>
      <c r="N512" t="s">
        <v>259</v>
      </c>
      <c r="P512" t="s">
        <v>260</v>
      </c>
      <c r="Q512" t="s">
        <v>260</v>
      </c>
      <c r="R512" t="s">
        <v>268</v>
      </c>
      <c r="S512" t="s">
        <v>21</v>
      </c>
      <c r="T512">
        <v>100</v>
      </c>
      <c r="W512" t="s">
        <v>262</v>
      </c>
      <c r="Z512">
        <v>731</v>
      </c>
    </row>
    <row r="513" spans="1:28" x14ac:dyDescent="0.3">
      <c r="A513" t="s">
        <v>21</v>
      </c>
      <c r="B513" t="s">
        <v>1863</v>
      </c>
      <c r="C513" t="s">
        <v>448</v>
      </c>
      <c r="D513" t="s">
        <v>1864</v>
      </c>
      <c r="E513">
        <v>353</v>
      </c>
      <c r="G513" t="s">
        <v>1865</v>
      </c>
      <c r="H513" t="s">
        <v>1866</v>
      </c>
      <c r="I513" t="s">
        <v>1867</v>
      </c>
      <c r="J513" t="s">
        <v>366</v>
      </c>
      <c r="K513">
        <v>2128</v>
      </c>
      <c r="L513" t="s">
        <v>259</v>
      </c>
      <c r="M513" t="s">
        <v>367</v>
      </c>
      <c r="N513" t="s">
        <v>259</v>
      </c>
      <c r="P513" t="s">
        <v>260</v>
      </c>
      <c r="Q513" t="s">
        <v>260</v>
      </c>
      <c r="R513" t="s">
        <v>261</v>
      </c>
      <c r="S513" t="s">
        <v>21</v>
      </c>
      <c r="T513">
        <v>100</v>
      </c>
      <c r="W513" t="s">
        <v>262</v>
      </c>
      <c r="X513">
        <v>-33.833519000000003</v>
      </c>
      <c r="Y513">
        <v>151.043634</v>
      </c>
      <c r="Z513">
        <v>310</v>
      </c>
    </row>
    <row r="514" spans="1:28" x14ac:dyDescent="0.3">
      <c r="A514" t="s">
        <v>21</v>
      </c>
      <c r="B514" t="s">
        <v>1868</v>
      </c>
      <c r="C514" t="s">
        <v>270</v>
      </c>
      <c r="D514" t="s">
        <v>1869</v>
      </c>
      <c r="E514">
        <v>1001</v>
      </c>
      <c r="F514">
        <v>83</v>
      </c>
      <c r="G514" t="s">
        <v>1870</v>
      </c>
      <c r="H514" t="s">
        <v>1871</v>
      </c>
      <c r="J514" t="s">
        <v>1872</v>
      </c>
      <c r="L514" t="s">
        <v>1872</v>
      </c>
      <c r="M514" t="s">
        <v>1873</v>
      </c>
      <c r="N514" t="s">
        <v>1872</v>
      </c>
      <c r="P514" t="s">
        <v>260</v>
      </c>
      <c r="Q514" t="s">
        <v>260</v>
      </c>
      <c r="R514" t="s">
        <v>293</v>
      </c>
      <c r="S514" t="s">
        <v>21</v>
      </c>
      <c r="T514">
        <v>100</v>
      </c>
      <c r="W514" t="s">
        <v>262</v>
      </c>
      <c r="X514">
        <v>1.3373949999999999</v>
      </c>
      <c r="Y514">
        <v>103.848454</v>
      </c>
      <c r="Z514">
        <v>310</v>
      </c>
    </row>
    <row r="515" spans="1:28" x14ac:dyDescent="0.3">
      <c r="A515" t="s">
        <v>21</v>
      </c>
      <c r="B515" t="s">
        <v>1874</v>
      </c>
      <c r="C515" t="s">
        <v>264</v>
      </c>
      <c r="D515" t="s">
        <v>564</v>
      </c>
      <c r="E515" t="s">
        <v>564</v>
      </c>
      <c r="M515" t="s">
        <v>1875</v>
      </c>
      <c r="N515" t="s">
        <v>259</v>
      </c>
      <c r="P515" t="s">
        <v>260</v>
      </c>
      <c r="Q515" t="s">
        <v>260</v>
      </c>
      <c r="R515" t="s">
        <v>293</v>
      </c>
      <c r="S515" t="s">
        <v>21</v>
      </c>
      <c r="T515">
        <v>100</v>
      </c>
      <c r="W515" t="s">
        <v>262</v>
      </c>
      <c r="AB515" s="9">
        <v>44231</v>
      </c>
    </row>
    <row r="516" spans="1:28" x14ac:dyDescent="0.3">
      <c r="A516" t="s">
        <v>21</v>
      </c>
      <c r="B516" t="s">
        <v>1876</v>
      </c>
      <c r="C516" t="s">
        <v>1877</v>
      </c>
      <c r="D516" t="s">
        <v>1878</v>
      </c>
      <c r="E516">
        <v>9034</v>
      </c>
      <c r="G516" t="s">
        <v>1879</v>
      </c>
      <c r="H516" t="s">
        <v>1880</v>
      </c>
      <c r="I516" t="s">
        <v>1881</v>
      </c>
      <c r="J516" t="s">
        <v>318</v>
      </c>
      <c r="K516">
        <v>4814</v>
      </c>
      <c r="M516" t="s">
        <v>302</v>
      </c>
      <c r="N516" t="s">
        <v>259</v>
      </c>
      <c r="P516" t="s">
        <v>260</v>
      </c>
      <c r="Q516" t="s">
        <v>260</v>
      </c>
      <c r="R516" t="s">
        <v>293</v>
      </c>
      <c r="S516" t="s">
        <v>21</v>
      </c>
      <c r="T516">
        <v>100</v>
      </c>
      <c r="W516" t="s">
        <v>262</v>
      </c>
      <c r="X516">
        <v>-19.265533000000001</v>
      </c>
      <c r="Y516">
        <v>146.74234999999999</v>
      </c>
      <c r="Z516">
        <v>530</v>
      </c>
    </row>
    <row r="517" spans="1:28" x14ac:dyDescent="0.3">
      <c r="A517" t="s">
        <v>21</v>
      </c>
      <c r="B517" t="s">
        <v>1882</v>
      </c>
      <c r="C517" t="s">
        <v>289</v>
      </c>
      <c r="D517" t="s">
        <v>1883</v>
      </c>
      <c r="E517">
        <v>9022</v>
      </c>
      <c r="G517" t="s">
        <v>1884</v>
      </c>
      <c r="H517" t="s">
        <v>1885</v>
      </c>
      <c r="I517" t="s">
        <v>959</v>
      </c>
      <c r="J517" t="s">
        <v>366</v>
      </c>
      <c r="K517">
        <v>2111</v>
      </c>
      <c r="M517" t="s">
        <v>312</v>
      </c>
      <c r="N517" t="s">
        <v>259</v>
      </c>
      <c r="P517" t="s">
        <v>260</v>
      </c>
      <c r="Q517" t="s">
        <v>260</v>
      </c>
      <c r="R517" t="s">
        <v>293</v>
      </c>
      <c r="S517" t="s">
        <v>21</v>
      </c>
      <c r="T517">
        <v>100</v>
      </c>
      <c r="W517" t="s">
        <v>262</v>
      </c>
      <c r="X517">
        <v>-33.823739000000003</v>
      </c>
      <c r="Y517">
        <v>151.122894</v>
      </c>
      <c r="Z517">
        <v>729</v>
      </c>
      <c r="AB517" s="9">
        <v>41820</v>
      </c>
    </row>
    <row r="518" spans="1:28" x14ac:dyDescent="0.3">
      <c r="A518" t="s">
        <v>21</v>
      </c>
      <c r="B518" t="s">
        <v>1886</v>
      </c>
      <c r="C518" t="s">
        <v>1877</v>
      </c>
      <c r="D518" t="s">
        <v>1887</v>
      </c>
      <c r="E518">
        <v>9035</v>
      </c>
      <c r="H518" t="s">
        <v>1888</v>
      </c>
      <c r="I518" t="s">
        <v>1889</v>
      </c>
      <c r="J518" t="s">
        <v>366</v>
      </c>
      <c r="K518">
        <v>2760</v>
      </c>
      <c r="M518" t="s">
        <v>1001</v>
      </c>
      <c r="N518" t="s">
        <v>259</v>
      </c>
      <c r="P518" t="s">
        <v>260</v>
      </c>
      <c r="Q518" t="s">
        <v>260</v>
      </c>
      <c r="R518" t="s">
        <v>268</v>
      </c>
      <c r="S518" t="s">
        <v>21</v>
      </c>
      <c r="T518">
        <v>100</v>
      </c>
      <c r="W518" t="s">
        <v>262</v>
      </c>
      <c r="X518">
        <v>-33.781377999999997</v>
      </c>
      <c r="Y518">
        <v>150.76937799999999</v>
      </c>
      <c r="Z518">
        <v>530</v>
      </c>
      <c r="AB518" s="9">
        <v>45107</v>
      </c>
    </row>
    <row r="519" spans="1:28" x14ac:dyDescent="0.3">
      <c r="A519" t="s">
        <v>21</v>
      </c>
      <c r="B519" t="s">
        <v>1890</v>
      </c>
      <c r="C519" t="s">
        <v>356</v>
      </c>
      <c r="D519" t="s">
        <v>1891</v>
      </c>
      <c r="E519">
        <v>276</v>
      </c>
      <c r="H519" t="s">
        <v>1892</v>
      </c>
      <c r="I519" t="s">
        <v>1893</v>
      </c>
      <c r="J519" t="s">
        <v>318</v>
      </c>
      <c r="K519">
        <v>4500</v>
      </c>
      <c r="L519" t="s">
        <v>259</v>
      </c>
      <c r="M519" t="s">
        <v>302</v>
      </c>
      <c r="N519" t="s">
        <v>259</v>
      </c>
      <c r="P519" t="s">
        <v>260</v>
      </c>
      <c r="Q519" t="s">
        <v>260</v>
      </c>
      <c r="R519" t="s">
        <v>261</v>
      </c>
      <c r="S519" t="s">
        <v>21</v>
      </c>
      <c r="T519">
        <v>100</v>
      </c>
      <c r="W519" t="s">
        <v>262</v>
      </c>
      <c r="X519">
        <v>-27.315000000000001</v>
      </c>
      <c r="Y519">
        <v>152.994</v>
      </c>
      <c r="Z519">
        <v>170</v>
      </c>
      <c r="AB519" s="9">
        <v>44377</v>
      </c>
    </row>
    <row r="520" spans="1:28" x14ac:dyDescent="0.3">
      <c r="A520" t="s">
        <v>21</v>
      </c>
      <c r="B520" t="s">
        <v>1894</v>
      </c>
      <c r="C520" t="s">
        <v>270</v>
      </c>
      <c r="D520" t="s">
        <v>1895</v>
      </c>
      <c r="E520" t="s">
        <v>1895</v>
      </c>
      <c r="M520" t="s">
        <v>312</v>
      </c>
      <c r="N520" t="s">
        <v>259</v>
      </c>
      <c r="P520" t="s">
        <v>260</v>
      </c>
      <c r="Q520" t="s">
        <v>260</v>
      </c>
      <c r="R520" t="s">
        <v>283</v>
      </c>
      <c r="S520" t="s">
        <v>21</v>
      </c>
      <c r="T520">
        <v>100</v>
      </c>
      <c r="W520" t="s">
        <v>262</v>
      </c>
      <c r="AB520" s="9">
        <v>45473</v>
      </c>
    </row>
    <row r="521" spans="1:28" x14ac:dyDescent="0.3">
      <c r="A521" t="s">
        <v>21</v>
      </c>
      <c r="B521" t="s">
        <v>1896</v>
      </c>
      <c r="C521" t="s">
        <v>270</v>
      </c>
      <c r="D521" t="s">
        <v>1897</v>
      </c>
      <c r="E521" t="s">
        <v>1897</v>
      </c>
      <c r="F521" t="s">
        <v>1898</v>
      </c>
      <c r="M521" t="s">
        <v>312</v>
      </c>
      <c r="N521" t="s">
        <v>259</v>
      </c>
      <c r="P521" t="s">
        <v>260</v>
      </c>
      <c r="Q521" t="s">
        <v>260</v>
      </c>
      <c r="R521" t="s">
        <v>283</v>
      </c>
      <c r="S521" t="s">
        <v>21</v>
      </c>
      <c r="T521">
        <v>100</v>
      </c>
      <c r="W521" t="s">
        <v>262</v>
      </c>
      <c r="AB521" s="9">
        <v>45473</v>
      </c>
    </row>
    <row r="522" spans="1:28" x14ac:dyDescent="0.3">
      <c r="A522" t="s">
        <v>21</v>
      </c>
      <c r="B522" t="s">
        <v>1899</v>
      </c>
      <c r="C522" t="s">
        <v>270</v>
      </c>
      <c r="D522" t="s">
        <v>1900</v>
      </c>
      <c r="E522" t="s">
        <v>1900</v>
      </c>
      <c r="M522" t="s">
        <v>312</v>
      </c>
      <c r="N522" t="s">
        <v>259</v>
      </c>
      <c r="P522" t="s">
        <v>260</v>
      </c>
      <c r="Q522" t="s">
        <v>260</v>
      </c>
      <c r="R522" t="s">
        <v>283</v>
      </c>
      <c r="S522" t="s">
        <v>21</v>
      </c>
      <c r="T522">
        <v>100</v>
      </c>
      <c r="W522" t="s">
        <v>262</v>
      </c>
      <c r="AB522" s="9">
        <v>45473</v>
      </c>
    </row>
    <row r="523" spans="1:28" x14ac:dyDescent="0.3">
      <c r="A523" t="s">
        <v>21</v>
      </c>
      <c r="B523" t="s">
        <v>1901</v>
      </c>
      <c r="C523" t="s">
        <v>270</v>
      </c>
      <c r="D523" t="s">
        <v>1902</v>
      </c>
      <c r="E523" t="s">
        <v>1902</v>
      </c>
      <c r="M523" t="s">
        <v>312</v>
      </c>
      <c r="N523" t="s">
        <v>259</v>
      </c>
      <c r="P523" t="s">
        <v>260</v>
      </c>
      <c r="Q523" t="s">
        <v>260</v>
      </c>
      <c r="R523" t="s">
        <v>283</v>
      </c>
      <c r="S523" t="s">
        <v>21</v>
      </c>
      <c r="T523">
        <v>100</v>
      </c>
      <c r="W523" t="s">
        <v>262</v>
      </c>
      <c r="AB523" s="9">
        <v>45473</v>
      </c>
    </row>
    <row r="524" spans="1:28" x14ac:dyDescent="0.3">
      <c r="A524" t="s">
        <v>21</v>
      </c>
      <c r="B524" t="s">
        <v>1903</v>
      </c>
      <c r="C524" t="s">
        <v>270</v>
      </c>
      <c r="D524" t="s">
        <v>1904</v>
      </c>
      <c r="E524" t="s">
        <v>1904</v>
      </c>
      <c r="M524" t="s">
        <v>297</v>
      </c>
      <c r="N524" t="s">
        <v>276</v>
      </c>
      <c r="P524" t="s">
        <v>260</v>
      </c>
      <c r="Q524" t="s">
        <v>260</v>
      </c>
      <c r="R524" t="s">
        <v>283</v>
      </c>
      <c r="S524" t="s">
        <v>21</v>
      </c>
      <c r="T524">
        <v>100</v>
      </c>
      <c r="W524" t="s">
        <v>262</v>
      </c>
      <c r="AB524" s="9">
        <v>45473</v>
      </c>
    </row>
    <row r="525" spans="1:28" x14ac:dyDescent="0.3">
      <c r="A525" t="s">
        <v>21</v>
      </c>
      <c r="B525" t="s">
        <v>1905</v>
      </c>
      <c r="C525" t="s">
        <v>270</v>
      </c>
      <c r="D525" t="s">
        <v>1906</v>
      </c>
      <c r="E525" t="s">
        <v>1906</v>
      </c>
      <c r="M525" t="s">
        <v>297</v>
      </c>
      <c r="N525" t="s">
        <v>276</v>
      </c>
      <c r="P525" t="s">
        <v>260</v>
      </c>
      <c r="Q525" t="s">
        <v>260</v>
      </c>
      <c r="R525" t="s">
        <v>283</v>
      </c>
      <c r="S525" t="s">
        <v>21</v>
      </c>
      <c r="T525">
        <v>100</v>
      </c>
      <c r="W525" t="s">
        <v>262</v>
      </c>
      <c r="AB525" s="9">
        <v>45473</v>
      </c>
    </row>
    <row r="526" spans="1:28" x14ac:dyDescent="0.3">
      <c r="A526" t="s">
        <v>21</v>
      </c>
      <c r="B526" t="s">
        <v>1907</v>
      </c>
      <c r="C526" t="s">
        <v>270</v>
      </c>
      <c r="D526" t="s">
        <v>1908</v>
      </c>
      <c r="E526" t="s">
        <v>1908</v>
      </c>
      <c r="M526" t="s">
        <v>297</v>
      </c>
      <c r="N526" t="s">
        <v>276</v>
      </c>
      <c r="P526" t="s">
        <v>260</v>
      </c>
      <c r="Q526" t="s">
        <v>260</v>
      </c>
      <c r="R526" t="s">
        <v>283</v>
      </c>
      <c r="S526" t="s">
        <v>21</v>
      </c>
      <c r="T526">
        <v>100</v>
      </c>
      <c r="W526" t="s">
        <v>262</v>
      </c>
      <c r="AB526" s="9">
        <v>45473</v>
      </c>
    </row>
    <row r="527" spans="1:28" x14ac:dyDescent="0.3">
      <c r="A527" t="s">
        <v>21</v>
      </c>
      <c r="B527" t="s">
        <v>1909</v>
      </c>
      <c r="C527" t="s">
        <v>270</v>
      </c>
      <c r="D527" t="s">
        <v>1910</v>
      </c>
      <c r="E527">
        <v>5007</v>
      </c>
      <c r="G527" t="s">
        <v>1341</v>
      </c>
      <c r="H527" t="s">
        <v>1342</v>
      </c>
      <c r="I527" t="s">
        <v>1343</v>
      </c>
      <c r="J527" t="s">
        <v>297</v>
      </c>
      <c r="K527">
        <v>2104</v>
      </c>
      <c r="L527" t="s">
        <v>276</v>
      </c>
      <c r="M527" t="s">
        <v>631</v>
      </c>
      <c r="N527" t="s">
        <v>276</v>
      </c>
      <c r="P527" t="s">
        <v>260</v>
      </c>
      <c r="Q527" t="s">
        <v>260</v>
      </c>
      <c r="R527" t="s">
        <v>293</v>
      </c>
      <c r="S527" t="s">
        <v>21</v>
      </c>
      <c r="T527">
        <v>100</v>
      </c>
      <c r="W527" t="s">
        <v>262</v>
      </c>
      <c r="X527">
        <v>-37.008338000000002</v>
      </c>
      <c r="Y527">
        <v>174.870574</v>
      </c>
      <c r="Z527">
        <v>729</v>
      </c>
      <c r="AA527" s="9">
        <v>42917</v>
      </c>
    </row>
    <row r="528" spans="1:28" x14ac:dyDescent="0.3">
      <c r="A528" t="s">
        <v>21</v>
      </c>
      <c r="B528" t="s">
        <v>1911</v>
      </c>
      <c r="C528" t="s">
        <v>270</v>
      </c>
      <c r="D528" t="s">
        <v>1912</v>
      </c>
      <c r="E528">
        <v>5008</v>
      </c>
      <c r="G528" t="s">
        <v>1341</v>
      </c>
      <c r="H528" t="s">
        <v>1342</v>
      </c>
      <c r="I528" t="s">
        <v>1343</v>
      </c>
      <c r="J528" t="s">
        <v>297</v>
      </c>
      <c r="K528">
        <v>110</v>
      </c>
      <c r="L528" t="s">
        <v>276</v>
      </c>
      <c r="M528" t="s">
        <v>631</v>
      </c>
      <c r="N528" t="s">
        <v>276</v>
      </c>
      <c r="P528" t="s">
        <v>260</v>
      </c>
      <c r="Q528" t="s">
        <v>260</v>
      </c>
      <c r="R528" t="s">
        <v>293</v>
      </c>
      <c r="S528" t="s">
        <v>21</v>
      </c>
      <c r="T528">
        <v>100</v>
      </c>
      <c r="W528" t="s">
        <v>262</v>
      </c>
      <c r="X528">
        <v>-37.008338000000002</v>
      </c>
      <c r="Y528">
        <v>174.870574</v>
      </c>
      <c r="Z528">
        <v>729</v>
      </c>
      <c r="AA528" s="9">
        <v>42917</v>
      </c>
    </row>
    <row r="529" spans="1:27" x14ac:dyDescent="0.3">
      <c r="A529" t="s">
        <v>21</v>
      </c>
      <c r="B529" t="s">
        <v>1913</v>
      </c>
      <c r="C529" t="s">
        <v>270</v>
      </c>
      <c r="D529" t="s">
        <v>1914</v>
      </c>
      <c r="E529">
        <v>5001</v>
      </c>
      <c r="G529" t="s">
        <v>1341</v>
      </c>
      <c r="H529" t="s">
        <v>1342</v>
      </c>
      <c r="I529" t="s">
        <v>1343</v>
      </c>
      <c r="J529" t="s">
        <v>297</v>
      </c>
      <c r="K529">
        <v>2104</v>
      </c>
      <c r="L529" t="s">
        <v>276</v>
      </c>
      <c r="M529" t="s">
        <v>631</v>
      </c>
      <c r="N529" t="s">
        <v>276</v>
      </c>
      <c r="P529" t="s">
        <v>260</v>
      </c>
      <c r="Q529" t="s">
        <v>260</v>
      </c>
      <c r="R529" t="s">
        <v>293</v>
      </c>
      <c r="S529" t="s">
        <v>21</v>
      </c>
      <c r="T529">
        <v>100</v>
      </c>
      <c r="W529" t="s">
        <v>262</v>
      </c>
      <c r="X529">
        <v>-37.008338000000002</v>
      </c>
      <c r="Y529">
        <v>174.870574</v>
      </c>
      <c r="Z529">
        <v>729</v>
      </c>
      <c r="AA529" s="9">
        <v>42917</v>
      </c>
    </row>
    <row r="530" spans="1:27" x14ac:dyDescent="0.3">
      <c r="A530" t="s">
        <v>21</v>
      </c>
      <c r="B530" t="s">
        <v>1915</v>
      </c>
      <c r="C530" t="s">
        <v>270</v>
      </c>
      <c r="D530" t="s">
        <v>1916</v>
      </c>
      <c r="E530" t="s">
        <v>1917</v>
      </c>
      <c r="F530" t="s">
        <v>1917</v>
      </c>
      <c r="G530" t="s">
        <v>1341</v>
      </c>
      <c r="H530" t="s">
        <v>1342</v>
      </c>
      <c r="I530" t="s">
        <v>1343</v>
      </c>
      <c r="J530" t="s">
        <v>297</v>
      </c>
      <c r="K530">
        <v>1061</v>
      </c>
      <c r="L530" t="s">
        <v>276</v>
      </c>
      <c r="M530" t="s">
        <v>631</v>
      </c>
      <c r="N530" t="s">
        <v>276</v>
      </c>
      <c r="P530" t="s">
        <v>260</v>
      </c>
      <c r="Q530" t="s">
        <v>260</v>
      </c>
      <c r="R530" t="s">
        <v>293</v>
      </c>
      <c r="S530" t="s">
        <v>21</v>
      </c>
      <c r="T530">
        <v>100</v>
      </c>
      <c r="W530" t="s">
        <v>262</v>
      </c>
      <c r="X530">
        <v>-37.008338000000002</v>
      </c>
      <c r="Y530">
        <v>174.870574</v>
      </c>
      <c r="Z530">
        <v>729</v>
      </c>
      <c r="AA530" s="9">
        <v>42917</v>
      </c>
    </row>
    <row r="531" spans="1:27" x14ac:dyDescent="0.3">
      <c r="A531" t="s">
        <v>21</v>
      </c>
      <c r="B531" t="s">
        <v>1918</v>
      </c>
      <c r="C531" t="s">
        <v>264</v>
      </c>
      <c r="D531" t="s">
        <v>1919</v>
      </c>
      <c r="E531">
        <v>5293</v>
      </c>
      <c r="G531" t="s">
        <v>1920</v>
      </c>
      <c r="M531" t="s">
        <v>394</v>
      </c>
      <c r="N531" t="s">
        <v>276</v>
      </c>
      <c r="P531" t="s">
        <v>260</v>
      </c>
      <c r="Q531" t="s">
        <v>260</v>
      </c>
      <c r="R531" t="s">
        <v>268</v>
      </c>
      <c r="S531" t="s">
        <v>21</v>
      </c>
      <c r="T531">
        <v>100</v>
      </c>
      <c r="W531" t="s">
        <v>262</v>
      </c>
      <c r="Z531">
        <v>731</v>
      </c>
    </row>
    <row r="532" spans="1:27" x14ac:dyDescent="0.3">
      <c r="A532" t="s">
        <v>21</v>
      </c>
      <c r="B532" t="s">
        <v>1921</v>
      </c>
      <c r="C532" t="s">
        <v>270</v>
      </c>
      <c r="D532" t="s">
        <v>1922</v>
      </c>
      <c r="E532">
        <v>5096</v>
      </c>
      <c r="F532">
        <v>898129</v>
      </c>
      <c r="G532" t="s">
        <v>634</v>
      </c>
      <c r="H532" t="s">
        <v>1390</v>
      </c>
      <c r="I532" t="s">
        <v>1343</v>
      </c>
      <c r="J532" t="s">
        <v>297</v>
      </c>
      <c r="K532">
        <v>3116</v>
      </c>
      <c r="L532" t="s">
        <v>276</v>
      </c>
      <c r="M532" t="s">
        <v>631</v>
      </c>
      <c r="N532" t="s">
        <v>276</v>
      </c>
      <c r="P532" t="s">
        <v>260</v>
      </c>
      <c r="Q532" t="s">
        <v>260</v>
      </c>
      <c r="R532" t="s">
        <v>261</v>
      </c>
      <c r="S532" t="s">
        <v>21</v>
      </c>
      <c r="T532">
        <v>100</v>
      </c>
      <c r="U532" t="s">
        <v>354</v>
      </c>
      <c r="W532" t="s">
        <v>262</v>
      </c>
      <c r="X532">
        <v>-37.008338000000002</v>
      </c>
      <c r="Y532">
        <v>174.870574</v>
      </c>
      <c r="Z532">
        <v>729</v>
      </c>
      <c r="AA532" s="9">
        <v>42917</v>
      </c>
    </row>
    <row r="533" spans="1:27" x14ac:dyDescent="0.3">
      <c r="A533" t="s">
        <v>21</v>
      </c>
      <c r="B533" t="s">
        <v>1923</v>
      </c>
      <c r="C533" t="s">
        <v>270</v>
      </c>
      <c r="D533" t="s">
        <v>1924</v>
      </c>
      <c r="E533">
        <v>5097</v>
      </c>
      <c r="G533" t="s">
        <v>634</v>
      </c>
      <c r="H533" t="s">
        <v>437</v>
      </c>
      <c r="I533" t="s">
        <v>429</v>
      </c>
      <c r="J533" t="s">
        <v>430</v>
      </c>
      <c r="K533">
        <v>3200</v>
      </c>
      <c r="L533" t="s">
        <v>276</v>
      </c>
      <c r="M533" t="s">
        <v>429</v>
      </c>
      <c r="N533" t="s">
        <v>276</v>
      </c>
      <c r="P533" t="s">
        <v>260</v>
      </c>
      <c r="Q533" t="s">
        <v>260</v>
      </c>
      <c r="R533" t="s">
        <v>261</v>
      </c>
      <c r="S533" t="s">
        <v>21</v>
      </c>
      <c r="T533">
        <v>100</v>
      </c>
      <c r="U533" t="s">
        <v>354</v>
      </c>
      <c r="W533" t="s">
        <v>262</v>
      </c>
      <c r="X533">
        <v>-37.678293799999999</v>
      </c>
      <c r="Y533">
        <v>176.22236429999899</v>
      </c>
      <c r="Z533">
        <v>729</v>
      </c>
      <c r="AA533" s="9">
        <v>42917</v>
      </c>
    </row>
    <row r="534" spans="1:27" x14ac:dyDescent="0.3">
      <c r="A534" t="s">
        <v>21</v>
      </c>
      <c r="B534" t="s">
        <v>1925</v>
      </c>
      <c r="C534" t="s">
        <v>270</v>
      </c>
      <c r="D534" t="s">
        <v>1926</v>
      </c>
      <c r="E534">
        <v>5098</v>
      </c>
      <c r="G534" t="s">
        <v>634</v>
      </c>
      <c r="H534" t="s">
        <v>437</v>
      </c>
      <c r="I534" t="s">
        <v>429</v>
      </c>
      <c r="J534" t="s">
        <v>430</v>
      </c>
      <c r="K534">
        <v>2104</v>
      </c>
      <c r="L534" t="s">
        <v>276</v>
      </c>
      <c r="M534" t="s">
        <v>429</v>
      </c>
      <c r="N534" t="s">
        <v>276</v>
      </c>
      <c r="P534" t="s">
        <v>260</v>
      </c>
      <c r="Q534" t="s">
        <v>260</v>
      </c>
      <c r="R534" t="s">
        <v>261</v>
      </c>
      <c r="S534" t="s">
        <v>21</v>
      </c>
      <c r="T534">
        <v>100</v>
      </c>
      <c r="U534" t="s">
        <v>354</v>
      </c>
      <c r="W534" t="s">
        <v>262</v>
      </c>
      <c r="X534">
        <v>-37.678293799999999</v>
      </c>
      <c r="Y534">
        <v>176.22236429999899</v>
      </c>
      <c r="Z534">
        <v>729</v>
      </c>
      <c r="AA534" s="9">
        <v>42917</v>
      </c>
    </row>
    <row r="535" spans="1:27" x14ac:dyDescent="0.3">
      <c r="A535" t="s">
        <v>21</v>
      </c>
      <c r="B535" t="s">
        <v>1927</v>
      </c>
      <c r="C535" t="s">
        <v>270</v>
      </c>
      <c r="D535" t="s">
        <v>1928</v>
      </c>
      <c r="E535">
        <v>5099</v>
      </c>
      <c r="G535" t="s">
        <v>634</v>
      </c>
      <c r="H535" t="s">
        <v>378</v>
      </c>
      <c r="I535" t="s">
        <v>379</v>
      </c>
      <c r="J535" t="s">
        <v>380</v>
      </c>
      <c r="K535">
        <v>8051</v>
      </c>
      <c r="L535" t="s">
        <v>276</v>
      </c>
      <c r="M535" t="s">
        <v>379</v>
      </c>
      <c r="N535" t="s">
        <v>276</v>
      </c>
      <c r="P535" t="s">
        <v>260</v>
      </c>
      <c r="Q535" t="s">
        <v>260</v>
      </c>
      <c r="R535" t="s">
        <v>261</v>
      </c>
      <c r="S535" t="s">
        <v>21</v>
      </c>
      <c r="T535">
        <v>100</v>
      </c>
      <c r="U535" t="s">
        <v>354</v>
      </c>
      <c r="W535" t="s">
        <v>262</v>
      </c>
      <c r="X535">
        <v>-37.754067999999997</v>
      </c>
      <c r="Y535">
        <v>175.23705870000001</v>
      </c>
      <c r="Z535">
        <v>729</v>
      </c>
      <c r="AA535" s="9">
        <v>42917</v>
      </c>
    </row>
    <row r="536" spans="1:27" x14ac:dyDescent="0.3">
      <c r="A536" t="s">
        <v>21</v>
      </c>
      <c r="B536" t="s">
        <v>1929</v>
      </c>
      <c r="C536" t="s">
        <v>270</v>
      </c>
      <c r="D536" t="s">
        <v>1930</v>
      </c>
      <c r="E536">
        <v>5100</v>
      </c>
      <c r="F536">
        <v>898130</v>
      </c>
      <c r="G536" t="s">
        <v>634</v>
      </c>
      <c r="H536" t="s">
        <v>1390</v>
      </c>
      <c r="I536" t="s">
        <v>1343</v>
      </c>
      <c r="J536" t="s">
        <v>297</v>
      </c>
      <c r="K536">
        <v>5022</v>
      </c>
      <c r="L536" t="s">
        <v>276</v>
      </c>
      <c r="M536" t="s">
        <v>631</v>
      </c>
      <c r="N536" t="s">
        <v>276</v>
      </c>
      <c r="P536" t="s">
        <v>260</v>
      </c>
      <c r="Q536" t="s">
        <v>260</v>
      </c>
      <c r="R536" t="s">
        <v>261</v>
      </c>
      <c r="S536" t="s">
        <v>21</v>
      </c>
      <c r="T536">
        <v>100</v>
      </c>
      <c r="U536" t="s">
        <v>354</v>
      </c>
      <c r="W536" t="s">
        <v>262</v>
      </c>
      <c r="X536">
        <v>-37.008338000000002</v>
      </c>
      <c r="Y536">
        <v>174.870574</v>
      </c>
      <c r="Z536">
        <v>729</v>
      </c>
      <c r="AA536" s="9">
        <v>42917</v>
      </c>
    </row>
    <row r="537" spans="1:27" x14ac:dyDescent="0.3">
      <c r="A537" t="s">
        <v>21</v>
      </c>
      <c r="B537" t="s">
        <v>1931</v>
      </c>
      <c r="C537" t="s">
        <v>270</v>
      </c>
      <c r="D537" t="s">
        <v>1932</v>
      </c>
      <c r="E537">
        <v>5101</v>
      </c>
      <c r="G537" t="s">
        <v>634</v>
      </c>
      <c r="H537" t="s">
        <v>644</v>
      </c>
      <c r="I537" t="s">
        <v>390</v>
      </c>
      <c r="J537" t="s">
        <v>425</v>
      </c>
      <c r="K537">
        <v>1061</v>
      </c>
      <c r="L537" t="s">
        <v>276</v>
      </c>
      <c r="M537" t="s">
        <v>390</v>
      </c>
      <c r="N537" t="s">
        <v>276</v>
      </c>
      <c r="P537" t="s">
        <v>260</v>
      </c>
      <c r="Q537" t="s">
        <v>260</v>
      </c>
      <c r="R537" t="s">
        <v>261</v>
      </c>
      <c r="S537" t="s">
        <v>21</v>
      </c>
      <c r="T537">
        <v>100</v>
      </c>
      <c r="U537" t="s">
        <v>354</v>
      </c>
      <c r="W537" t="s">
        <v>262</v>
      </c>
      <c r="X537">
        <v>-43.476427299999997</v>
      </c>
      <c r="Y537">
        <v>172.51673359999899</v>
      </c>
      <c r="Z537">
        <v>729</v>
      </c>
      <c r="AA537" s="9">
        <v>42917</v>
      </c>
    </row>
    <row r="538" spans="1:27" x14ac:dyDescent="0.3">
      <c r="A538" t="s">
        <v>21</v>
      </c>
      <c r="B538" t="s">
        <v>1933</v>
      </c>
      <c r="C538" t="s">
        <v>270</v>
      </c>
      <c r="D538" t="s">
        <v>1934</v>
      </c>
      <c r="E538">
        <v>5102</v>
      </c>
      <c r="G538" t="s">
        <v>634</v>
      </c>
      <c r="H538" t="s">
        <v>821</v>
      </c>
      <c r="I538" t="s">
        <v>822</v>
      </c>
      <c r="J538" t="s">
        <v>403</v>
      </c>
      <c r="K538">
        <v>2104</v>
      </c>
      <c r="L538" t="s">
        <v>276</v>
      </c>
      <c r="M538" t="s">
        <v>822</v>
      </c>
      <c r="N538" t="s">
        <v>276</v>
      </c>
      <c r="P538" t="s">
        <v>260</v>
      </c>
      <c r="Q538" t="s">
        <v>260</v>
      </c>
      <c r="R538" t="s">
        <v>261</v>
      </c>
      <c r="S538" t="s">
        <v>21</v>
      </c>
      <c r="T538">
        <v>100</v>
      </c>
      <c r="U538" t="s">
        <v>354</v>
      </c>
      <c r="W538" t="s">
        <v>262</v>
      </c>
      <c r="X538">
        <v>-41.137590600000003</v>
      </c>
      <c r="Y538">
        <v>174.831221499999</v>
      </c>
      <c r="Z538">
        <v>729</v>
      </c>
      <c r="AA538" s="9">
        <v>42917</v>
      </c>
    </row>
    <row r="539" spans="1:27" x14ac:dyDescent="0.3">
      <c r="A539" t="s">
        <v>21</v>
      </c>
      <c r="B539" t="s">
        <v>1935</v>
      </c>
      <c r="C539" t="s">
        <v>270</v>
      </c>
      <c r="D539" t="s">
        <v>1037</v>
      </c>
      <c r="E539">
        <v>5168</v>
      </c>
      <c r="G539" t="s">
        <v>1936</v>
      </c>
      <c r="H539" t="s">
        <v>1937</v>
      </c>
      <c r="I539" t="s">
        <v>297</v>
      </c>
      <c r="J539" t="s">
        <v>297</v>
      </c>
      <c r="K539">
        <v>8051</v>
      </c>
      <c r="L539" t="s">
        <v>276</v>
      </c>
      <c r="M539" t="s">
        <v>631</v>
      </c>
      <c r="N539" t="s">
        <v>276</v>
      </c>
      <c r="P539" t="s">
        <v>260</v>
      </c>
      <c r="Q539" t="s">
        <v>260</v>
      </c>
      <c r="R539" t="s">
        <v>261</v>
      </c>
      <c r="S539" t="s">
        <v>21</v>
      </c>
      <c r="T539">
        <v>100</v>
      </c>
      <c r="U539" t="s">
        <v>354</v>
      </c>
      <c r="W539" t="s">
        <v>262</v>
      </c>
      <c r="X539">
        <v>-37.008338299999998</v>
      </c>
      <c r="Y539">
        <v>174.87057359999901</v>
      </c>
      <c r="Z539">
        <v>310</v>
      </c>
      <c r="AA539" s="9">
        <v>42917</v>
      </c>
    </row>
    <row r="540" spans="1:27" x14ac:dyDescent="0.3">
      <c r="A540" t="s">
        <v>21</v>
      </c>
      <c r="B540" t="s">
        <v>1938</v>
      </c>
      <c r="C540" t="s">
        <v>270</v>
      </c>
      <c r="D540" t="s">
        <v>1939</v>
      </c>
      <c r="E540">
        <v>5103</v>
      </c>
      <c r="G540" t="s">
        <v>634</v>
      </c>
      <c r="H540" t="s">
        <v>370</v>
      </c>
      <c r="I540" t="s">
        <v>297</v>
      </c>
      <c r="J540" t="s">
        <v>297</v>
      </c>
      <c r="K540">
        <v>8051</v>
      </c>
      <c r="L540" t="s">
        <v>276</v>
      </c>
      <c r="M540" t="s">
        <v>371</v>
      </c>
      <c r="N540" t="s">
        <v>276</v>
      </c>
      <c r="P540" t="s">
        <v>260</v>
      </c>
      <c r="Q540" t="s">
        <v>260</v>
      </c>
      <c r="R540" t="s">
        <v>261</v>
      </c>
      <c r="S540" t="s">
        <v>21</v>
      </c>
      <c r="T540">
        <v>100</v>
      </c>
      <c r="U540" t="s">
        <v>354</v>
      </c>
      <c r="W540" t="s">
        <v>262</v>
      </c>
      <c r="X540">
        <v>-36.915213600000001</v>
      </c>
      <c r="Y540">
        <v>174.82028089999901</v>
      </c>
      <c r="Z540">
        <v>729</v>
      </c>
      <c r="AA540" s="9">
        <v>42917</v>
      </c>
    </row>
    <row r="541" spans="1:27" x14ac:dyDescent="0.3">
      <c r="A541" t="s">
        <v>21</v>
      </c>
      <c r="B541" t="s">
        <v>1940</v>
      </c>
      <c r="C541" t="s">
        <v>270</v>
      </c>
      <c r="D541" t="s">
        <v>1371</v>
      </c>
      <c r="E541" t="s">
        <v>1371</v>
      </c>
      <c r="G541" t="s">
        <v>272</v>
      </c>
      <c r="H541" t="s">
        <v>777</v>
      </c>
      <c r="I541" t="s">
        <v>429</v>
      </c>
      <c r="J541" t="s">
        <v>430</v>
      </c>
      <c r="K541">
        <v>9494</v>
      </c>
      <c r="L541" t="s">
        <v>276</v>
      </c>
      <c r="M541" t="s">
        <v>429</v>
      </c>
      <c r="N541" t="s">
        <v>276</v>
      </c>
      <c r="P541" t="s">
        <v>260</v>
      </c>
      <c r="Q541" t="s">
        <v>260</v>
      </c>
      <c r="R541" t="s">
        <v>261</v>
      </c>
      <c r="S541" t="s">
        <v>21</v>
      </c>
      <c r="T541">
        <v>100</v>
      </c>
      <c r="W541" t="s">
        <v>262</v>
      </c>
      <c r="X541">
        <v>-37.742166999999903</v>
      </c>
      <c r="Y541">
        <v>176.10169889999901</v>
      </c>
      <c r="Z541">
        <v>731</v>
      </c>
      <c r="AA541" s="9">
        <v>42917</v>
      </c>
    </row>
    <row r="542" spans="1:27" x14ac:dyDescent="0.3">
      <c r="A542" t="s">
        <v>21</v>
      </c>
      <c r="B542" t="s">
        <v>1941</v>
      </c>
      <c r="C542" t="s">
        <v>270</v>
      </c>
      <c r="D542" t="s">
        <v>1942</v>
      </c>
      <c r="E542">
        <v>5104</v>
      </c>
      <c r="G542" t="s">
        <v>634</v>
      </c>
      <c r="H542" t="s">
        <v>1390</v>
      </c>
      <c r="I542" t="s">
        <v>1343</v>
      </c>
      <c r="J542" t="s">
        <v>297</v>
      </c>
      <c r="K542">
        <v>5022</v>
      </c>
      <c r="L542" t="s">
        <v>276</v>
      </c>
      <c r="M542" t="s">
        <v>631</v>
      </c>
      <c r="N542" t="s">
        <v>276</v>
      </c>
      <c r="P542" t="s">
        <v>260</v>
      </c>
      <c r="Q542" t="s">
        <v>260</v>
      </c>
      <c r="R542" t="s">
        <v>261</v>
      </c>
      <c r="S542" t="s">
        <v>21</v>
      </c>
      <c r="T542">
        <v>100</v>
      </c>
      <c r="U542" t="s">
        <v>354</v>
      </c>
      <c r="W542" t="s">
        <v>262</v>
      </c>
      <c r="X542">
        <v>-37.008338000000002</v>
      </c>
      <c r="Y542">
        <v>174.870574</v>
      </c>
      <c r="Z542">
        <v>729</v>
      </c>
      <c r="AA542" s="9">
        <v>42917</v>
      </c>
    </row>
    <row r="543" spans="1:27" x14ac:dyDescent="0.3">
      <c r="A543" t="s">
        <v>21</v>
      </c>
      <c r="B543" t="s">
        <v>1943</v>
      </c>
      <c r="C543" t="s">
        <v>270</v>
      </c>
      <c r="D543" t="s">
        <v>1944</v>
      </c>
      <c r="E543">
        <v>5167</v>
      </c>
      <c r="G543" t="s">
        <v>1936</v>
      </c>
      <c r="H543" t="s">
        <v>1945</v>
      </c>
      <c r="I543" t="s">
        <v>390</v>
      </c>
      <c r="J543" t="s">
        <v>425</v>
      </c>
      <c r="K543">
        <v>1640</v>
      </c>
      <c r="L543" t="s">
        <v>276</v>
      </c>
      <c r="M543" t="s">
        <v>390</v>
      </c>
      <c r="N543" t="s">
        <v>276</v>
      </c>
      <c r="P543" t="s">
        <v>260</v>
      </c>
      <c r="Q543" t="s">
        <v>260</v>
      </c>
      <c r="R543" t="s">
        <v>261</v>
      </c>
      <c r="S543" t="s">
        <v>21</v>
      </c>
      <c r="T543">
        <v>100</v>
      </c>
      <c r="U543" t="s">
        <v>354</v>
      </c>
      <c r="W543" t="s">
        <v>262</v>
      </c>
      <c r="X543">
        <v>-43.476427299999997</v>
      </c>
      <c r="Y543">
        <v>172.51673359999899</v>
      </c>
      <c r="Z543">
        <v>310</v>
      </c>
      <c r="AA543" s="9">
        <v>42917</v>
      </c>
    </row>
    <row r="544" spans="1:27" x14ac:dyDescent="0.3">
      <c r="A544" t="s">
        <v>21</v>
      </c>
      <c r="B544" t="s">
        <v>1946</v>
      </c>
      <c r="C544" t="s">
        <v>270</v>
      </c>
      <c r="D544" t="s">
        <v>1947</v>
      </c>
      <c r="E544">
        <v>5105</v>
      </c>
      <c r="G544" t="s">
        <v>634</v>
      </c>
      <c r="H544" t="s">
        <v>644</v>
      </c>
      <c r="I544" t="s">
        <v>390</v>
      </c>
      <c r="J544" t="s">
        <v>425</v>
      </c>
      <c r="K544">
        <v>3200</v>
      </c>
      <c r="L544" t="s">
        <v>276</v>
      </c>
      <c r="M544" t="s">
        <v>390</v>
      </c>
      <c r="N544" t="s">
        <v>276</v>
      </c>
      <c r="P544" t="s">
        <v>260</v>
      </c>
      <c r="Q544" t="s">
        <v>260</v>
      </c>
      <c r="R544" t="s">
        <v>261</v>
      </c>
      <c r="S544" t="s">
        <v>21</v>
      </c>
      <c r="T544">
        <v>100</v>
      </c>
      <c r="U544" t="s">
        <v>354</v>
      </c>
      <c r="W544" t="s">
        <v>262</v>
      </c>
      <c r="X544">
        <v>-43.476427299999997</v>
      </c>
      <c r="Y544">
        <v>172.51673359999899</v>
      </c>
      <c r="Z544">
        <v>729</v>
      </c>
      <c r="AA544" s="9">
        <v>42917</v>
      </c>
    </row>
    <row r="545" spans="1:28" x14ac:dyDescent="0.3">
      <c r="A545" t="s">
        <v>21</v>
      </c>
      <c r="B545" t="s">
        <v>1948</v>
      </c>
      <c r="C545" t="s">
        <v>264</v>
      </c>
      <c r="D545" t="s">
        <v>1949</v>
      </c>
      <c r="E545">
        <v>5305</v>
      </c>
      <c r="F545">
        <v>5305</v>
      </c>
      <c r="M545" t="s">
        <v>385</v>
      </c>
      <c r="N545" t="s">
        <v>276</v>
      </c>
      <c r="P545" t="s">
        <v>260</v>
      </c>
      <c r="Q545" t="s">
        <v>260</v>
      </c>
      <c r="R545" t="s">
        <v>261</v>
      </c>
      <c r="S545" t="s">
        <v>21</v>
      </c>
      <c r="T545">
        <v>100</v>
      </c>
      <c r="U545" t="s">
        <v>354</v>
      </c>
      <c r="W545" t="s">
        <v>262</v>
      </c>
    </row>
    <row r="546" spans="1:28" x14ac:dyDescent="0.3">
      <c r="A546" t="s">
        <v>21</v>
      </c>
      <c r="B546" t="s">
        <v>1950</v>
      </c>
      <c r="C546" t="s">
        <v>264</v>
      </c>
      <c r="D546" t="s">
        <v>840</v>
      </c>
      <c r="E546" t="s">
        <v>840</v>
      </c>
      <c r="G546" t="s">
        <v>837</v>
      </c>
      <c r="H546" t="s">
        <v>1342</v>
      </c>
      <c r="I546" t="s">
        <v>1343</v>
      </c>
      <c r="J546" t="s">
        <v>297</v>
      </c>
      <c r="K546">
        <v>2104</v>
      </c>
      <c r="L546" t="s">
        <v>276</v>
      </c>
      <c r="M546" t="s">
        <v>631</v>
      </c>
      <c r="N546" t="s">
        <v>276</v>
      </c>
      <c r="P546" t="s">
        <v>260</v>
      </c>
      <c r="Q546" t="s">
        <v>260</v>
      </c>
      <c r="R546" t="s">
        <v>283</v>
      </c>
      <c r="S546" t="s">
        <v>21</v>
      </c>
      <c r="T546">
        <v>100</v>
      </c>
      <c r="W546" t="s">
        <v>262</v>
      </c>
      <c r="X546">
        <v>-37.008125999999997</v>
      </c>
      <c r="Y546">
        <v>174.87054000000001</v>
      </c>
      <c r="Z546">
        <v>729</v>
      </c>
      <c r="AA546" s="9">
        <v>42917</v>
      </c>
    </row>
    <row r="547" spans="1:28" x14ac:dyDescent="0.3">
      <c r="A547" t="s">
        <v>21</v>
      </c>
      <c r="B547" t="s">
        <v>1951</v>
      </c>
      <c r="C547" t="s">
        <v>270</v>
      </c>
      <c r="D547" t="s">
        <v>1952</v>
      </c>
      <c r="E547">
        <v>5129</v>
      </c>
      <c r="G547" t="s">
        <v>837</v>
      </c>
      <c r="H547" t="s">
        <v>1342</v>
      </c>
      <c r="I547" t="s">
        <v>1343</v>
      </c>
      <c r="J547" t="s">
        <v>297</v>
      </c>
      <c r="K547">
        <v>2104</v>
      </c>
      <c r="L547" t="s">
        <v>276</v>
      </c>
      <c r="M547" t="s">
        <v>631</v>
      </c>
      <c r="N547" t="s">
        <v>276</v>
      </c>
      <c r="P547" t="s">
        <v>260</v>
      </c>
      <c r="Q547" t="s">
        <v>260</v>
      </c>
      <c r="R547" t="s">
        <v>283</v>
      </c>
      <c r="S547" t="s">
        <v>21</v>
      </c>
      <c r="T547">
        <v>100</v>
      </c>
      <c r="W547" t="s">
        <v>262</v>
      </c>
      <c r="X547">
        <v>-37.008125999999997</v>
      </c>
      <c r="Y547">
        <v>174.87054000000001</v>
      </c>
      <c r="Z547">
        <v>729</v>
      </c>
      <c r="AA547" s="9">
        <v>42917</v>
      </c>
    </row>
    <row r="548" spans="1:28" x14ac:dyDescent="0.3">
      <c r="A548" t="s">
        <v>21</v>
      </c>
      <c r="B548" t="s">
        <v>1953</v>
      </c>
      <c r="C548" t="s">
        <v>270</v>
      </c>
      <c r="D548" t="s">
        <v>1954</v>
      </c>
      <c r="E548">
        <v>5130</v>
      </c>
      <c r="G548" t="s">
        <v>837</v>
      </c>
      <c r="H548" t="s">
        <v>1390</v>
      </c>
      <c r="I548" t="s">
        <v>1343</v>
      </c>
      <c r="J548" t="s">
        <v>297</v>
      </c>
      <c r="K548">
        <v>2104</v>
      </c>
      <c r="L548" t="s">
        <v>276</v>
      </c>
      <c r="M548" t="s">
        <v>631</v>
      </c>
      <c r="N548" t="s">
        <v>276</v>
      </c>
      <c r="P548" t="s">
        <v>260</v>
      </c>
      <c r="Q548" t="s">
        <v>260</v>
      </c>
      <c r="R548" t="s">
        <v>283</v>
      </c>
      <c r="S548" t="s">
        <v>21</v>
      </c>
      <c r="T548">
        <v>100</v>
      </c>
      <c r="W548" t="s">
        <v>262</v>
      </c>
      <c r="X548">
        <v>-37.008125999999997</v>
      </c>
      <c r="Y548">
        <v>174.87054000000001</v>
      </c>
      <c r="Z548">
        <v>729</v>
      </c>
      <c r="AA548" s="9">
        <v>42917</v>
      </c>
    </row>
    <row r="549" spans="1:28" x14ac:dyDescent="0.3">
      <c r="A549" t="s">
        <v>21</v>
      </c>
      <c r="B549" t="s">
        <v>1955</v>
      </c>
      <c r="C549" t="s">
        <v>270</v>
      </c>
      <c r="D549" t="s">
        <v>840</v>
      </c>
      <c r="E549" t="s">
        <v>840</v>
      </c>
      <c r="G549" t="s">
        <v>828</v>
      </c>
      <c r="H549" t="s">
        <v>1342</v>
      </c>
      <c r="I549" t="s">
        <v>1343</v>
      </c>
      <c r="J549" t="s">
        <v>297</v>
      </c>
      <c r="K549">
        <v>5010</v>
      </c>
      <c r="L549" t="s">
        <v>276</v>
      </c>
      <c r="M549" t="s">
        <v>631</v>
      </c>
      <c r="N549" t="s">
        <v>276</v>
      </c>
      <c r="P549" t="s">
        <v>260</v>
      </c>
      <c r="Q549" t="s">
        <v>260</v>
      </c>
      <c r="R549" t="s">
        <v>283</v>
      </c>
      <c r="S549" t="s">
        <v>21</v>
      </c>
      <c r="T549">
        <v>100</v>
      </c>
      <c r="W549" t="s">
        <v>262</v>
      </c>
      <c r="X549">
        <v>-37.008125999999997</v>
      </c>
      <c r="Y549">
        <v>174.87054000000001</v>
      </c>
      <c r="Z549">
        <v>310</v>
      </c>
      <c r="AA549" s="9">
        <v>42917</v>
      </c>
    </row>
    <row r="550" spans="1:28" x14ac:dyDescent="0.3">
      <c r="A550" t="s">
        <v>21</v>
      </c>
      <c r="B550" t="s">
        <v>1956</v>
      </c>
      <c r="C550" t="s">
        <v>270</v>
      </c>
      <c r="D550" t="s">
        <v>1957</v>
      </c>
      <c r="E550" t="s">
        <v>1957</v>
      </c>
      <c r="F550" t="s">
        <v>1957</v>
      </c>
      <c r="G550" t="s">
        <v>828</v>
      </c>
      <c r="H550" t="s">
        <v>1958</v>
      </c>
      <c r="I550" t="s">
        <v>703</v>
      </c>
      <c r="J550" t="s">
        <v>403</v>
      </c>
      <c r="K550">
        <v>5810</v>
      </c>
      <c r="L550" t="s">
        <v>276</v>
      </c>
      <c r="M550" t="s">
        <v>703</v>
      </c>
      <c r="N550" t="s">
        <v>276</v>
      </c>
      <c r="P550" t="s">
        <v>260</v>
      </c>
      <c r="Q550" t="s">
        <v>260</v>
      </c>
      <c r="R550" t="s">
        <v>283</v>
      </c>
      <c r="S550" t="s">
        <v>21</v>
      </c>
      <c r="T550">
        <v>100</v>
      </c>
      <c r="W550" t="s">
        <v>262</v>
      </c>
      <c r="X550">
        <v>-41.232049099999998</v>
      </c>
      <c r="Y550">
        <v>174.9143794</v>
      </c>
      <c r="Z550">
        <v>310</v>
      </c>
      <c r="AA550" s="9">
        <v>42917</v>
      </c>
    </row>
    <row r="551" spans="1:28" x14ac:dyDescent="0.3">
      <c r="A551" t="s">
        <v>21</v>
      </c>
      <c r="B551" t="s">
        <v>1959</v>
      </c>
      <c r="C551" t="s">
        <v>270</v>
      </c>
      <c r="D551" t="s">
        <v>1960</v>
      </c>
      <c r="E551">
        <v>5106</v>
      </c>
      <c r="G551" t="s">
        <v>1961</v>
      </c>
      <c r="H551" t="s">
        <v>821</v>
      </c>
      <c r="I551" t="s">
        <v>822</v>
      </c>
      <c r="J551" t="s">
        <v>403</v>
      </c>
      <c r="K551">
        <v>3200</v>
      </c>
      <c r="L551" t="s">
        <v>276</v>
      </c>
      <c r="M551" t="s">
        <v>822</v>
      </c>
      <c r="N551" t="s">
        <v>276</v>
      </c>
      <c r="P551" t="s">
        <v>260</v>
      </c>
      <c r="Q551" t="s">
        <v>260</v>
      </c>
      <c r="R551" t="s">
        <v>261</v>
      </c>
      <c r="S551" t="s">
        <v>21</v>
      </c>
      <c r="T551">
        <v>100</v>
      </c>
      <c r="U551" t="s">
        <v>354</v>
      </c>
      <c r="W551" t="s">
        <v>262</v>
      </c>
      <c r="X551">
        <v>-41.137590600000003</v>
      </c>
      <c r="Y551">
        <v>174.831221499999</v>
      </c>
      <c r="Z551">
        <v>310</v>
      </c>
      <c r="AA551" s="9">
        <v>42917</v>
      </c>
    </row>
    <row r="552" spans="1:28" x14ac:dyDescent="0.3">
      <c r="A552" t="s">
        <v>21</v>
      </c>
      <c r="B552" t="s">
        <v>1962</v>
      </c>
      <c r="C552" t="s">
        <v>270</v>
      </c>
      <c r="D552" t="s">
        <v>1963</v>
      </c>
      <c r="E552">
        <v>5107</v>
      </c>
      <c r="G552" t="s">
        <v>1961</v>
      </c>
      <c r="H552" t="s">
        <v>378</v>
      </c>
      <c r="I552" t="s">
        <v>379</v>
      </c>
      <c r="J552" t="s">
        <v>380</v>
      </c>
      <c r="K552">
        <v>1061</v>
      </c>
      <c r="L552" t="s">
        <v>276</v>
      </c>
      <c r="M552" t="s">
        <v>379</v>
      </c>
      <c r="N552" t="s">
        <v>276</v>
      </c>
      <c r="P552" t="s">
        <v>260</v>
      </c>
      <c r="Q552" t="s">
        <v>260</v>
      </c>
      <c r="R552" t="s">
        <v>261</v>
      </c>
      <c r="S552" t="s">
        <v>21</v>
      </c>
      <c r="T552">
        <v>100</v>
      </c>
      <c r="U552" t="s">
        <v>354</v>
      </c>
      <c r="W552" t="s">
        <v>262</v>
      </c>
      <c r="X552">
        <v>-37.754067999999997</v>
      </c>
      <c r="Y552">
        <v>175.23705870000001</v>
      </c>
      <c r="Z552">
        <v>310</v>
      </c>
      <c r="AA552" s="9">
        <v>42917</v>
      </c>
    </row>
    <row r="553" spans="1:28" x14ac:dyDescent="0.3">
      <c r="A553" t="s">
        <v>21</v>
      </c>
      <c r="B553" t="s">
        <v>1964</v>
      </c>
      <c r="C553" t="s">
        <v>270</v>
      </c>
      <c r="D553" t="s">
        <v>1965</v>
      </c>
      <c r="E553">
        <v>5108</v>
      </c>
      <c r="G553" t="s">
        <v>1961</v>
      </c>
      <c r="H553" t="s">
        <v>378</v>
      </c>
      <c r="I553" t="s">
        <v>379</v>
      </c>
      <c r="J553" t="s">
        <v>380</v>
      </c>
      <c r="K553">
        <v>1061</v>
      </c>
      <c r="L553" t="s">
        <v>276</v>
      </c>
      <c r="M553" t="s">
        <v>379</v>
      </c>
      <c r="N553" t="s">
        <v>276</v>
      </c>
      <c r="P553" t="s">
        <v>260</v>
      </c>
      <c r="Q553" t="s">
        <v>260</v>
      </c>
      <c r="R553" t="s">
        <v>261</v>
      </c>
      <c r="S553" t="s">
        <v>21</v>
      </c>
      <c r="T553">
        <v>100</v>
      </c>
      <c r="U553" t="s">
        <v>354</v>
      </c>
      <c r="W553" t="s">
        <v>262</v>
      </c>
      <c r="X553">
        <v>-37.754067999999997</v>
      </c>
      <c r="Y553">
        <v>175.23705870000001</v>
      </c>
      <c r="Z553">
        <v>310</v>
      </c>
      <c r="AA553" s="9">
        <v>42917</v>
      </c>
    </row>
    <row r="554" spans="1:28" x14ac:dyDescent="0.3">
      <c r="A554" t="s">
        <v>21</v>
      </c>
      <c r="B554" t="s">
        <v>1966</v>
      </c>
      <c r="C554" t="s">
        <v>270</v>
      </c>
      <c r="D554" t="s">
        <v>1967</v>
      </c>
      <c r="E554">
        <v>5109</v>
      </c>
      <c r="G554" t="s">
        <v>1961</v>
      </c>
      <c r="H554" t="s">
        <v>370</v>
      </c>
      <c r="I554" t="s">
        <v>297</v>
      </c>
      <c r="J554" t="s">
        <v>297</v>
      </c>
      <c r="K554">
        <v>8051</v>
      </c>
      <c r="L554" t="s">
        <v>276</v>
      </c>
      <c r="M554" t="s">
        <v>371</v>
      </c>
      <c r="N554" t="s">
        <v>276</v>
      </c>
      <c r="P554" t="s">
        <v>260</v>
      </c>
      <c r="Q554" t="s">
        <v>260</v>
      </c>
      <c r="R554" t="s">
        <v>261</v>
      </c>
      <c r="S554" t="s">
        <v>21</v>
      </c>
      <c r="T554">
        <v>100</v>
      </c>
      <c r="U554" t="s">
        <v>354</v>
      </c>
      <c r="W554" t="s">
        <v>262</v>
      </c>
      <c r="X554">
        <v>-36.915213600000001</v>
      </c>
      <c r="Y554">
        <v>174.82028089999901</v>
      </c>
      <c r="Z554">
        <v>310</v>
      </c>
      <c r="AA554" s="9">
        <v>42917</v>
      </c>
    </row>
    <row r="555" spans="1:28" x14ac:dyDescent="0.3">
      <c r="A555" t="s">
        <v>21</v>
      </c>
      <c r="B555" t="s">
        <v>1968</v>
      </c>
      <c r="C555" t="s">
        <v>270</v>
      </c>
      <c r="D555" t="s">
        <v>1969</v>
      </c>
      <c r="E555">
        <v>5110</v>
      </c>
      <c r="G555" t="s">
        <v>1961</v>
      </c>
      <c r="H555" t="s">
        <v>370</v>
      </c>
      <c r="I555" t="s">
        <v>297</v>
      </c>
      <c r="J555" t="s">
        <v>297</v>
      </c>
      <c r="K555">
        <v>8051</v>
      </c>
      <c r="L555" t="s">
        <v>276</v>
      </c>
      <c r="M555" t="s">
        <v>371</v>
      </c>
      <c r="N555" t="s">
        <v>276</v>
      </c>
      <c r="P555" t="s">
        <v>260</v>
      </c>
      <c r="Q555" t="s">
        <v>260</v>
      </c>
      <c r="R555" t="s">
        <v>261</v>
      </c>
      <c r="S555" t="s">
        <v>21</v>
      </c>
      <c r="T555">
        <v>100</v>
      </c>
      <c r="U555" t="s">
        <v>354</v>
      </c>
      <c r="W555" t="s">
        <v>262</v>
      </c>
      <c r="X555">
        <v>-36.915213600000001</v>
      </c>
      <c r="Y555">
        <v>174.82028089999901</v>
      </c>
      <c r="Z555">
        <v>310</v>
      </c>
      <c r="AA555" s="9">
        <v>42917</v>
      </c>
    </row>
    <row r="556" spans="1:28" x14ac:dyDescent="0.3">
      <c r="A556" t="s">
        <v>21</v>
      </c>
      <c r="B556" t="s">
        <v>1970</v>
      </c>
      <c r="C556" t="s">
        <v>270</v>
      </c>
      <c r="D556" t="s">
        <v>1971</v>
      </c>
      <c r="E556">
        <v>5111</v>
      </c>
      <c r="G556" t="s">
        <v>1961</v>
      </c>
      <c r="H556" t="s">
        <v>644</v>
      </c>
      <c r="I556" t="s">
        <v>390</v>
      </c>
      <c r="J556" t="s">
        <v>425</v>
      </c>
      <c r="K556">
        <v>1061</v>
      </c>
      <c r="L556" t="s">
        <v>276</v>
      </c>
      <c r="M556" t="s">
        <v>390</v>
      </c>
      <c r="N556" t="s">
        <v>276</v>
      </c>
      <c r="P556" t="s">
        <v>260</v>
      </c>
      <c r="Q556" t="s">
        <v>260</v>
      </c>
      <c r="R556" t="s">
        <v>261</v>
      </c>
      <c r="S556" t="s">
        <v>21</v>
      </c>
      <c r="T556">
        <v>100</v>
      </c>
      <c r="U556" t="s">
        <v>354</v>
      </c>
      <c r="W556" t="s">
        <v>262</v>
      </c>
      <c r="X556">
        <v>-43.476427299999997</v>
      </c>
      <c r="Y556">
        <v>172.51673359999899</v>
      </c>
      <c r="Z556">
        <v>310</v>
      </c>
      <c r="AA556" s="9">
        <v>42917</v>
      </c>
    </row>
    <row r="557" spans="1:28" x14ac:dyDescent="0.3">
      <c r="A557" t="s">
        <v>21</v>
      </c>
      <c r="B557" t="s">
        <v>1972</v>
      </c>
      <c r="C557" t="s">
        <v>270</v>
      </c>
      <c r="D557" t="s">
        <v>1973</v>
      </c>
      <c r="E557">
        <v>5112</v>
      </c>
      <c r="G557" t="s">
        <v>1961</v>
      </c>
      <c r="H557" t="s">
        <v>644</v>
      </c>
      <c r="I557" t="s">
        <v>390</v>
      </c>
      <c r="J557" t="s">
        <v>425</v>
      </c>
      <c r="K557">
        <v>3171</v>
      </c>
      <c r="L557" t="s">
        <v>276</v>
      </c>
      <c r="M557" t="s">
        <v>390</v>
      </c>
      <c r="N557" t="s">
        <v>276</v>
      </c>
      <c r="P557" t="s">
        <v>260</v>
      </c>
      <c r="Q557" t="s">
        <v>260</v>
      </c>
      <c r="R557" t="s">
        <v>261</v>
      </c>
      <c r="S557" t="s">
        <v>21</v>
      </c>
      <c r="T557">
        <v>100</v>
      </c>
      <c r="U557" t="s">
        <v>354</v>
      </c>
      <c r="W557" t="s">
        <v>262</v>
      </c>
      <c r="X557">
        <v>-43.476427299999997</v>
      </c>
      <c r="Y557">
        <v>172.51673359999899</v>
      </c>
      <c r="Z557">
        <v>310</v>
      </c>
      <c r="AA557" s="9">
        <v>42917</v>
      </c>
    </row>
    <row r="558" spans="1:28" x14ac:dyDescent="0.3">
      <c r="A558" t="s">
        <v>21</v>
      </c>
      <c r="B558" t="s">
        <v>1974</v>
      </c>
      <c r="C558" t="s">
        <v>439</v>
      </c>
      <c r="D558" t="s">
        <v>1975</v>
      </c>
      <c r="G558" t="s">
        <v>1976</v>
      </c>
      <c r="H558" t="s">
        <v>1977</v>
      </c>
      <c r="I558" t="s">
        <v>1978</v>
      </c>
      <c r="J558" t="s">
        <v>366</v>
      </c>
      <c r="K558">
        <v>2192</v>
      </c>
      <c r="M558" t="s">
        <v>1001</v>
      </c>
      <c r="N558" t="s">
        <v>259</v>
      </c>
      <c r="P558" t="s">
        <v>260</v>
      </c>
      <c r="Q558" t="s">
        <v>260</v>
      </c>
      <c r="R558" t="s">
        <v>308</v>
      </c>
      <c r="S558" t="s">
        <v>21</v>
      </c>
      <c r="T558">
        <v>100</v>
      </c>
      <c r="V558" s="9">
        <v>45199</v>
      </c>
      <c r="W558" t="s">
        <v>262</v>
      </c>
      <c r="AB558" s="9">
        <v>45198</v>
      </c>
    </row>
    <row r="559" spans="1:28" x14ac:dyDescent="0.3">
      <c r="A559" t="s">
        <v>21</v>
      </c>
      <c r="B559" t="s">
        <v>1979</v>
      </c>
      <c r="C559" t="s">
        <v>439</v>
      </c>
      <c r="D559" t="s">
        <v>1980</v>
      </c>
      <c r="E559" t="s">
        <v>1981</v>
      </c>
      <c r="G559" t="s">
        <v>1982</v>
      </c>
      <c r="M559" t="s">
        <v>312</v>
      </c>
      <c r="N559" t="s">
        <v>259</v>
      </c>
      <c r="P559" t="s">
        <v>260</v>
      </c>
      <c r="Q559" t="s">
        <v>260</v>
      </c>
      <c r="R559" t="s">
        <v>308</v>
      </c>
      <c r="S559" t="s">
        <v>21</v>
      </c>
      <c r="T559">
        <v>100</v>
      </c>
      <c r="V559" s="9">
        <v>45199</v>
      </c>
      <c r="W559" t="s">
        <v>262</v>
      </c>
      <c r="AB559" s="9">
        <v>45198</v>
      </c>
    </row>
    <row r="560" spans="1:28" x14ac:dyDescent="0.3">
      <c r="A560" t="s">
        <v>21</v>
      </c>
      <c r="B560" t="s">
        <v>1983</v>
      </c>
      <c r="C560" t="s">
        <v>270</v>
      </c>
      <c r="D560" t="s">
        <v>1984</v>
      </c>
      <c r="E560">
        <v>5113</v>
      </c>
      <c r="G560" t="s">
        <v>1985</v>
      </c>
      <c r="H560" t="s">
        <v>370</v>
      </c>
      <c r="I560" t="s">
        <v>297</v>
      </c>
      <c r="J560" t="s">
        <v>297</v>
      </c>
      <c r="K560">
        <v>8051</v>
      </c>
      <c r="L560" t="s">
        <v>276</v>
      </c>
      <c r="M560" t="s">
        <v>371</v>
      </c>
      <c r="N560" t="s">
        <v>276</v>
      </c>
      <c r="P560" t="s">
        <v>260</v>
      </c>
      <c r="Q560" t="s">
        <v>260</v>
      </c>
      <c r="R560" t="s">
        <v>261</v>
      </c>
      <c r="S560" t="s">
        <v>21</v>
      </c>
      <c r="T560">
        <v>100</v>
      </c>
      <c r="U560" t="s">
        <v>354</v>
      </c>
      <c r="W560" t="s">
        <v>262</v>
      </c>
      <c r="X560">
        <v>-36.915213600000001</v>
      </c>
      <c r="Y560">
        <v>174.82028089999901</v>
      </c>
      <c r="Z560">
        <v>310</v>
      </c>
      <c r="AA560" s="9">
        <v>42917</v>
      </c>
    </row>
    <row r="561" spans="1:27" x14ac:dyDescent="0.3">
      <c r="A561" t="s">
        <v>21</v>
      </c>
      <c r="B561" t="s">
        <v>1986</v>
      </c>
      <c r="C561" t="s">
        <v>270</v>
      </c>
      <c r="D561" t="s">
        <v>1987</v>
      </c>
      <c r="E561">
        <v>5114</v>
      </c>
      <c r="G561" t="s">
        <v>1985</v>
      </c>
      <c r="H561" t="s">
        <v>777</v>
      </c>
      <c r="I561" t="s">
        <v>429</v>
      </c>
      <c r="J561" t="s">
        <v>430</v>
      </c>
      <c r="K561">
        <v>3920</v>
      </c>
      <c r="L561" t="s">
        <v>276</v>
      </c>
      <c r="M561" t="s">
        <v>429</v>
      </c>
      <c r="N561" t="s">
        <v>276</v>
      </c>
      <c r="P561" t="s">
        <v>260</v>
      </c>
      <c r="Q561" t="s">
        <v>260</v>
      </c>
      <c r="R561" t="s">
        <v>261</v>
      </c>
      <c r="S561" t="s">
        <v>21</v>
      </c>
      <c r="T561">
        <v>100</v>
      </c>
      <c r="U561" t="s">
        <v>354</v>
      </c>
      <c r="W561" t="s">
        <v>262</v>
      </c>
      <c r="X561">
        <v>-37.742166999999903</v>
      </c>
      <c r="Y561">
        <v>176.10169889999901</v>
      </c>
      <c r="Z561">
        <v>310</v>
      </c>
      <c r="AA561" s="9">
        <v>42917</v>
      </c>
    </row>
    <row r="562" spans="1:27" x14ac:dyDescent="0.3">
      <c r="A562" t="s">
        <v>21</v>
      </c>
      <c r="B562" t="s">
        <v>1988</v>
      </c>
      <c r="C562" t="s">
        <v>270</v>
      </c>
      <c r="D562" t="s">
        <v>1989</v>
      </c>
      <c r="E562">
        <v>5115</v>
      </c>
      <c r="G562" t="s">
        <v>1985</v>
      </c>
      <c r="H562" t="s">
        <v>644</v>
      </c>
      <c r="I562" t="s">
        <v>390</v>
      </c>
      <c r="J562" t="s">
        <v>425</v>
      </c>
      <c r="K562">
        <v>4175</v>
      </c>
      <c r="L562" t="s">
        <v>276</v>
      </c>
      <c r="M562" t="s">
        <v>390</v>
      </c>
      <c r="N562" t="s">
        <v>276</v>
      </c>
      <c r="P562" t="s">
        <v>260</v>
      </c>
      <c r="Q562" t="s">
        <v>260</v>
      </c>
      <c r="R562" t="s">
        <v>261</v>
      </c>
      <c r="S562" t="s">
        <v>21</v>
      </c>
      <c r="T562">
        <v>100</v>
      </c>
      <c r="U562" t="s">
        <v>354</v>
      </c>
      <c r="W562" t="s">
        <v>262</v>
      </c>
      <c r="X562">
        <v>-43.476427299999997</v>
      </c>
      <c r="Y562">
        <v>172.51673359999899</v>
      </c>
      <c r="Z562">
        <v>310</v>
      </c>
      <c r="AA562" s="9">
        <v>42917</v>
      </c>
    </row>
    <row r="563" spans="1:27" x14ac:dyDescent="0.3">
      <c r="A563" t="s">
        <v>21</v>
      </c>
      <c r="B563" t="s">
        <v>1990</v>
      </c>
      <c r="C563" t="s">
        <v>270</v>
      </c>
      <c r="D563" t="s">
        <v>1991</v>
      </c>
      <c r="E563">
        <v>5116</v>
      </c>
      <c r="G563" t="s">
        <v>1985</v>
      </c>
      <c r="H563" t="s">
        <v>766</v>
      </c>
      <c r="I563" t="s">
        <v>767</v>
      </c>
      <c r="J563" t="s">
        <v>685</v>
      </c>
      <c r="K563">
        <v>4501</v>
      </c>
      <c r="L563" t="s">
        <v>276</v>
      </c>
      <c r="M563" t="s">
        <v>767</v>
      </c>
      <c r="N563" t="s">
        <v>276</v>
      </c>
      <c r="P563" t="s">
        <v>260</v>
      </c>
      <c r="Q563" t="s">
        <v>260</v>
      </c>
      <c r="R563" t="s">
        <v>261</v>
      </c>
      <c r="S563" t="s">
        <v>21</v>
      </c>
      <c r="T563">
        <v>100</v>
      </c>
      <c r="U563" t="s">
        <v>354</v>
      </c>
      <c r="W563" t="s">
        <v>262</v>
      </c>
      <c r="X563">
        <v>-38.889705499999998</v>
      </c>
      <c r="Y563">
        <v>175.24621249999899</v>
      </c>
      <c r="Z563">
        <v>310</v>
      </c>
      <c r="AA563" s="9">
        <v>42917</v>
      </c>
    </row>
    <row r="564" spans="1:27" x14ac:dyDescent="0.3">
      <c r="A564" t="s">
        <v>21</v>
      </c>
      <c r="B564" t="s">
        <v>1992</v>
      </c>
      <c r="C564" t="s">
        <v>270</v>
      </c>
      <c r="D564" t="s">
        <v>1993</v>
      </c>
      <c r="E564">
        <v>5117</v>
      </c>
      <c r="G564" t="s">
        <v>1985</v>
      </c>
      <c r="H564" t="s">
        <v>674</v>
      </c>
      <c r="I564" t="s">
        <v>675</v>
      </c>
      <c r="J564" t="s">
        <v>676</v>
      </c>
      <c r="K564">
        <v>110</v>
      </c>
      <c r="L564" t="s">
        <v>276</v>
      </c>
      <c r="M564" t="s">
        <v>675</v>
      </c>
      <c r="N564" t="s">
        <v>276</v>
      </c>
      <c r="P564" t="s">
        <v>260</v>
      </c>
      <c r="Q564" t="s">
        <v>260</v>
      </c>
      <c r="R564" t="s">
        <v>261</v>
      </c>
      <c r="S564" t="s">
        <v>21</v>
      </c>
      <c r="T564">
        <v>100</v>
      </c>
      <c r="U564" t="s">
        <v>354</v>
      </c>
      <c r="W564" t="s">
        <v>262</v>
      </c>
      <c r="X564">
        <v>-39.611300499999999</v>
      </c>
      <c r="Y564">
        <v>176.78802010000001</v>
      </c>
      <c r="Z564">
        <v>310</v>
      </c>
      <c r="AA564" s="9">
        <v>42917</v>
      </c>
    </row>
    <row r="565" spans="1:27" x14ac:dyDescent="0.3">
      <c r="A565" t="s">
        <v>21</v>
      </c>
      <c r="B565" t="s">
        <v>1994</v>
      </c>
      <c r="C565" t="s">
        <v>270</v>
      </c>
      <c r="D565" t="s">
        <v>1995</v>
      </c>
      <c r="E565">
        <v>5118</v>
      </c>
      <c r="G565" t="s">
        <v>1985</v>
      </c>
      <c r="H565" t="s">
        <v>817</v>
      </c>
      <c r="I565" t="s">
        <v>818</v>
      </c>
      <c r="J565" t="s">
        <v>685</v>
      </c>
      <c r="K565">
        <v>9018</v>
      </c>
      <c r="L565" t="s">
        <v>276</v>
      </c>
      <c r="M565" t="s">
        <v>685</v>
      </c>
      <c r="N565" t="s">
        <v>276</v>
      </c>
      <c r="P565" t="s">
        <v>260</v>
      </c>
      <c r="Q565" t="s">
        <v>260</v>
      </c>
      <c r="R565" t="s">
        <v>261</v>
      </c>
      <c r="S565" t="s">
        <v>21</v>
      </c>
      <c r="T565">
        <v>100</v>
      </c>
      <c r="U565" t="s">
        <v>354</v>
      </c>
      <c r="W565" t="s">
        <v>262</v>
      </c>
      <c r="X565">
        <v>-39.943620799999898</v>
      </c>
      <c r="Y565">
        <v>174.99524819999999</v>
      </c>
      <c r="Z565">
        <v>310</v>
      </c>
      <c r="AA565" s="9">
        <v>42917</v>
      </c>
    </row>
    <row r="566" spans="1:27" x14ac:dyDescent="0.3">
      <c r="A566" t="s">
        <v>21</v>
      </c>
      <c r="B566" t="s">
        <v>1996</v>
      </c>
      <c r="C566" t="s">
        <v>448</v>
      </c>
      <c r="D566" t="s">
        <v>1997</v>
      </c>
      <c r="E566">
        <v>5287</v>
      </c>
      <c r="G566" t="s">
        <v>1998</v>
      </c>
      <c r="M566" t="s">
        <v>394</v>
      </c>
      <c r="N566" t="s">
        <v>276</v>
      </c>
      <c r="P566" t="s">
        <v>260</v>
      </c>
      <c r="Q566" t="s">
        <v>260</v>
      </c>
      <c r="R566" t="s">
        <v>261</v>
      </c>
      <c r="S566" t="s">
        <v>21</v>
      </c>
      <c r="T566">
        <v>100</v>
      </c>
      <c r="U566" t="s">
        <v>354</v>
      </c>
      <c r="W566" t="s">
        <v>262</v>
      </c>
    </row>
    <row r="567" spans="1:27" x14ac:dyDescent="0.3">
      <c r="A567" t="s">
        <v>21</v>
      </c>
      <c r="B567" t="s">
        <v>1999</v>
      </c>
      <c r="C567" t="s">
        <v>270</v>
      </c>
      <c r="D567" t="s">
        <v>1930</v>
      </c>
      <c r="E567">
        <v>5333</v>
      </c>
      <c r="G567" t="s">
        <v>2000</v>
      </c>
      <c r="M567" t="s">
        <v>297</v>
      </c>
      <c r="N567" t="s">
        <v>276</v>
      </c>
      <c r="P567" t="s">
        <v>260</v>
      </c>
      <c r="Q567" t="s">
        <v>260</v>
      </c>
      <c r="R567" t="s">
        <v>261</v>
      </c>
      <c r="S567" t="s">
        <v>21</v>
      </c>
      <c r="T567">
        <v>100</v>
      </c>
      <c r="U567" t="s">
        <v>354</v>
      </c>
      <c r="W567" t="s">
        <v>262</v>
      </c>
    </row>
    <row r="568" spans="1:27" x14ac:dyDescent="0.3">
      <c r="A568" t="s">
        <v>21</v>
      </c>
      <c r="B568" t="s">
        <v>2001</v>
      </c>
      <c r="C568" t="s">
        <v>439</v>
      </c>
      <c r="D568" t="s">
        <v>2002</v>
      </c>
      <c r="E568" t="s">
        <v>2002</v>
      </c>
      <c r="M568" t="s">
        <v>685</v>
      </c>
      <c r="N568" t="s">
        <v>276</v>
      </c>
      <c r="P568" t="s">
        <v>260</v>
      </c>
      <c r="Q568" t="s">
        <v>260</v>
      </c>
      <c r="R568" t="s">
        <v>261</v>
      </c>
      <c r="S568" t="s">
        <v>21</v>
      </c>
      <c r="T568">
        <v>100</v>
      </c>
      <c r="U568" t="s">
        <v>354</v>
      </c>
      <c r="W568" t="s">
        <v>262</v>
      </c>
    </row>
    <row r="569" spans="1:27" x14ac:dyDescent="0.3">
      <c r="A569" t="s">
        <v>21</v>
      </c>
      <c r="B569" t="s">
        <v>2003</v>
      </c>
      <c r="C569" t="s">
        <v>439</v>
      </c>
      <c r="D569" t="s">
        <v>2004</v>
      </c>
      <c r="E569">
        <v>5315</v>
      </c>
      <c r="M569" t="s">
        <v>297</v>
      </c>
      <c r="N569" t="s">
        <v>276</v>
      </c>
      <c r="P569" t="s">
        <v>260</v>
      </c>
      <c r="Q569" t="s">
        <v>260</v>
      </c>
      <c r="R569" t="s">
        <v>261</v>
      </c>
      <c r="S569" t="s">
        <v>21</v>
      </c>
      <c r="T569">
        <v>100</v>
      </c>
      <c r="U569" t="s">
        <v>354</v>
      </c>
      <c r="W569" t="s">
        <v>262</v>
      </c>
    </row>
    <row r="570" spans="1:27" x14ac:dyDescent="0.3">
      <c r="A570" t="s">
        <v>21</v>
      </c>
      <c r="B570" t="s">
        <v>2005</v>
      </c>
      <c r="C570" t="s">
        <v>439</v>
      </c>
      <c r="D570" t="s">
        <v>2006</v>
      </c>
      <c r="E570">
        <v>5298</v>
      </c>
      <c r="G570" t="s">
        <v>2007</v>
      </c>
      <c r="M570" t="s">
        <v>394</v>
      </c>
      <c r="N570" t="s">
        <v>276</v>
      </c>
      <c r="P570" t="s">
        <v>260</v>
      </c>
      <c r="Q570" t="s">
        <v>260</v>
      </c>
      <c r="R570" t="s">
        <v>261</v>
      </c>
      <c r="S570" t="s">
        <v>21</v>
      </c>
      <c r="T570">
        <v>100</v>
      </c>
      <c r="U570" t="s">
        <v>354</v>
      </c>
      <c r="W570" t="s">
        <v>262</v>
      </c>
      <c r="Z570">
        <v>310</v>
      </c>
    </row>
    <row r="571" spans="1:27" x14ac:dyDescent="0.3">
      <c r="A571" t="s">
        <v>21</v>
      </c>
      <c r="B571" t="s">
        <v>2008</v>
      </c>
      <c r="C571" t="s">
        <v>439</v>
      </c>
      <c r="D571" t="s">
        <v>2009</v>
      </c>
      <c r="E571">
        <v>5325</v>
      </c>
      <c r="M571" t="s">
        <v>394</v>
      </c>
      <c r="N571" t="s">
        <v>276</v>
      </c>
      <c r="P571" t="s">
        <v>260</v>
      </c>
      <c r="Q571" t="s">
        <v>260</v>
      </c>
      <c r="R571" t="s">
        <v>261</v>
      </c>
      <c r="S571" t="s">
        <v>21</v>
      </c>
      <c r="T571">
        <v>100</v>
      </c>
      <c r="U571" t="s">
        <v>354</v>
      </c>
      <c r="W571" t="s">
        <v>262</v>
      </c>
    </row>
    <row r="572" spans="1:27" x14ac:dyDescent="0.3">
      <c r="A572" t="s">
        <v>21</v>
      </c>
      <c r="B572" t="s">
        <v>2010</v>
      </c>
      <c r="C572" t="s">
        <v>439</v>
      </c>
      <c r="D572" t="s">
        <v>2011</v>
      </c>
      <c r="E572">
        <v>5314</v>
      </c>
      <c r="M572" t="s">
        <v>297</v>
      </c>
      <c r="N572" t="s">
        <v>276</v>
      </c>
      <c r="P572" t="s">
        <v>260</v>
      </c>
      <c r="Q572" t="s">
        <v>260</v>
      </c>
      <c r="R572" t="s">
        <v>261</v>
      </c>
      <c r="S572" t="s">
        <v>21</v>
      </c>
      <c r="T572">
        <v>100</v>
      </c>
      <c r="U572" t="s">
        <v>354</v>
      </c>
      <c r="W572" t="s">
        <v>262</v>
      </c>
    </row>
    <row r="573" spans="1:27" x14ac:dyDescent="0.3">
      <c r="A573" t="s">
        <v>21</v>
      </c>
      <c r="B573" t="s">
        <v>2012</v>
      </c>
      <c r="C573" t="s">
        <v>270</v>
      </c>
      <c r="D573" t="s">
        <v>2013</v>
      </c>
      <c r="E573">
        <v>5176</v>
      </c>
      <c r="G573" t="s">
        <v>2014</v>
      </c>
      <c r="H573" t="s">
        <v>2015</v>
      </c>
      <c r="I573" t="s">
        <v>2016</v>
      </c>
      <c r="J573" t="s">
        <v>380</v>
      </c>
      <c r="K573">
        <v>612</v>
      </c>
      <c r="L573" t="s">
        <v>276</v>
      </c>
      <c r="M573" t="s">
        <v>2017</v>
      </c>
      <c r="N573" t="s">
        <v>276</v>
      </c>
      <c r="P573" t="s">
        <v>260</v>
      </c>
      <c r="Q573" t="s">
        <v>260</v>
      </c>
      <c r="R573" t="s">
        <v>261</v>
      </c>
      <c r="S573" t="s">
        <v>21</v>
      </c>
      <c r="T573">
        <v>100</v>
      </c>
      <c r="U573" t="s">
        <v>354</v>
      </c>
      <c r="W573" t="s">
        <v>262</v>
      </c>
      <c r="X573">
        <v>-37.392595900000003</v>
      </c>
      <c r="Y573">
        <v>175.11186169999999</v>
      </c>
      <c r="Z573">
        <v>310</v>
      </c>
      <c r="AA573" s="9">
        <v>42917</v>
      </c>
    </row>
    <row r="574" spans="1:27" x14ac:dyDescent="0.3">
      <c r="A574" t="s">
        <v>21</v>
      </c>
      <c r="B574" t="s">
        <v>2018</v>
      </c>
      <c r="C574" t="s">
        <v>439</v>
      </c>
      <c r="D574" t="s">
        <v>2019</v>
      </c>
      <c r="E574">
        <v>5297</v>
      </c>
      <c r="G574" t="s">
        <v>2007</v>
      </c>
      <c r="M574" t="s">
        <v>403</v>
      </c>
      <c r="N574" t="s">
        <v>276</v>
      </c>
      <c r="P574" t="s">
        <v>260</v>
      </c>
      <c r="Q574" t="s">
        <v>260</v>
      </c>
      <c r="R574" t="s">
        <v>261</v>
      </c>
      <c r="S574" t="s">
        <v>21</v>
      </c>
      <c r="T574">
        <v>100</v>
      </c>
      <c r="U574" t="s">
        <v>354</v>
      </c>
      <c r="W574" t="s">
        <v>262</v>
      </c>
      <c r="Z574">
        <v>310</v>
      </c>
    </row>
    <row r="575" spans="1:27" x14ac:dyDescent="0.3">
      <c r="A575" t="s">
        <v>21</v>
      </c>
      <c r="B575" t="s">
        <v>2020</v>
      </c>
      <c r="C575" t="s">
        <v>439</v>
      </c>
      <c r="D575" t="s">
        <v>2021</v>
      </c>
      <c r="E575">
        <v>5281</v>
      </c>
      <c r="G575" t="s">
        <v>2022</v>
      </c>
      <c r="M575" t="s">
        <v>403</v>
      </c>
      <c r="N575" t="s">
        <v>276</v>
      </c>
      <c r="P575" t="s">
        <v>260</v>
      </c>
      <c r="Q575" t="s">
        <v>260</v>
      </c>
      <c r="R575" t="s">
        <v>261</v>
      </c>
      <c r="S575" t="s">
        <v>21</v>
      </c>
      <c r="T575">
        <v>100</v>
      </c>
      <c r="U575" t="s">
        <v>354</v>
      </c>
      <c r="W575" t="s">
        <v>262</v>
      </c>
    </row>
    <row r="576" spans="1:27" x14ac:dyDescent="0.3">
      <c r="A576" t="s">
        <v>21</v>
      </c>
      <c r="B576" t="s">
        <v>2023</v>
      </c>
      <c r="C576" t="s">
        <v>439</v>
      </c>
      <c r="D576" t="s">
        <v>2024</v>
      </c>
      <c r="E576">
        <v>5284</v>
      </c>
      <c r="G576" t="s">
        <v>2022</v>
      </c>
      <c r="M576" t="s">
        <v>379</v>
      </c>
      <c r="N576" t="s">
        <v>276</v>
      </c>
      <c r="P576" t="s">
        <v>260</v>
      </c>
      <c r="Q576" t="s">
        <v>260</v>
      </c>
      <c r="R576" t="s">
        <v>261</v>
      </c>
      <c r="S576" t="s">
        <v>21</v>
      </c>
      <c r="T576">
        <v>100</v>
      </c>
      <c r="U576" t="s">
        <v>354</v>
      </c>
      <c r="W576" t="s">
        <v>262</v>
      </c>
    </row>
    <row r="577" spans="1:27" x14ac:dyDescent="0.3">
      <c r="A577" t="s">
        <v>21</v>
      </c>
      <c r="B577" t="s">
        <v>2025</v>
      </c>
      <c r="C577" t="s">
        <v>270</v>
      </c>
      <c r="D577" t="s">
        <v>2026</v>
      </c>
      <c r="E577">
        <v>5171</v>
      </c>
      <c r="G577" t="s">
        <v>1936</v>
      </c>
      <c r="H577" t="s">
        <v>2027</v>
      </c>
      <c r="I577" t="s">
        <v>297</v>
      </c>
      <c r="J577" t="s">
        <v>297</v>
      </c>
      <c r="K577">
        <v>1640</v>
      </c>
      <c r="L577" t="s">
        <v>276</v>
      </c>
      <c r="M577" t="s">
        <v>631</v>
      </c>
      <c r="N577" t="s">
        <v>276</v>
      </c>
      <c r="P577" t="s">
        <v>260</v>
      </c>
      <c r="Q577" t="s">
        <v>260</v>
      </c>
      <c r="R577" t="s">
        <v>261</v>
      </c>
      <c r="S577" t="s">
        <v>21</v>
      </c>
      <c r="T577">
        <v>100</v>
      </c>
      <c r="U577" t="s">
        <v>354</v>
      </c>
      <c r="W577" t="s">
        <v>262</v>
      </c>
      <c r="X577">
        <v>-37.008338299999998</v>
      </c>
      <c r="Y577">
        <v>174.87057359999901</v>
      </c>
      <c r="Z577">
        <v>310</v>
      </c>
      <c r="AA577" s="9">
        <v>42917</v>
      </c>
    </row>
    <row r="578" spans="1:27" x14ac:dyDescent="0.3">
      <c r="A578" t="s">
        <v>21</v>
      </c>
      <c r="B578" t="s">
        <v>2028</v>
      </c>
      <c r="C578" t="s">
        <v>270</v>
      </c>
      <c r="D578" t="s">
        <v>1934</v>
      </c>
      <c r="E578">
        <v>5169</v>
      </c>
      <c r="G578" t="s">
        <v>1936</v>
      </c>
      <c r="H578" t="s">
        <v>1937</v>
      </c>
      <c r="I578" t="s">
        <v>297</v>
      </c>
      <c r="J578" t="s">
        <v>297</v>
      </c>
      <c r="K578">
        <v>1640</v>
      </c>
      <c r="L578" t="s">
        <v>276</v>
      </c>
      <c r="M578" t="s">
        <v>631</v>
      </c>
      <c r="N578" t="s">
        <v>276</v>
      </c>
      <c r="P578" t="s">
        <v>260</v>
      </c>
      <c r="Q578" t="s">
        <v>260</v>
      </c>
      <c r="R578" t="s">
        <v>261</v>
      </c>
      <c r="S578" t="s">
        <v>21</v>
      </c>
      <c r="T578">
        <v>100</v>
      </c>
      <c r="U578" t="s">
        <v>354</v>
      </c>
      <c r="W578" t="s">
        <v>262</v>
      </c>
      <c r="X578">
        <v>-37.008338299999998</v>
      </c>
      <c r="Y578">
        <v>174.87057359999901</v>
      </c>
      <c r="Z578">
        <v>310</v>
      </c>
      <c r="AA578" s="9">
        <v>42917</v>
      </c>
    </row>
    <row r="579" spans="1:27" x14ac:dyDescent="0.3">
      <c r="A579" t="s">
        <v>21</v>
      </c>
      <c r="B579" t="s">
        <v>2029</v>
      </c>
      <c r="C579" t="s">
        <v>270</v>
      </c>
      <c r="D579" t="s">
        <v>2030</v>
      </c>
      <c r="E579">
        <v>5173</v>
      </c>
      <c r="G579" t="s">
        <v>1936</v>
      </c>
      <c r="H579" t="s">
        <v>2027</v>
      </c>
      <c r="I579" t="s">
        <v>297</v>
      </c>
      <c r="J579" t="s">
        <v>297</v>
      </c>
      <c r="K579">
        <v>2024</v>
      </c>
      <c r="L579" t="s">
        <v>276</v>
      </c>
      <c r="M579" t="s">
        <v>631</v>
      </c>
      <c r="N579" t="s">
        <v>276</v>
      </c>
      <c r="P579" t="s">
        <v>260</v>
      </c>
      <c r="Q579" t="s">
        <v>260</v>
      </c>
      <c r="R579" t="s">
        <v>261</v>
      </c>
      <c r="S579" t="s">
        <v>21</v>
      </c>
      <c r="T579">
        <v>100</v>
      </c>
      <c r="U579" t="s">
        <v>354</v>
      </c>
      <c r="W579" t="s">
        <v>262</v>
      </c>
      <c r="X579">
        <v>-37.008338299999998</v>
      </c>
      <c r="Y579">
        <v>174.87057359999901</v>
      </c>
      <c r="Z579">
        <v>310</v>
      </c>
      <c r="AA579" s="9">
        <v>42917</v>
      </c>
    </row>
    <row r="580" spans="1:27" x14ac:dyDescent="0.3">
      <c r="A580" t="s">
        <v>21</v>
      </c>
      <c r="B580" t="s">
        <v>2031</v>
      </c>
      <c r="C580" t="s">
        <v>439</v>
      </c>
      <c r="D580" t="s">
        <v>2032</v>
      </c>
      <c r="E580">
        <v>5316</v>
      </c>
      <c r="M580" t="s">
        <v>403</v>
      </c>
      <c r="N580" t="s">
        <v>276</v>
      </c>
      <c r="P580" t="s">
        <v>260</v>
      </c>
      <c r="Q580" t="s">
        <v>260</v>
      </c>
      <c r="R580" t="s">
        <v>261</v>
      </c>
      <c r="S580" t="s">
        <v>21</v>
      </c>
      <c r="T580">
        <v>100</v>
      </c>
      <c r="U580" t="s">
        <v>354</v>
      </c>
      <c r="W580" t="s">
        <v>262</v>
      </c>
    </row>
    <row r="581" spans="1:27" x14ac:dyDescent="0.3">
      <c r="A581" t="s">
        <v>21</v>
      </c>
      <c r="B581" t="s">
        <v>2033</v>
      </c>
      <c r="C581" t="s">
        <v>270</v>
      </c>
      <c r="D581" t="s">
        <v>2034</v>
      </c>
      <c r="E581">
        <v>5178</v>
      </c>
      <c r="G581" t="s">
        <v>2014</v>
      </c>
      <c r="H581" t="s">
        <v>2035</v>
      </c>
      <c r="I581" t="s">
        <v>297</v>
      </c>
      <c r="J581" t="s">
        <v>297</v>
      </c>
      <c r="K581">
        <v>1022</v>
      </c>
      <c r="L581" t="s">
        <v>276</v>
      </c>
      <c r="M581" t="s">
        <v>801</v>
      </c>
      <c r="N581" t="s">
        <v>276</v>
      </c>
      <c r="P581" t="s">
        <v>260</v>
      </c>
      <c r="Q581" t="s">
        <v>260</v>
      </c>
      <c r="R581" t="s">
        <v>261</v>
      </c>
      <c r="S581" t="s">
        <v>21</v>
      </c>
      <c r="T581">
        <v>100</v>
      </c>
      <c r="U581" t="s">
        <v>354</v>
      </c>
      <c r="W581" t="s">
        <v>262</v>
      </c>
      <c r="X581">
        <v>-36.845990999999998</v>
      </c>
      <c r="Y581">
        <v>174.63058799999999</v>
      </c>
      <c r="Z581">
        <v>310</v>
      </c>
      <c r="AA581" s="9">
        <v>42917</v>
      </c>
    </row>
    <row r="582" spans="1:27" x14ac:dyDescent="0.3">
      <c r="A582" t="s">
        <v>21</v>
      </c>
      <c r="B582" t="s">
        <v>2036</v>
      </c>
      <c r="C582" t="s">
        <v>439</v>
      </c>
      <c r="D582" t="s">
        <v>2037</v>
      </c>
      <c r="E582">
        <v>5282</v>
      </c>
      <c r="G582" t="s">
        <v>2022</v>
      </c>
      <c r="M582" t="s">
        <v>352</v>
      </c>
      <c r="N582" t="s">
        <v>276</v>
      </c>
      <c r="P582" t="s">
        <v>260</v>
      </c>
      <c r="Q582" t="s">
        <v>260</v>
      </c>
      <c r="R582" t="s">
        <v>261</v>
      </c>
      <c r="S582" t="s">
        <v>21</v>
      </c>
      <c r="T582">
        <v>100</v>
      </c>
      <c r="U582" t="s">
        <v>354</v>
      </c>
      <c r="W582" t="s">
        <v>262</v>
      </c>
    </row>
    <row r="583" spans="1:27" x14ac:dyDescent="0.3">
      <c r="A583" t="s">
        <v>21</v>
      </c>
      <c r="B583" t="s">
        <v>2038</v>
      </c>
      <c r="C583" t="s">
        <v>270</v>
      </c>
      <c r="D583" t="s">
        <v>2039</v>
      </c>
      <c r="E583">
        <v>5180</v>
      </c>
      <c r="G583" t="s">
        <v>2040</v>
      </c>
      <c r="H583" t="s">
        <v>2041</v>
      </c>
      <c r="I583" t="s">
        <v>297</v>
      </c>
      <c r="J583" t="s">
        <v>297</v>
      </c>
      <c r="K583">
        <v>7571</v>
      </c>
      <c r="L583" t="s">
        <v>276</v>
      </c>
      <c r="M583" t="s">
        <v>394</v>
      </c>
      <c r="N583" t="s">
        <v>276</v>
      </c>
      <c r="P583" t="s">
        <v>260</v>
      </c>
      <c r="Q583" t="s">
        <v>260</v>
      </c>
      <c r="R583" t="s">
        <v>261</v>
      </c>
      <c r="S583" t="s">
        <v>21</v>
      </c>
      <c r="T583">
        <v>100</v>
      </c>
      <c r="U583" t="s">
        <v>354</v>
      </c>
      <c r="W583" t="s">
        <v>262</v>
      </c>
      <c r="X583">
        <v>-36.862679399999998</v>
      </c>
      <c r="Y583">
        <v>174.7172362</v>
      </c>
      <c r="Z583">
        <v>310</v>
      </c>
      <c r="AA583" s="9">
        <v>42917</v>
      </c>
    </row>
    <row r="584" spans="1:27" x14ac:dyDescent="0.3">
      <c r="A584" t="s">
        <v>21</v>
      </c>
      <c r="B584" t="s">
        <v>2042</v>
      </c>
      <c r="C584" t="s">
        <v>439</v>
      </c>
      <c r="D584" t="s">
        <v>2043</v>
      </c>
      <c r="E584">
        <v>5283</v>
      </c>
      <c r="G584" t="s">
        <v>2022</v>
      </c>
      <c r="M584" t="s">
        <v>394</v>
      </c>
      <c r="N584" t="s">
        <v>276</v>
      </c>
      <c r="P584" t="s">
        <v>260</v>
      </c>
      <c r="Q584" t="s">
        <v>260</v>
      </c>
      <c r="R584" t="s">
        <v>261</v>
      </c>
      <c r="S584" t="s">
        <v>21</v>
      </c>
      <c r="T584">
        <v>100</v>
      </c>
      <c r="U584" t="s">
        <v>354</v>
      </c>
      <c r="W584" t="s">
        <v>262</v>
      </c>
    </row>
    <row r="585" spans="1:27" x14ac:dyDescent="0.3">
      <c r="A585" t="s">
        <v>21</v>
      </c>
      <c r="B585" t="s">
        <v>2044</v>
      </c>
      <c r="C585" t="s">
        <v>270</v>
      </c>
      <c r="D585" t="s">
        <v>2045</v>
      </c>
      <c r="E585">
        <v>5119</v>
      </c>
      <c r="G585" t="s">
        <v>1985</v>
      </c>
      <c r="H585" t="s">
        <v>825</v>
      </c>
      <c r="I585" t="s">
        <v>352</v>
      </c>
      <c r="J585" t="s">
        <v>353</v>
      </c>
      <c r="K585">
        <v>9600</v>
      </c>
      <c r="L585" t="s">
        <v>276</v>
      </c>
      <c r="M585" t="s">
        <v>352</v>
      </c>
      <c r="N585" t="s">
        <v>276</v>
      </c>
      <c r="P585" t="s">
        <v>260</v>
      </c>
      <c r="Q585" t="s">
        <v>260</v>
      </c>
      <c r="R585" t="s">
        <v>261</v>
      </c>
      <c r="S585" t="s">
        <v>21</v>
      </c>
      <c r="T585">
        <v>100</v>
      </c>
      <c r="U585" t="s">
        <v>354</v>
      </c>
      <c r="W585" t="s">
        <v>262</v>
      </c>
      <c r="X585">
        <v>-35.743169399999999</v>
      </c>
      <c r="Y585">
        <v>174.34159030000001</v>
      </c>
      <c r="Z585">
        <v>310</v>
      </c>
      <c r="AA585" s="9">
        <v>42917</v>
      </c>
    </row>
    <row r="586" spans="1:27" x14ac:dyDescent="0.3">
      <c r="A586" t="s">
        <v>21</v>
      </c>
      <c r="B586" t="s">
        <v>2046</v>
      </c>
      <c r="C586" t="s">
        <v>270</v>
      </c>
      <c r="D586" t="s">
        <v>2047</v>
      </c>
      <c r="E586">
        <v>5120</v>
      </c>
      <c r="G586" t="s">
        <v>1985</v>
      </c>
      <c r="H586" t="s">
        <v>658</v>
      </c>
      <c r="I586" t="s">
        <v>375</v>
      </c>
      <c r="J586" t="s">
        <v>275</v>
      </c>
      <c r="K586">
        <v>4312</v>
      </c>
      <c r="L586" t="s">
        <v>276</v>
      </c>
      <c r="M586" t="s">
        <v>659</v>
      </c>
      <c r="N586" t="s">
        <v>276</v>
      </c>
      <c r="P586" t="s">
        <v>260</v>
      </c>
      <c r="Q586" t="s">
        <v>260</v>
      </c>
      <c r="R586" t="s">
        <v>261</v>
      </c>
      <c r="S586" t="s">
        <v>21</v>
      </c>
      <c r="T586">
        <v>100</v>
      </c>
      <c r="U586" t="s">
        <v>354</v>
      </c>
      <c r="W586" t="s">
        <v>262</v>
      </c>
      <c r="X586">
        <v>-45.9016783</v>
      </c>
      <c r="Y586">
        <v>170.4409766</v>
      </c>
      <c r="Z586">
        <v>310</v>
      </c>
      <c r="AA586" s="9">
        <v>42917</v>
      </c>
    </row>
    <row r="587" spans="1:27" x14ac:dyDescent="0.3">
      <c r="A587" t="s">
        <v>21</v>
      </c>
      <c r="B587" t="s">
        <v>2048</v>
      </c>
      <c r="C587" t="s">
        <v>1147</v>
      </c>
      <c r="D587" t="s">
        <v>2009</v>
      </c>
      <c r="E587">
        <v>5330</v>
      </c>
      <c r="M587" t="s">
        <v>297</v>
      </c>
      <c r="N587" t="s">
        <v>276</v>
      </c>
      <c r="P587" t="s">
        <v>260</v>
      </c>
      <c r="Q587" t="s">
        <v>260</v>
      </c>
      <c r="R587" t="s">
        <v>261</v>
      </c>
      <c r="S587" t="s">
        <v>21</v>
      </c>
      <c r="T587">
        <v>100</v>
      </c>
      <c r="U587" t="s">
        <v>354</v>
      </c>
      <c r="W587" t="s">
        <v>262</v>
      </c>
    </row>
    <row r="588" spans="1:27" x14ac:dyDescent="0.3">
      <c r="A588" t="s">
        <v>21</v>
      </c>
      <c r="B588" t="s">
        <v>2049</v>
      </c>
      <c r="C588" t="s">
        <v>270</v>
      </c>
      <c r="D588" t="s">
        <v>2050</v>
      </c>
      <c r="E588">
        <v>5184</v>
      </c>
      <c r="G588" t="s">
        <v>2051</v>
      </c>
      <c r="H588" t="s">
        <v>2052</v>
      </c>
      <c r="I588" t="s">
        <v>390</v>
      </c>
      <c r="J588" t="s">
        <v>425</v>
      </c>
      <c r="K588">
        <v>2104</v>
      </c>
      <c r="L588" t="s">
        <v>276</v>
      </c>
      <c r="M588" t="s">
        <v>390</v>
      </c>
      <c r="N588" t="s">
        <v>276</v>
      </c>
      <c r="P588" t="s">
        <v>260</v>
      </c>
      <c r="Q588" t="s">
        <v>260</v>
      </c>
      <c r="R588" t="s">
        <v>261</v>
      </c>
      <c r="S588" t="s">
        <v>21</v>
      </c>
      <c r="T588">
        <v>100</v>
      </c>
      <c r="U588" t="s">
        <v>354</v>
      </c>
      <c r="W588" t="s">
        <v>262</v>
      </c>
      <c r="X588">
        <v>-43.532988000000003</v>
      </c>
      <c r="Y588">
        <v>172.643452</v>
      </c>
      <c r="Z588">
        <v>310</v>
      </c>
      <c r="AA588" s="9">
        <v>42917</v>
      </c>
    </row>
    <row r="589" spans="1:27" x14ac:dyDescent="0.3">
      <c r="A589" t="s">
        <v>21</v>
      </c>
      <c r="B589" t="s">
        <v>2053</v>
      </c>
      <c r="C589" t="s">
        <v>270</v>
      </c>
      <c r="D589" t="s">
        <v>2054</v>
      </c>
      <c r="E589">
        <v>5183</v>
      </c>
      <c r="G589" t="s">
        <v>2051</v>
      </c>
      <c r="H589" t="s">
        <v>2055</v>
      </c>
      <c r="I589" t="s">
        <v>390</v>
      </c>
      <c r="J589" t="s">
        <v>425</v>
      </c>
      <c r="K589">
        <v>1010</v>
      </c>
      <c r="L589" t="s">
        <v>276</v>
      </c>
      <c r="M589" t="s">
        <v>390</v>
      </c>
      <c r="N589" t="s">
        <v>276</v>
      </c>
      <c r="P589" t="s">
        <v>260</v>
      </c>
      <c r="Q589" t="s">
        <v>260</v>
      </c>
      <c r="R589" t="s">
        <v>261</v>
      </c>
      <c r="S589" t="s">
        <v>21</v>
      </c>
      <c r="T589">
        <v>100</v>
      </c>
      <c r="U589" t="s">
        <v>354</v>
      </c>
      <c r="W589" t="s">
        <v>262</v>
      </c>
      <c r="X589">
        <v>-43.534053999999998</v>
      </c>
      <c r="Y589">
        <v>172.64340999999999</v>
      </c>
      <c r="Z589">
        <v>310</v>
      </c>
      <c r="AA589" s="9">
        <v>42917</v>
      </c>
    </row>
    <row r="590" spans="1:27" x14ac:dyDescent="0.3">
      <c r="A590" t="s">
        <v>21</v>
      </c>
      <c r="B590" t="s">
        <v>2056</v>
      </c>
      <c r="C590" t="s">
        <v>270</v>
      </c>
      <c r="D590" t="s">
        <v>2057</v>
      </c>
      <c r="E590">
        <v>5182</v>
      </c>
      <c r="G590" t="s">
        <v>2058</v>
      </c>
      <c r="H590" t="s">
        <v>2059</v>
      </c>
      <c r="I590" t="s">
        <v>2060</v>
      </c>
      <c r="J590" t="s">
        <v>425</v>
      </c>
      <c r="K590">
        <v>8011</v>
      </c>
      <c r="L590" t="s">
        <v>276</v>
      </c>
      <c r="M590" t="s">
        <v>2060</v>
      </c>
      <c r="N590" t="s">
        <v>276</v>
      </c>
      <c r="P590" t="s">
        <v>260</v>
      </c>
      <c r="Q590" t="s">
        <v>260</v>
      </c>
      <c r="R590" t="s">
        <v>261</v>
      </c>
      <c r="S590" t="s">
        <v>21</v>
      </c>
      <c r="T590">
        <v>100</v>
      </c>
      <c r="U590" t="s">
        <v>354</v>
      </c>
      <c r="W590" t="s">
        <v>262</v>
      </c>
      <c r="X590">
        <v>-43.508459999999999</v>
      </c>
      <c r="Y590">
        <v>172.124382</v>
      </c>
      <c r="Z590">
        <v>310</v>
      </c>
      <c r="AA590" s="9">
        <v>42917</v>
      </c>
    </row>
    <row r="591" spans="1:27" x14ac:dyDescent="0.3">
      <c r="A591" t="s">
        <v>21</v>
      </c>
      <c r="B591" t="s">
        <v>2061</v>
      </c>
      <c r="C591" t="s">
        <v>439</v>
      </c>
      <c r="D591" t="s">
        <v>2062</v>
      </c>
      <c r="E591">
        <v>5328</v>
      </c>
      <c r="M591" t="s">
        <v>385</v>
      </c>
      <c r="N591" t="s">
        <v>276</v>
      </c>
      <c r="P591" t="s">
        <v>260</v>
      </c>
      <c r="Q591" t="s">
        <v>260</v>
      </c>
      <c r="R591" t="s">
        <v>261</v>
      </c>
      <c r="S591" t="s">
        <v>21</v>
      </c>
      <c r="T591">
        <v>100</v>
      </c>
      <c r="U591" t="s">
        <v>354</v>
      </c>
      <c r="W591" t="s">
        <v>262</v>
      </c>
    </row>
    <row r="592" spans="1:27" x14ac:dyDescent="0.3">
      <c r="A592" t="s">
        <v>21</v>
      </c>
      <c r="B592" t="s">
        <v>2063</v>
      </c>
      <c r="C592" t="s">
        <v>439</v>
      </c>
      <c r="D592" t="s">
        <v>2064</v>
      </c>
      <c r="E592">
        <v>5302</v>
      </c>
      <c r="G592" t="s">
        <v>2007</v>
      </c>
      <c r="M592" t="s">
        <v>390</v>
      </c>
      <c r="N592" t="s">
        <v>276</v>
      </c>
      <c r="P592" t="s">
        <v>260</v>
      </c>
      <c r="Q592" t="s">
        <v>260</v>
      </c>
      <c r="R592" t="s">
        <v>261</v>
      </c>
      <c r="S592" t="s">
        <v>21</v>
      </c>
      <c r="T592">
        <v>100</v>
      </c>
      <c r="U592" t="s">
        <v>354</v>
      </c>
      <c r="W592" t="s">
        <v>262</v>
      </c>
      <c r="Z592">
        <v>310</v>
      </c>
    </row>
    <row r="593" spans="1:28" x14ac:dyDescent="0.3">
      <c r="A593" t="s">
        <v>21</v>
      </c>
      <c r="B593" t="s">
        <v>2065</v>
      </c>
      <c r="C593" t="s">
        <v>439</v>
      </c>
      <c r="D593" t="s">
        <v>2066</v>
      </c>
      <c r="E593">
        <v>5285</v>
      </c>
      <c r="G593" t="s">
        <v>2022</v>
      </c>
      <c r="M593" t="s">
        <v>640</v>
      </c>
      <c r="N593" t="s">
        <v>276</v>
      </c>
      <c r="P593" t="s">
        <v>260</v>
      </c>
      <c r="Q593" t="s">
        <v>260</v>
      </c>
      <c r="R593" t="s">
        <v>261</v>
      </c>
      <c r="S593" t="s">
        <v>21</v>
      </c>
      <c r="T593">
        <v>100</v>
      </c>
      <c r="U593" t="s">
        <v>354</v>
      </c>
      <c r="W593" t="s">
        <v>262</v>
      </c>
    </row>
    <row r="594" spans="1:28" x14ac:dyDescent="0.3">
      <c r="A594" t="s">
        <v>21</v>
      </c>
      <c r="B594" t="s">
        <v>2067</v>
      </c>
      <c r="C594" t="s">
        <v>270</v>
      </c>
      <c r="D594" t="s">
        <v>2068</v>
      </c>
      <c r="E594">
        <v>5172</v>
      </c>
      <c r="G594" t="s">
        <v>1936</v>
      </c>
      <c r="H594" t="s">
        <v>1945</v>
      </c>
      <c r="I594" t="s">
        <v>390</v>
      </c>
      <c r="J594" t="s">
        <v>425</v>
      </c>
      <c r="K594">
        <v>8051</v>
      </c>
      <c r="L594" t="s">
        <v>276</v>
      </c>
      <c r="M594" t="s">
        <v>390</v>
      </c>
      <c r="N594" t="s">
        <v>276</v>
      </c>
      <c r="P594" t="s">
        <v>260</v>
      </c>
      <c r="Q594" t="s">
        <v>260</v>
      </c>
      <c r="R594" t="s">
        <v>261</v>
      </c>
      <c r="S594" t="s">
        <v>21</v>
      </c>
      <c r="T594">
        <v>100</v>
      </c>
      <c r="U594" t="s">
        <v>354</v>
      </c>
      <c r="W594" t="s">
        <v>262</v>
      </c>
      <c r="X594">
        <v>-43.476427299999997</v>
      </c>
      <c r="Y594">
        <v>172.51673359999899</v>
      </c>
      <c r="Z594">
        <v>310</v>
      </c>
      <c r="AA594" s="9">
        <v>42917</v>
      </c>
    </row>
    <row r="595" spans="1:28" x14ac:dyDescent="0.3">
      <c r="A595" t="s">
        <v>21</v>
      </c>
      <c r="B595" t="s">
        <v>2069</v>
      </c>
      <c r="C595" t="s">
        <v>270</v>
      </c>
      <c r="D595" t="s">
        <v>1947</v>
      </c>
      <c r="E595">
        <v>5170</v>
      </c>
      <c r="G595" t="s">
        <v>1936</v>
      </c>
      <c r="H595" t="s">
        <v>1945</v>
      </c>
      <c r="I595" t="s">
        <v>390</v>
      </c>
      <c r="J595" t="s">
        <v>425</v>
      </c>
      <c r="K595">
        <v>8051</v>
      </c>
      <c r="L595" t="s">
        <v>276</v>
      </c>
      <c r="M595" t="s">
        <v>390</v>
      </c>
      <c r="N595" t="s">
        <v>276</v>
      </c>
      <c r="P595" t="s">
        <v>260</v>
      </c>
      <c r="Q595" t="s">
        <v>260</v>
      </c>
      <c r="R595" t="s">
        <v>261</v>
      </c>
      <c r="S595" t="s">
        <v>21</v>
      </c>
      <c r="T595">
        <v>100</v>
      </c>
      <c r="U595" t="s">
        <v>354</v>
      </c>
      <c r="W595" t="s">
        <v>262</v>
      </c>
      <c r="X595">
        <v>-43.476427299999997</v>
      </c>
      <c r="Y595">
        <v>172.51673359999899</v>
      </c>
      <c r="Z595">
        <v>310</v>
      </c>
      <c r="AA595" s="9">
        <v>42917</v>
      </c>
    </row>
    <row r="596" spans="1:28" x14ac:dyDescent="0.3">
      <c r="A596" t="s">
        <v>21</v>
      </c>
      <c r="B596" t="s">
        <v>2070</v>
      </c>
      <c r="C596" t="s">
        <v>270</v>
      </c>
      <c r="D596" t="s">
        <v>2071</v>
      </c>
      <c r="E596">
        <v>5174</v>
      </c>
      <c r="G596" t="s">
        <v>1936</v>
      </c>
      <c r="H596" t="s">
        <v>1945</v>
      </c>
      <c r="I596" t="s">
        <v>390</v>
      </c>
      <c r="J596" t="s">
        <v>425</v>
      </c>
      <c r="K596">
        <v>3782</v>
      </c>
      <c r="L596" t="s">
        <v>276</v>
      </c>
      <c r="M596" t="s">
        <v>390</v>
      </c>
      <c r="N596" t="s">
        <v>276</v>
      </c>
      <c r="P596" t="s">
        <v>260</v>
      </c>
      <c r="Q596" t="s">
        <v>260</v>
      </c>
      <c r="R596" t="s">
        <v>261</v>
      </c>
      <c r="S596" t="s">
        <v>21</v>
      </c>
      <c r="T596">
        <v>100</v>
      </c>
      <c r="U596" t="s">
        <v>354</v>
      </c>
      <c r="W596" t="s">
        <v>262</v>
      </c>
      <c r="X596">
        <v>-43.476427299999997</v>
      </c>
      <c r="Y596">
        <v>172.51673359999899</v>
      </c>
      <c r="Z596">
        <v>310</v>
      </c>
      <c r="AA596" s="9">
        <v>42917</v>
      </c>
    </row>
    <row r="597" spans="1:28" x14ac:dyDescent="0.3">
      <c r="A597" t="s">
        <v>21</v>
      </c>
      <c r="B597" t="s">
        <v>2072</v>
      </c>
      <c r="C597" t="s">
        <v>1147</v>
      </c>
      <c r="D597" t="s">
        <v>2073</v>
      </c>
      <c r="E597">
        <v>5329</v>
      </c>
      <c r="M597" t="s">
        <v>385</v>
      </c>
      <c r="N597" t="s">
        <v>276</v>
      </c>
      <c r="P597" t="s">
        <v>260</v>
      </c>
      <c r="Q597" t="s">
        <v>260</v>
      </c>
      <c r="R597" t="s">
        <v>261</v>
      </c>
      <c r="S597" t="s">
        <v>21</v>
      </c>
      <c r="T597">
        <v>100</v>
      </c>
      <c r="U597" t="s">
        <v>354</v>
      </c>
      <c r="W597" t="s">
        <v>262</v>
      </c>
    </row>
    <row r="598" spans="1:28" x14ac:dyDescent="0.3">
      <c r="A598" t="s">
        <v>21</v>
      </c>
      <c r="B598" t="s">
        <v>2074</v>
      </c>
      <c r="C598" t="s">
        <v>439</v>
      </c>
      <c r="D598" t="s">
        <v>2075</v>
      </c>
      <c r="E598">
        <v>5318</v>
      </c>
      <c r="M598" t="s">
        <v>425</v>
      </c>
      <c r="N598" t="s">
        <v>276</v>
      </c>
      <c r="P598" t="s">
        <v>260</v>
      </c>
      <c r="Q598" t="s">
        <v>260</v>
      </c>
      <c r="R598" t="s">
        <v>261</v>
      </c>
      <c r="S598" t="s">
        <v>21</v>
      </c>
      <c r="T598">
        <v>100</v>
      </c>
      <c r="U598" t="s">
        <v>354</v>
      </c>
      <c r="W598" t="s">
        <v>262</v>
      </c>
    </row>
    <row r="599" spans="1:28" x14ac:dyDescent="0.3">
      <c r="A599" t="s">
        <v>21</v>
      </c>
      <c r="B599" t="s">
        <v>2076</v>
      </c>
      <c r="C599" t="s">
        <v>1147</v>
      </c>
      <c r="D599" t="s">
        <v>2077</v>
      </c>
      <c r="E599">
        <v>5327</v>
      </c>
      <c r="M599" t="s">
        <v>749</v>
      </c>
      <c r="N599" t="s">
        <v>276</v>
      </c>
      <c r="P599" t="s">
        <v>260</v>
      </c>
      <c r="Q599" t="s">
        <v>260</v>
      </c>
      <c r="R599" t="s">
        <v>261</v>
      </c>
      <c r="S599" t="s">
        <v>21</v>
      </c>
      <c r="T599">
        <v>100</v>
      </c>
      <c r="U599" t="s">
        <v>354</v>
      </c>
      <c r="W599" t="s">
        <v>262</v>
      </c>
    </row>
    <row r="600" spans="1:28" x14ac:dyDescent="0.3">
      <c r="A600" t="s">
        <v>21</v>
      </c>
      <c r="B600" t="s">
        <v>2078</v>
      </c>
      <c r="C600" t="s">
        <v>270</v>
      </c>
      <c r="D600" t="s">
        <v>2079</v>
      </c>
      <c r="E600">
        <v>5121</v>
      </c>
      <c r="G600" t="s">
        <v>1985</v>
      </c>
      <c r="H600" t="s">
        <v>780</v>
      </c>
      <c r="I600" t="s">
        <v>781</v>
      </c>
      <c r="J600" t="s">
        <v>385</v>
      </c>
      <c r="K600">
        <v>7011</v>
      </c>
      <c r="L600" t="s">
        <v>276</v>
      </c>
      <c r="M600" t="s">
        <v>781</v>
      </c>
      <c r="N600" t="s">
        <v>276</v>
      </c>
      <c r="P600" t="s">
        <v>260</v>
      </c>
      <c r="Q600" t="s">
        <v>260</v>
      </c>
      <c r="R600" t="s">
        <v>261</v>
      </c>
      <c r="S600" t="s">
        <v>21</v>
      </c>
      <c r="T600">
        <v>100</v>
      </c>
      <c r="U600" t="s">
        <v>354</v>
      </c>
      <c r="W600" t="s">
        <v>262</v>
      </c>
      <c r="X600">
        <v>-45.412389400000002</v>
      </c>
      <c r="Y600">
        <v>167.73160050000001</v>
      </c>
      <c r="Z600">
        <v>310</v>
      </c>
      <c r="AA600" s="9">
        <v>42917</v>
      </c>
    </row>
    <row r="601" spans="1:28" x14ac:dyDescent="0.3">
      <c r="A601" t="s">
        <v>21</v>
      </c>
      <c r="B601" t="s">
        <v>2080</v>
      </c>
      <c r="C601" t="s">
        <v>270</v>
      </c>
      <c r="D601" t="s">
        <v>2081</v>
      </c>
      <c r="E601">
        <v>5122</v>
      </c>
      <c r="G601" t="s">
        <v>1985</v>
      </c>
      <c r="H601" t="s">
        <v>397</v>
      </c>
      <c r="I601" t="s">
        <v>398</v>
      </c>
      <c r="J601" t="s">
        <v>399</v>
      </c>
      <c r="K601">
        <v>3200</v>
      </c>
      <c r="L601" t="s">
        <v>276</v>
      </c>
      <c r="M601" t="s">
        <v>398</v>
      </c>
      <c r="N601" t="s">
        <v>276</v>
      </c>
      <c r="P601" t="s">
        <v>260</v>
      </c>
      <c r="Q601" t="s">
        <v>260</v>
      </c>
      <c r="R601" t="s">
        <v>261</v>
      </c>
      <c r="S601" t="s">
        <v>21</v>
      </c>
      <c r="T601">
        <v>100</v>
      </c>
      <c r="U601" t="s">
        <v>354</v>
      </c>
      <c r="W601" t="s">
        <v>262</v>
      </c>
      <c r="X601">
        <v>-39.042341999999998</v>
      </c>
      <c r="Y601">
        <v>174.11916829999899</v>
      </c>
      <c r="Z601">
        <v>310</v>
      </c>
      <c r="AA601" s="9">
        <v>42917</v>
      </c>
    </row>
    <row r="602" spans="1:28" x14ac:dyDescent="0.3">
      <c r="A602" t="s">
        <v>21</v>
      </c>
      <c r="B602" t="s">
        <v>2082</v>
      </c>
      <c r="C602" t="s">
        <v>270</v>
      </c>
      <c r="D602" t="s">
        <v>2083</v>
      </c>
      <c r="E602">
        <v>5123</v>
      </c>
      <c r="G602" t="s">
        <v>1985</v>
      </c>
      <c r="H602" t="s">
        <v>1454</v>
      </c>
      <c r="I602" t="s">
        <v>717</v>
      </c>
      <c r="J602" t="s">
        <v>717</v>
      </c>
      <c r="K602">
        <v>5022</v>
      </c>
      <c r="L602" t="s">
        <v>276</v>
      </c>
      <c r="M602" t="s">
        <v>717</v>
      </c>
      <c r="N602" t="s">
        <v>276</v>
      </c>
      <c r="P602" t="s">
        <v>260</v>
      </c>
      <c r="Q602" t="s">
        <v>260</v>
      </c>
      <c r="R602" t="s">
        <v>261</v>
      </c>
      <c r="S602" t="s">
        <v>21</v>
      </c>
      <c r="T602">
        <v>100</v>
      </c>
      <c r="U602" t="s">
        <v>354</v>
      </c>
      <c r="W602" t="s">
        <v>262</v>
      </c>
      <c r="X602">
        <v>-41.325945500000003</v>
      </c>
      <c r="Y602">
        <v>173.26183609999899</v>
      </c>
      <c r="Z602">
        <v>310</v>
      </c>
      <c r="AA602" s="9">
        <v>42917</v>
      </c>
    </row>
    <row r="603" spans="1:28" x14ac:dyDescent="0.3">
      <c r="A603" t="s">
        <v>21</v>
      </c>
      <c r="B603" t="s">
        <v>2084</v>
      </c>
      <c r="C603" t="s">
        <v>270</v>
      </c>
      <c r="D603" t="s">
        <v>2085</v>
      </c>
      <c r="E603">
        <v>5306</v>
      </c>
      <c r="F603">
        <v>5306</v>
      </c>
      <c r="M603" t="s">
        <v>385</v>
      </c>
      <c r="N603" t="s">
        <v>276</v>
      </c>
      <c r="P603" t="s">
        <v>260</v>
      </c>
      <c r="Q603" t="s">
        <v>260</v>
      </c>
      <c r="R603" t="s">
        <v>261</v>
      </c>
      <c r="S603" t="s">
        <v>21</v>
      </c>
      <c r="T603">
        <v>100</v>
      </c>
      <c r="U603" t="s">
        <v>354</v>
      </c>
      <c r="W603" t="s">
        <v>262</v>
      </c>
    </row>
    <row r="604" spans="1:28" x14ac:dyDescent="0.3">
      <c r="A604" t="s">
        <v>21</v>
      </c>
      <c r="B604" t="s">
        <v>2086</v>
      </c>
      <c r="C604" t="s">
        <v>270</v>
      </c>
      <c r="D604" t="s">
        <v>2087</v>
      </c>
      <c r="E604">
        <v>5307</v>
      </c>
      <c r="F604">
        <v>5307</v>
      </c>
      <c r="M604" t="s">
        <v>275</v>
      </c>
      <c r="N604" t="s">
        <v>276</v>
      </c>
      <c r="P604" t="s">
        <v>260</v>
      </c>
      <c r="Q604" t="s">
        <v>260</v>
      </c>
      <c r="R604" t="s">
        <v>261</v>
      </c>
      <c r="S604" t="s">
        <v>21</v>
      </c>
      <c r="T604">
        <v>100</v>
      </c>
      <c r="U604" t="s">
        <v>354</v>
      </c>
      <c r="W604" t="s">
        <v>262</v>
      </c>
    </row>
    <row r="605" spans="1:28" x14ac:dyDescent="0.3">
      <c r="A605" t="s">
        <v>21</v>
      </c>
      <c r="B605" t="s">
        <v>2088</v>
      </c>
      <c r="C605" t="s">
        <v>270</v>
      </c>
      <c r="D605" t="s">
        <v>2089</v>
      </c>
      <c r="E605">
        <v>5124</v>
      </c>
      <c r="G605" t="s">
        <v>1985</v>
      </c>
      <c r="H605" t="s">
        <v>378</v>
      </c>
      <c r="I605" t="s">
        <v>379</v>
      </c>
      <c r="J605" t="s">
        <v>380</v>
      </c>
      <c r="K605">
        <v>8042</v>
      </c>
      <c r="L605" t="s">
        <v>276</v>
      </c>
      <c r="M605" t="s">
        <v>379</v>
      </c>
      <c r="N605" t="s">
        <v>276</v>
      </c>
      <c r="P605" t="s">
        <v>260</v>
      </c>
      <c r="Q605" t="s">
        <v>260</v>
      </c>
      <c r="R605" t="s">
        <v>261</v>
      </c>
      <c r="S605" t="s">
        <v>21</v>
      </c>
      <c r="T605">
        <v>100</v>
      </c>
      <c r="U605" t="s">
        <v>354</v>
      </c>
      <c r="W605" t="s">
        <v>262</v>
      </c>
      <c r="X605">
        <v>-37.754067999999997</v>
      </c>
      <c r="Y605">
        <v>175.23705870000001</v>
      </c>
      <c r="Z605">
        <v>310</v>
      </c>
      <c r="AA605" s="9">
        <v>42917</v>
      </c>
    </row>
    <row r="606" spans="1:28" x14ac:dyDescent="0.3">
      <c r="A606" t="s">
        <v>21</v>
      </c>
      <c r="B606" t="s">
        <v>2090</v>
      </c>
      <c r="C606" t="s">
        <v>270</v>
      </c>
      <c r="D606" t="s">
        <v>2091</v>
      </c>
      <c r="E606">
        <v>5125</v>
      </c>
      <c r="G606" t="s">
        <v>1985</v>
      </c>
      <c r="H606" t="s">
        <v>821</v>
      </c>
      <c r="I606" t="s">
        <v>822</v>
      </c>
      <c r="J606" t="s">
        <v>403</v>
      </c>
      <c r="K606">
        <v>5022</v>
      </c>
      <c r="L606" t="s">
        <v>276</v>
      </c>
      <c r="M606" t="s">
        <v>822</v>
      </c>
      <c r="N606" t="s">
        <v>276</v>
      </c>
      <c r="P606" t="s">
        <v>260</v>
      </c>
      <c r="Q606" t="s">
        <v>260</v>
      </c>
      <c r="R606" t="s">
        <v>261</v>
      </c>
      <c r="S606" t="s">
        <v>21</v>
      </c>
      <c r="T606">
        <v>100</v>
      </c>
      <c r="U606" t="s">
        <v>354</v>
      </c>
      <c r="W606" t="s">
        <v>262</v>
      </c>
      <c r="X606">
        <v>-41.137590600000003</v>
      </c>
      <c r="Y606">
        <v>174.831221499999</v>
      </c>
      <c r="Z606">
        <v>310</v>
      </c>
      <c r="AA606" s="9">
        <v>42917</v>
      </c>
    </row>
    <row r="607" spans="1:28" x14ac:dyDescent="0.3">
      <c r="A607" t="s">
        <v>21</v>
      </c>
      <c r="B607" t="s">
        <v>2092</v>
      </c>
      <c r="C607" t="s">
        <v>439</v>
      </c>
      <c r="D607" t="s">
        <v>2093</v>
      </c>
      <c r="E607" t="s">
        <v>2094</v>
      </c>
      <c r="M607" t="s">
        <v>312</v>
      </c>
      <c r="N607" t="s">
        <v>259</v>
      </c>
      <c r="P607" t="s">
        <v>260</v>
      </c>
      <c r="Q607" t="s">
        <v>260</v>
      </c>
      <c r="R607" t="s">
        <v>308</v>
      </c>
      <c r="S607" t="s">
        <v>21</v>
      </c>
      <c r="T607">
        <v>100</v>
      </c>
      <c r="V607" s="9">
        <v>45199</v>
      </c>
      <c r="W607" t="s">
        <v>262</v>
      </c>
    </row>
    <row r="608" spans="1:28" ht="409.5" customHeight="1" x14ac:dyDescent="0.3">
      <c r="A608" t="s">
        <v>21</v>
      </c>
      <c r="B608" t="s">
        <v>2095</v>
      </c>
      <c r="C608" t="s">
        <v>439</v>
      </c>
      <c r="D608" t="s">
        <v>2096</v>
      </c>
      <c r="E608" t="s">
        <v>2096</v>
      </c>
      <c r="G608" s="10" t="s">
        <v>2097</v>
      </c>
      <c r="M608" t="s">
        <v>312</v>
      </c>
      <c r="N608" t="s">
        <v>259</v>
      </c>
      <c r="P608" t="s">
        <v>260</v>
      </c>
      <c r="Q608" t="s">
        <v>260</v>
      </c>
      <c r="R608" t="s">
        <v>308</v>
      </c>
      <c r="S608" t="s">
        <v>21</v>
      </c>
      <c r="T608">
        <v>100</v>
      </c>
      <c r="V608" s="9">
        <v>45199</v>
      </c>
      <c r="W608" t="s">
        <v>262</v>
      </c>
      <c r="AB608" s="9">
        <v>45046</v>
      </c>
    </row>
    <row r="609" spans="1:28" x14ac:dyDescent="0.3">
      <c r="A609" t="s">
        <v>21</v>
      </c>
      <c r="B609" t="s">
        <v>2098</v>
      </c>
      <c r="C609" t="s">
        <v>439</v>
      </c>
      <c r="D609" t="s">
        <v>2099</v>
      </c>
      <c r="E609" t="s">
        <v>2100</v>
      </c>
      <c r="M609" t="s">
        <v>312</v>
      </c>
      <c r="N609" t="s">
        <v>259</v>
      </c>
      <c r="P609" t="s">
        <v>260</v>
      </c>
      <c r="Q609" t="s">
        <v>260</v>
      </c>
      <c r="R609" t="s">
        <v>308</v>
      </c>
      <c r="S609" t="s">
        <v>21</v>
      </c>
      <c r="T609">
        <v>100</v>
      </c>
      <c r="V609" s="9">
        <v>45199</v>
      </c>
      <c r="W609" t="s">
        <v>262</v>
      </c>
      <c r="AB609" s="9">
        <v>45198</v>
      </c>
    </row>
    <row r="610" spans="1:28" x14ac:dyDescent="0.3">
      <c r="A610" t="s">
        <v>21</v>
      </c>
      <c r="B610" t="s">
        <v>2101</v>
      </c>
      <c r="C610" t="s">
        <v>439</v>
      </c>
      <c r="D610" t="s">
        <v>2102</v>
      </c>
      <c r="E610">
        <v>1106</v>
      </c>
      <c r="F610">
        <v>1106</v>
      </c>
      <c r="M610" t="s">
        <v>312</v>
      </c>
      <c r="N610" t="s">
        <v>259</v>
      </c>
      <c r="P610" t="s">
        <v>260</v>
      </c>
      <c r="Q610" t="s">
        <v>260</v>
      </c>
      <c r="R610" t="s">
        <v>308</v>
      </c>
      <c r="S610" t="s">
        <v>21</v>
      </c>
      <c r="T610">
        <v>100</v>
      </c>
      <c r="V610" s="9">
        <v>45199</v>
      </c>
      <c r="W610" t="s">
        <v>262</v>
      </c>
      <c r="AB610" s="9">
        <v>45198</v>
      </c>
    </row>
    <row r="611" spans="1:28" x14ac:dyDescent="0.3">
      <c r="A611" t="s">
        <v>21</v>
      </c>
      <c r="B611" t="s">
        <v>2103</v>
      </c>
      <c r="C611" t="s">
        <v>270</v>
      </c>
      <c r="D611" t="s">
        <v>2104</v>
      </c>
      <c r="E611">
        <v>1030</v>
      </c>
      <c r="G611" t="s">
        <v>2105</v>
      </c>
      <c r="M611" t="s">
        <v>1001</v>
      </c>
      <c r="N611" t="s">
        <v>259</v>
      </c>
      <c r="P611" t="s">
        <v>260</v>
      </c>
      <c r="Q611" t="s">
        <v>260</v>
      </c>
      <c r="R611" t="s">
        <v>293</v>
      </c>
      <c r="S611" t="s">
        <v>21</v>
      </c>
      <c r="T611">
        <v>100</v>
      </c>
      <c r="W611" t="s">
        <v>262</v>
      </c>
      <c r="AB611" s="9">
        <v>44896</v>
      </c>
    </row>
    <row r="612" spans="1:28" x14ac:dyDescent="0.3">
      <c r="A612" t="s">
        <v>21</v>
      </c>
      <c r="B612" t="s">
        <v>2106</v>
      </c>
      <c r="C612" t="s">
        <v>299</v>
      </c>
      <c r="D612" t="s">
        <v>2107</v>
      </c>
      <c r="E612" t="s">
        <v>2108</v>
      </c>
      <c r="G612" t="s">
        <v>2109</v>
      </c>
      <c r="M612" t="s">
        <v>282</v>
      </c>
      <c r="N612" t="s">
        <v>259</v>
      </c>
      <c r="P612" t="s">
        <v>260</v>
      </c>
      <c r="Q612" t="s">
        <v>260</v>
      </c>
      <c r="R612" t="s">
        <v>283</v>
      </c>
      <c r="S612" t="s">
        <v>21</v>
      </c>
      <c r="T612">
        <v>100</v>
      </c>
      <c r="W612" t="s">
        <v>262</v>
      </c>
      <c r="AB612" s="9">
        <v>45077</v>
      </c>
    </row>
    <row r="613" spans="1:28" ht="409.5" customHeight="1" x14ac:dyDescent="0.3">
      <c r="A613" t="s">
        <v>21</v>
      </c>
      <c r="B613" t="s">
        <v>2110</v>
      </c>
      <c r="C613" t="s">
        <v>270</v>
      </c>
      <c r="D613" t="s">
        <v>2111</v>
      </c>
      <c r="E613">
        <v>7012</v>
      </c>
      <c r="G613" s="10" t="s">
        <v>2112</v>
      </c>
      <c r="H613" t="s">
        <v>541</v>
      </c>
      <c r="I613" t="s">
        <v>542</v>
      </c>
      <c r="J613" t="s">
        <v>318</v>
      </c>
      <c r="K613">
        <v>4151</v>
      </c>
      <c r="L613" t="s">
        <v>259</v>
      </c>
      <c r="M613" t="s">
        <v>302</v>
      </c>
      <c r="N613" t="s">
        <v>259</v>
      </c>
      <c r="P613" t="s">
        <v>260</v>
      </c>
      <c r="Q613" t="s">
        <v>260</v>
      </c>
      <c r="R613" t="s">
        <v>283</v>
      </c>
      <c r="S613" t="s">
        <v>21</v>
      </c>
      <c r="T613">
        <v>100</v>
      </c>
      <c r="W613" t="s">
        <v>262</v>
      </c>
      <c r="X613">
        <v>-27.494706999999998</v>
      </c>
      <c r="Y613">
        <v>153.003986</v>
      </c>
      <c r="Z613">
        <v>310</v>
      </c>
      <c r="AA613" s="9">
        <v>42979</v>
      </c>
    </row>
    <row r="614" spans="1:28" x14ac:dyDescent="0.3">
      <c r="A614" t="s">
        <v>21</v>
      </c>
      <c r="B614" t="s">
        <v>2113</v>
      </c>
      <c r="C614" t="s">
        <v>270</v>
      </c>
      <c r="D614" t="s">
        <v>2114</v>
      </c>
      <c r="E614">
        <v>7013</v>
      </c>
      <c r="H614" t="s">
        <v>541</v>
      </c>
      <c r="I614" t="s">
        <v>542</v>
      </c>
      <c r="J614" t="s">
        <v>318</v>
      </c>
      <c r="K614">
        <v>4151</v>
      </c>
      <c r="L614" t="s">
        <v>259</v>
      </c>
      <c r="M614" t="s">
        <v>302</v>
      </c>
      <c r="N614" t="s">
        <v>259</v>
      </c>
      <c r="P614" t="s">
        <v>260</v>
      </c>
      <c r="Q614" t="s">
        <v>260</v>
      </c>
      <c r="R614" t="s">
        <v>283</v>
      </c>
      <c r="S614" t="s">
        <v>21</v>
      </c>
      <c r="T614">
        <v>100</v>
      </c>
      <c r="W614" t="s">
        <v>262</v>
      </c>
      <c r="X614">
        <v>-27.494706999999998</v>
      </c>
      <c r="Y614">
        <v>153.033986</v>
      </c>
      <c r="Z614">
        <v>310</v>
      </c>
      <c r="AA614" s="9">
        <v>43009</v>
      </c>
      <c r="AB614" s="9">
        <v>43131</v>
      </c>
    </row>
    <row r="615" spans="1:28" ht="90" customHeight="1" x14ac:dyDescent="0.3">
      <c r="A615" t="s">
        <v>21</v>
      </c>
      <c r="B615" t="s">
        <v>2115</v>
      </c>
      <c r="C615" t="s">
        <v>270</v>
      </c>
      <c r="D615" t="s">
        <v>2116</v>
      </c>
      <c r="E615">
        <v>7047</v>
      </c>
      <c r="G615" s="10" t="s">
        <v>2117</v>
      </c>
      <c r="M615" t="s">
        <v>312</v>
      </c>
      <c r="N615" t="s">
        <v>259</v>
      </c>
      <c r="P615" t="s">
        <v>260</v>
      </c>
      <c r="Q615" t="s">
        <v>260</v>
      </c>
      <c r="R615" t="s">
        <v>283</v>
      </c>
      <c r="S615" t="s">
        <v>21</v>
      </c>
      <c r="T615">
        <v>100</v>
      </c>
      <c r="W615" t="s">
        <v>262</v>
      </c>
    </row>
    <row r="616" spans="1:28" x14ac:dyDescent="0.3">
      <c r="A616" t="s">
        <v>21</v>
      </c>
      <c r="B616" t="s">
        <v>2118</v>
      </c>
      <c r="C616" t="s">
        <v>270</v>
      </c>
      <c r="D616" t="s">
        <v>2116</v>
      </c>
      <c r="E616" t="s">
        <v>2119</v>
      </c>
      <c r="H616" t="s">
        <v>410</v>
      </c>
      <c r="I616" t="s">
        <v>411</v>
      </c>
      <c r="J616" t="s">
        <v>366</v>
      </c>
      <c r="K616">
        <v>2113</v>
      </c>
      <c r="L616" t="s">
        <v>259</v>
      </c>
      <c r="M616" t="s">
        <v>312</v>
      </c>
      <c r="N616" t="s">
        <v>259</v>
      </c>
      <c r="P616" t="s">
        <v>260</v>
      </c>
      <c r="Q616" t="s">
        <v>260</v>
      </c>
      <c r="R616" t="s">
        <v>283</v>
      </c>
      <c r="S616" t="s">
        <v>21</v>
      </c>
      <c r="T616">
        <v>100</v>
      </c>
      <c r="W616" t="s">
        <v>262</v>
      </c>
      <c r="X616">
        <v>-35.122185000000002</v>
      </c>
      <c r="Y616">
        <v>147.34970799999999</v>
      </c>
      <c r="Z616">
        <v>310</v>
      </c>
    </row>
    <row r="617" spans="1:28" x14ac:dyDescent="0.3">
      <c r="A617" t="s">
        <v>21</v>
      </c>
      <c r="B617" t="s">
        <v>2120</v>
      </c>
      <c r="C617" t="s">
        <v>270</v>
      </c>
      <c r="D617" t="s">
        <v>2121</v>
      </c>
      <c r="E617">
        <v>23</v>
      </c>
      <c r="H617" t="s">
        <v>2122</v>
      </c>
      <c r="I617" t="s">
        <v>2123</v>
      </c>
      <c r="J617" t="s">
        <v>318</v>
      </c>
      <c r="K617">
        <v>4868</v>
      </c>
      <c r="L617" t="s">
        <v>259</v>
      </c>
      <c r="M617" t="s">
        <v>302</v>
      </c>
      <c r="N617" t="s">
        <v>259</v>
      </c>
      <c r="P617" t="s">
        <v>260</v>
      </c>
      <c r="Q617" t="s">
        <v>260</v>
      </c>
      <c r="R617" t="s">
        <v>283</v>
      </c>
      <c r="S617" t="s">
        <v>21</v>
      </c>
      <c r="T617">
        <v>100</v>
      </c>
      <c r="W617" t="s">
        <v>262</v>
      </c>
      <c r="X617">
        <v>-16.959889</v>
      </c>
      <c r="Y617">
        <v>145.75225800000001</v>
      </c>
      <c r="Z617">
        <v>310</v>
      </c>
      <c r="AB617" s="9">
        <v>44012</v>
      </c>
    </row>
    <row r="618" spans="1:28" x14ac:dyDescent="0.3">
      <c r="A618" t="s">
        <v>21</v>
      </c>
      <c r="B618" t="s">
        <v>2124</v>
      </c>
      <c r="C618" t="s">
        <v>289</v>
      </c>
      <c r="D618" t="s">
        <v>2125</v>
      </c>
      <c r="E618">
        <v>2029</v>
      </c>
      <c r="H618" t="s">
        <v>2126</v>
      </c>
      <c r="I618" t="s">
        <v>2127</v>
      </c>
      <c r="J618" t="s">
        <v>335</v>
      </c>
      <c r="K618">
        <v>3043</v>
      </c>
      <c r="L618" t="s">
        <v>259</v>
      </c>
      <c r="M618" t="s">
        <v>282</v>
      </c>
      <c r="N618" t="s">
        <v>259</v>
      </c>
      <c r="P618" t="s">
        <v>260</v>
      </c>
      <c r="Q618" t="s">
        <v>260</v>
      </c>
      <c r="R618" t="s">
        <v>283</v>
      </c>
      <c r="S618" t="s">
        <v>21</v>
      </c>
      <c r="T618">
        <v>100</v>
      </c>
      <c r="W618" t="s">
        <v>262</v>
      </c>
      <c r="X618">
        <v>-37.707000000000001</v>
      </c>
      <c r="Y618">
        <v>144.84899999999999</v>
      </c>
      <c r="Z618">
        <v>310</v>
      </c>
      <c r="AA618" s="9">
        <v>42917</v>
      </c>
    </row>
    <row r="619" spans="1:28" x14ac:dyDescent="0.3">
      <c r="A619" t="s">
        <v>21</v>
      </c>
      <c r="B619" t="s">
        <v>2128</v>
      </c>
      <c r="C619" t="s">
        <v>270</v>
      </c>
      <c r="D619" t="s">
        <v>2129</v>
      </c>
      <c r="E619">
        <v>5131</v>
      </c>
      <c r="G619" t="s">
        <v>2130</v>
      </c>
      <c r="H619" t="s">
        <v>1342</v>
      </c>
      <c r="I619" t="s">
        <v>1343</v>
      </c>
      <c r="J619" t="s">
        <v>297</v>
      </c>
      <c r="K619">
        <v>2104</v>
      </c>
      <c r="L619" t="s">
        <v>276</v>
      </c>
      <c r="M619" t="s">
        <v>631</v>
      </c>
      <c r="N619" t="s">
        <v>276</v>
      </c>
      <c r="P619" t="s">
        <v>260</v>
      </c>
      <c r="Q619" t="s">
        <v>260</v>
      </c>
      <c r="R619" t="s">
        <v>283</v>
      </c>
      <c r="S619" t="s">
        <v>21</v>
      </c>
      <c r="T619">
        <v>100</v>
      </c>
      <c r="W619" t="s">
        <v>262</v>
      </c>
      <c r="X619">
        <v>-37.008125999999997</v>
      </c>
      <c r="Y619">
        <v>174.87054000000001</v>
      </c>
      <c r="Z619">
        <v>580</v>
      </c>
      <c r="AA619" s="9">
        <v>42917</v>
      </c>
    </row>
    <row r="620" spans="1:28" x14ac:dyDescent="0.3">
      <c r="A620" t="s">
        <v>21</v>
      </c>
      <c r="B620" t="s">
        <v>2131</v>
      </c>
      <c r="C620" t="s">
        <v>270</v>
      </c>
      <c r="D620" t="s">
        <v>2132</v>
      </c>
      <c r="E620">
        <v>5132</v>
      </c>
      <c r="G620" t="s">
        <v>2130</v>
      </c>
      <c r="H620" t="s">
        <v>1342</v>
      </c>
      <c r="I620" t="s">
        <v>1343</v>
      </c>
      <c r="J620" t="s">
        <v>297</v>
      </c>
      <c r="K620">
        <v>2104</v>
      </c>
      <c r="L620" t="s">
        <v>276</v>
      </c>
      <c r="M620" t="s">
        <v>631</v>
      </c>
      <c r="N620" t="s">
        <v>276</v>
      </c>
      <c r="P620" t="s">
        <v>260</v>
      </c>
      <c r="Q620" t="s">
        <v>260</v>
      </c>
      <c r="R620" t="s">
        <v>283</v>
      </c>
      <c r="S620" t="s">
        <v>21</v>
      </c>
      <c r="T620">
        <v>100</v>
      </c>
      <c r="W620" t="s">
        <v>262</v>
      </c>
      <c r="X620">
        <v>-37.008125999999997</v>
      </c>
      <c r="Y620">
        <v>174.87054000000001</v>
      </c>
      <c r="Z620">
        <v>580</v>
      </c>
      <c r="AA620" s="9">
        <v>42917</v>
      </c>
    </row>
    <row r="621" spans="1:28" x14ac:dyDescent="0.3">
      <c r="A621" t="s">
        <v>21</v>
      </c>
      <c r="B621" t="s">
        <v>2133</v>
      </c>
      <c r="C621" t="s">
        <v>270</v>
      </c>
      <c r="D621" t="s">
        <v>2134</v>
      </c>
      <c r="E621">
        <v>5137</v>
      </c>
      <c r="G621" t="s">
        <v>2130</v>
      </c>
      <c r="H621" t="s">
        <v>1342</v>
      </c>
      <c r="I621" t="s">
        <v>1343</v>
      </c>
      <c r="J621" t="s">
        <v>297</v>
      </c>
      <c r="K621">
        <v>2104</v>
      </c>
      <c r="L621" t="s">
        <v>276</v>
      </c>
      <c r="M621" t="s">
        <v>631</v>
      </c>
      <c r="N621" t="s">
        <v>276</v>
      </c>
      <c r="P621" t="s">
        <v>260</v>
      </c>
      <c r="Q621" t="s">
        <v>260</v>
      </c>
      <c r="R621" t="s">
        <v>283</v>
      </c>
      <c r="S621" t="s">
        <v>21</v>
      </c>
      <c r="T621">
        <v>100</v>
      </c>
      <c r="W621" t="s">
        <v>262</v>
      </c>
      <c r="X621">
        <v>-37.008125999999997</v>
      </c>
      <c r="Y621">
        <v>174.87054000000001</v>
      </c>
      <c r="Z621">
        <v>580</v>
      </c>
      <c r="AA621" s="9">
        <v>42917</v>
      </c>
    </row>
    <row r="622" spans="1:28" x14ac:dyDescent="0.3">
      <c r="A622" t="s">
        <v>21</v>
      </c>
      <c r="B622" t="s">
        <v>2135</v>
      </c>
      <c r="C622" t="s">
        <v>270</v>
      </c>
      <c r="D622" t="s">
        <v>2136</v>
      </c>
      <c r="E622">
        <v>5138</v>
      </c>
      <c r="G622" t="s">
        <v>2137</v>
      </c>
      <c r="H622" t="s">
        <v>1342</v>
      </c>
      <c r="I622" t="s">
        <v>1343</v>
      </c>
      <c r="J622" t="s">
        <v>297</v>
      </c>
      <c r="K622">
        <v>2104</v>
      </c>
      <c r="L622" t="s">
        <v>276</v>
      </c>
      <c r="M622" t="s">
        <v>631</v>
      </c>
      <c r="N622" t="s">
        <v>276</v>
      </c>
      <c r="P622" t="s">
        <v>260</v>
      </c>
      <c r="Q622" t="s">
        <v>260</v>
      </c>
      <c r="R622" t="s">
        <v>283</v>
      </c>
      <c r="S622" t="s">
        <v>21</v>
      </c>
      <c r="T622">
        <v>100</v>
      </c>
      <c r="W622" t="s">
        <v>262</v>
      </c>
      <c r="X622">
        <v>-37.008125999999997</v>
      </c>
      <c r="Y622">
        <v>174.87054000000001</v>
      </c>
      <c r="Z622">
        <v>731</v>
      </c>
      <c r="AA622" s="9">
        <v>42917</v>
      </c>
    </row>
    <row r="623" spans="1:28" x14ac:dyDescent="0.3">
      <c r="A623" t="s">
        <v>21</v>
      </c>
      <c r="B623" t="s">
        <v>2138</v>
      </c>
      <c r="C623" t="s">
        <v>270</v>
      </c>
      <c r="D623" t="s">
        <v>1298</v>
      </c>
      <c r="E623">
        <v>5139</v>
      </c>
      <c r="G623" t="s">
        <v>2137</v>
      </c>
      <c r="H623" t="s">
        <v>1342</v>
      </c>
      <c r="I623" t="s">
        <v>1343</v>
      </c>
      <c r="J623" t="s">
        <v>297</v>
      </c>
      <c r="K623">
        <v>2104</v>
      </c>
      <c r="L623" t="s">
        <v>276</v>
      </c>
      <c r="M623" t="s">
        <v>631</v>
      </c>
      <c r="N623" t="s">
        <v>276</v>
      </c>
      <c r="P623" t="s">
        <v>260</v>
      </c>
      <c r="Q623" t="s">
        <v>260</v>
      </c>
      <c r="R623" t="s">
        <v>283</v>
      </c>
      <c r="S623" t="s">
        <v>21</v>
      </c>
      <c r="T623">
        <v>100</v>
      </c>
      <c r="W623" t="s">
        <v>262</v>
      </c>
      <c r="X623">
        <v>-37.008125999999997</v>
      </c>
      <c r="Y623">
        <v>174.87054000000001</v>
      </c>
      <c r="Z623">
        <v>731</v>
      </c>
      <c r="AA623" s="9">
        <v>42917</v>
      </c>
    </row>
    <row r="624" spans="1:28" x14ac:dyDescent="0.3">
      <c r="A624" t="s">
        <v>21</v>
      </c>
      <c r="B624" t="s">
        <v>2139</v>
      </c>
      <c r="C624" t="s">
        <v>270</v>
      </c>
      <c r="D624" t="s">
        <v>2140</v>
      </c>
      <c r="E624">
        <v>5140</v>
      </c>
      <c r="G624" t="s">
        <v>2141</v>
      </c>
      <c r="H624" t="s">
        <v>1342</v>
      </c>
      <c r="I624" t="s">
        <v>1343</v>
      </c>
      <c r="J624" t="s">
        <v>297</v>
      </c>
      <c r="K624">
        <v>2104</v>
      </c>
      <c r="L624" t="s">
        <v>276</v>
      </c>
      <c r="M624" t="s">
        <v>631</v>
      </c>
      <c r="N624" t="s">
        <v>276</v>
      </c>
      <c r="P624" t="s">
        <v>260</v>
      </c>
      <c r="Q624" t="s">
        <v>260</v>
      </c>
      <c r="R624" t="s">
        <v>283</v>
      </c>
      <c r="S624" t="s">
        <v>21</v>
      </c>
      <c r="T624">
        <v>100</v>
      </c>
      <c r="W624" t="s">
        <v>262</v>
      </c>
      <c r="X624">
        <v>-37.008125999999997</v>
      </c>
      <c r="Y624">
        <v>174.87054000000001</v>
      </c>
      <c r="Z624">
        <v>310</v>
      </c>
      <c r="AA624" s="9">
        <v>42917</v>
      </c>
    </row>
    <row r="625" spans="1:28" x14ac:dyDescent="0.3">
      <c r="A625" t="s">
        <v>21</v>
      </c>
      <c r="B625" t="s">
        <v>2142</v>
      </c>
      <c r="C625" t="s">
        <v>270</v>
      </c>
      <c r="D625" t="s">
        <v>2143</v>
      </c>
      <c r="E625">
        <v>5133</v>
      </c>
      <c r="G625" t="s">
        <v>2130</v>
      </c>
      <c r="H625" t="s">
        <v>1342</v>
      </c>
      <c r="I625" t="s">
        <v>1343</v>
      </c>
      <c r="J625" t="s">
        <v>297</v>
      </c>
      <c r="K625">
        <v>2104</v>
      </c>
      <c r="L625" t="s">
        <v>276</v>
      </c>
      <c r="M625" t="s">
        <v>631</v>
      </c>
      <c r="N625" t="s">
        <v>276</v>
      </c>
      <c r="P625" t="s">
        <v>260</v>
      </c>
      <c r="Q625" t="s">
        <v>260</v>
      </c>
      <c r="R625" t="s">
        <v>283</v>
      </c>
      <c r="S625" t="s">
        <v>21</v>
      </c>
      <c r="T625">
        <v>100</v>
      </c>
      <c r="W625" t="s">
        <v>262</v>
      </c>
      <c r="X625">
        <v>-37.008125999999997</v>
      </c>
      <c r="Y625">
        <v>174.87054000000001</v>
      </c>
      <c r="Z625">
        <v>580</v>
      </c>
      <c r="AA625" s="9">
        <v>42917</v>
      </c>
    </row>
    <row r="626" spans="1:28" x14ac:dyDescent="0.3">
      <c r="A626" t="s">
        <v>21</v>
      </c>
      <c r="B626" t="s">
        <v>2144</v>
      </c>
      <c r="C626" t="s">
        <v>270</v>
      </c>
      <c r="D626" t="s">
        <v>2145</v>
      </c>
      <c r="E626">
        <v>5144</v>
      </c>
      <c r="G626" t="s">
        <v>2146</v>
      </c>
      <c r="H626" t="s">
        <v>1958</v>
      </c>
      <c r="I626" t="s">
        <v>703</v>
      </c>
      <c r="J626" t="s">
        <v>403</v>
      </c>
      <c r="K626">
        <v>4312</v>
      </c>
      <c r="L626" t="s">
        <v>276</v>
      </c>
      <c r="M626" t="s">
        <v>703</v>
      </c>
      <c r="N626" t="s">
        <v>276</v>
      </c>
      <c r="P626" t="s">
        <v>260</v>
      </c>
      <c r="Q626" t="s">
        <v>260</v>
      </c>
      <c r="R626" t="s">
        <v>283</v>
      </c>
      <c r="S626" t="s">
        <v>21</v>
      </c>
      <c r="T626">
        <v>100</v>
      </c>
      <c r="W626" t="s">
        <v>262</v>
      </c>
      <c r="X626">
        <v>-41.232049099999998</v>
      </c>
      <c r="Y626">
        <v>174.9143794</v>
      </c>
      <c r="Z626">
        <v>310</v>
      </c>
      <c r="AA626" s="9">
        <v>42917</v>
      </c>
    </row>
    <row r="627" spans="1:28" x14ac:dyDescent="0.3">
      <c r="A627" t="s">
        <v>21</v>
      </c>
      <c r="B627" t="s">
        <v>2147</v>
      </c>
      <c r="C627" t="s">
        <v>270</v>
      </c>
      <c r="D627" t="s">
        <v>2148</v>
      </c>
      <c r="E627">
        <v>5145</v>
      </c>
      <c r="G627" t="s">
        <v>2149</v>
      </c>
      <c r="H627" t="s">
        <v>2150</v>
      </c>
      <c r="I627" t="s">
        <v>1346</v>
      </c>
      <c r="J627" t="s">
        <v>403</v>
      </c>
      <c r="K627">
        <v>4414</v>
      </c>
      <c r="L627" t="s">
        <v>276</v>
      </c>
      <c r="M627" t="s">
        <v>1346</v>
      </c>
      <c r="N627" t="s">
        <v>276</v>
      </c>
      <c r="P627" t="s">
        <v>260</v>
      </c>
      <c r="Q627" t="s">
        <v>260</v>
      </c>
      <c r="R627" t="s">
        <v>283</v>
      </c>
      <c r="S627" t="s">
        <v>21</v>
      </c>
      <c r="T627">
        <v>100</v>
      </c>
      <c r="W627" t="s">
        <v>262</v>
      </c>
      <c r="X627">
        <v>-40.942043099999999</v>
      </c>
      <c r="Y627">
        <v>175.6446206</v>
      </c>
      <c r="Z627">
        <v>310</v>
      </c>
      <c r="AA627" s="9">
        <v>42917</v>
      </c>
    </row>
    <row r="628" spans="1:28" x14ac:dyDescent="0.3">
      <c r="A628" t="s">
        <v>21</v>
      </c>
      <c r="B628" t="s">
        <v>2151</v>
      </c>
      <c r="C628" t="s">
        <v>270</v>
      </c>
      <c r="D628" t="s">
        <v>2152</v>
      </c>
      <c r="E628">
        <v>5146</v>
      </c>
      <c r="G628" t="s">
        <v>2149</v>
      </c>
      <c r="H628" t="s">
        <v>2153</v>
      </c>
      <c r="I628" t="s">
        <v>398</v>
      </c>
      <c r="J628" t="s">
        <v>399</v>
      </c>
      <c r="K628">
        <v>8042</v>
      </c>
      <c r="L628" t="s">
        <v>276</v>
      </c>
      <c r="M628" t="s">
        <v>398</v>
      </c>
      <c r="N628" t="s">
        <v>276</v>
      </c>
      <c r="P628" t="s">
        <v>260</v>
      </c>
      <c r="Q628" t="s">
        <v>260</v>
      </c>
      <c r="R628" t="s">
        <v>283</v>
      </c>
      <c r="S628" t="s">
        <v>21</v>
      </c>
      <c r="T628">
        <v>100</v>
      </c>
      <c r="W628" t="s">
        <v>262</v>
      </c>
      <c r="X628">
        <v>-39.077364699999997</v>
      </c>
      <c r="Y628">
        <v>174.09739549999901</v>
      </c>
      <c r="Z628">
        <v>310</v>
      </c>
      <c r="AA628" s="9">
        <v>42917</v>
      </c>
    </row>
    <row r="629" spans="1:28" x14ac:dyDescent="0.3">
      <c r="A629" t="s">
        <v>21</v>
      </c>
      <c r="B629" t="s">
        <v>2154</v>
      </c>
      <c r="C629" t="s">
        <v>270</v>
      </c>
      <c r="D629" t="s">
        <v>2155</v>
      </c>
      <c r="E629">
        <v>5147</v>
      </c>
      <c r="G629" t="s">
        <v>2149</v>
      </c>
      <c r="H629" t="s">
        <v>2156</v>
      </c>
      <c r="I629" t="s">
        <v>739</v>
      </c>
      <c r="J629" t="s">
        <v>685</v>
      </c>
      <c r="K629">
        <v>3116</v>
      </c>
      <c r="L629" t="s">
        <v>276</v>
      </c>
      <c r="M629" t="s">
        <v>739</v>
      </c>
      <c r="N629" t="s">
        <v>276</v>
      </c>
      <c r="P629" t="s">
        <v>260</v>
      </c>
      <c r="Q629" t="s">
        <v>260</v>
      </c>
      <c r="R629" t="s">
        <v>283</v>
      </c>
      <c r="S629" t="s">
        <v>21</v>
      </c>
      <c r="T629">
        <v>100</v>
      </c>
      <c r="W629" t="s">
        <v>262</v>
      </c>
      <c r="X629">
        <v>-40.334541000000002</v>
      </c>
      <c r="Y629">
        <v>175.64490000000001</v>
      </c>
      <c r="Z629">
        <v>310</v>
      </c>
      <c r="AA629" s="9">
        <v>42917</v>
      </c>
    </row>
    <row r="630" spans="1:28" x14ac:dyDescent="0.3">
      <c r="A630" t="s">
        <v>21</v>
      </c>
      <c r="B630" t="s">
        <v>2157</v>
      </c>
      <c r="C630" t="s">
        <v>270</v>
      </c>
      <c r="D630" t="s">
        <v>2158</v>
      </c>
      <c r="E630" t="s">
        <v>2158</v>
      </c>
      <c r="G630" t="s">
        <v>2149</v>
      </c>
      <c r="H630" t="s">
        <v>838</v>
      </c>
      <c r="I630" t="s">
        <v>390</v>
      </c>
      <c r="J630" t="s">
        <v>425</v>
      </c>
      <c r="K630">
        <v>3600</v>
      </c>
      <c r="L630" t="s">
        <v>276</v>
      </c>
      <c r="M630" t="s">
        <v>390</v>
      </c>
      <c r="N630" t="s">
        <v>276</v>
      </c>
      <c r="P630" t="s">
        <v>260</v>
      </c>
      <c r="Q630" t="s">
        <v>260</v>
      </c>
      <c r="R630" t="s">
        <v>283</v>
      </c>
      <c r="S630" t="s">
        <v>21</v>
      </c>
      <c r="T630">
        <v>100</v>
      </c>
      <c r="W630" t="s">
        <v>262</v>
      </c>
      <c r="X630">
        <v>-43.547387000000001</v>
      </c>
      <c r="Y630">
        <v>172.52175</v>
      </c>
      <c r="Z630">
        <v>310</v>
      </c>
      <c r="AA630" s="9">
        <v>42917</v>
      </c>
    </row>
    <row r="631" spans="1:28" x14ac:dyDescent="0.3">
      <c r="A631" t="s">
        <v>21</v>
      </c>
      <c r="B631" t="s">
        <v>2159</v>
      </c>
      <c r="C631" t="s">
        <v>270</v>
      </c>
      <c r="D631" t="s">
        <v>2160</v>
      </c>
      <c r="E631">
        <v>5149</v>
      </c>
      <c r="G631" t="s">
        <v>2149</v>
      </c>
      <c r="H631" t="s">
        <v>2161</v>
      </c>
      <c r="I631" t="s">
        <v>429</v>
      </c>
      <c r="J631" t="s">
        <v>430</v>
      </c>
      <c r="K631">
        <v>4501</v>
      </c>
      <c r="L631" t="s">
        <v>276</v>
      </c>
      <c r="M631" t="s">
        <v>429</v>
      </c>
      <c r="N631" t="s">
        <v>276</v>
      </c>
      <c r="P631" t="s">
        <v>260</v>
      </c>
      <c r="Q631" t="s">
        <v>260</v>
      </c>
      <c r="R631" t="s">
        <v>283</v>
      </c>
      <c r="S631" t="s">
        <v>21</v>
      </c>
      <c r="T631">
        <v>100</v>
      </c>
      <c r="W631" t="s">
        <v>262</v>
      </c>
      <c r="X631">
        <v>-37.669483100000001</v>
      </c>
      <c r="Y631">
        <v>176.20224210000001</v>
      </c>
      <c r="Z631">
        <v>310</v>
      </c>
      <c r="AA631" s="9">
        <v>42917</v>
      </c>
    </row>
    <row r="632" spans="1:28" x14ac:dyDescent="0.3">
      <c r="A632" t="s">
        <v>21</v>
      </c>
      <c r="B632" t="s">
        <v>2162</v>
      </c>
      <c r="C632" t="s">
        <v>270</v>
      </c>
      <c r="D632" t="s">
        <v>2163</v>
      </c>
      <c r="E632">
        <v>5150</v>
      </c>
      <c r="G632" t="s">
        <v>2149</v>
      </c>
      <c r="H632" t="s">
        <v>2164</v>
      </c>
      <c r="I632" t="s">
        <v>730</v>
      </c>
      <c r="J632" t="s">
        <v>380</v>
      </c>
      <c r="K632">
        <v>5010</v>
      </c>
      <c r="L632" t="s">
        <v>276</v>
      </c>
      <c r="M632" t="s">
        <v>730</v>
      </c>
      <c r="N632" t="s">
        <v>276</v>
      </c>
      <c r="P632" t="s">
        <v>260</v>
      </c>
      <c r="Q632" t="s">
        <v>260</v>
      </c>
      <c r="R632" t="s">
        <v>283</v>
      </c>
      <c r="S632" t="s">
        <v>21</v>
      </c>
      <c r="T632">
        <v>100</v>
      </c>
      <c r="W632" t="s">
        <v>262</v>
      </c>
      <c r="X632">
        <v>-37.3697971</v>
      </c>
      <c r="Y632">
        <v>175.66571719999999</v>
      </c>
      <c r="Z632">
        <v>310</v>
      </c>
      <c r="AA632" s="9">
        <v>42917</v>
      </c>
    </row>
    <row r="633" spans="1:28" x14ac:dyDescent="0.3">
      <c r="A633" t="s">
        <v>21</v>
      </c>
      <c r="B633" t="s">
        <v>2165</v>
      </c>
      <c r="C633" t="s">
        <v>270</v>
      </c>
      <c r="D633" t="s">
        <v>2166</v>
      </c>
      <c r="E633">
        <v>5151</v>
      </c>
      <c r="G633" t="s">
        <v>2149</v>
      </c>
      <c r="H633" t="s">
        <v>2167</v>
      </c>
      <c r="I633" t="s">
        <v>818</v>
      </c>
      <c r="J633" t="s">
        <v>685</v>
      </c>
      <c r="K633">
        <v>5010</v>
      </c>
      <c r="L633" t="s">
        <v>276</v>
      </c>
      <c r="M633" t="s">
        <v>685</v>
      </c>
      <c r="N633" t="s">
        <v>276</v>
      </c>
      <c r="P633" t="s">
        <v>260</v>
      </c>
      <c r="Q633" t="s">
        <v>260</v>
      </c>
      <c r="R633" t="s">
        <v>283</v>
      </c>
      <c r="S633" t="s">
        <v>21</v>
      </c>
      <c r="T633">
        <v>100</v>
      </c>
      <c r="W633" t="s">
        <v>262</v>
      </c>
      <c r="X633">
        <v>-39.947233300000001</v>
      </c>
      <c r="Y633">
        <v>175.03676599999901</v>
      </c>
      <c r="Z633">
        <v>310</v>
      </c>
      <c r="AA633" s="9">
        <v>42917</v>
      </c>
    </row>
    <row r="634" spans="1:28" x14ac:dyDescent="0.3">
      <c r="A634" t="s">
        <v>21</v>
      </c>
      <c r="B634" t="s">
        <v>2168</v>
      </c>
      <c r="C634" t="s">
        <v>270</v>
      </c>
      <c r="D634" t="s">
        <v>2169</v>
      </c>
      <c r="E634">
        <v>5152</v>
      </c>
      <c r="G634" t="s">
        <v>2149</v>
      </c>
      <c r="H634" t="s">
        <v>1958</v>
      </c>
      <c r="I634" t="s">
        <v>703</v>
      </c>
      <c r="J634" t="s">
        <v>403</v>
      </c>
      <c r="K634">
        <v>3116</v>
      </c>
      <c r="L634" t="s">
        <v>276</v>
      </c>
      <c r="M634" t="s">
        <v>703</v>
      </c>
      <c r="N634" t="s">
        <v>276</v>
      </c>
      <c r="P634" t="s">
        <v>260</v>
      </c>
      <c r="Q634" t="s">
        <v>260</v>
      </c>
      <c r="R634" t="s">
        <v>283</v>
      </c>
      <c r="S634" t="s">
        <v>21</v>
      </c>
      <c r="T634">
        <v>100</v>
      </c>
      <c r="W634" t="s">
        <v>262</v>
      </c>
      <c r="X634">
        <v>-41.232049099999998</v>
      </c>
      <c r="Y634">
        <v>174.9143794</v>
      </c>
      <c r="Z634">
        <v>310</v>
      </c>
      <c r="AA634" s="9">
        <v>42917</v>
      </c>
    </row>
    <row r="635" spans="1:28" x14ac:dyDescent="0.3">
      <c r="A635" t="s">
        <v>21</v>
      </c>
      <c r="B635" t="s">
        <v>2170</v>
      </c>
      <c r="C635" t="s">
        <v>270</v>
      </c>
      <c r="D635" t="s">
        <v>840</v>
      </c>
      <c r="E635" t="s">
        <v>840</v>
      </c>
      <c r="M635" t="s">
        <v>297</v>
      </c>
      <c r="N635" t="s">
        <v>276</v>
      </c>
      <c r="P635" t="s">
        <v>260</v>
      </c>
      <c r="Q635" t="s">
        <v>260</v>
      </c>
      <c r="R635" t="s">
        <v>283</v>
      </c>
      <c r="S635" t="s">
        <v>21</v>
      </c>
      <c r="T635">
        <v>100</v>
      </c>
      <c r="W635" t="s">
        <v>262</v>
      </c>
      <c r="AB635" s="9">
        <v>45473</v>
      </c>
    </row>
    <row r="636" spans="1:28" x14ac:dyDescent="0.3">
      <c r="A636" t="s">
        <v>21</v>
      </c>
      <c r="B636" t="s">
        <v>2171</v>
      </c>
      <c r="C636" t="s">
        <v>270</v>
      </c>
      <c r="D636" t="s">
        <v>2172</v>
      </c>
      <c r="E636">
        <v>5135</v>
      </c>
      <c r="G636" t="s">
        <v>2130</v>
      </c>
      <c r="H636" t="s">
        <v>1342</v>
      </c>
      <c r="I636" t="s">
        <v>1343</v>
      </c>
      <c r="J636" t="s">
        <v>297</v>
      </c>
      <c r="K636">
        <v>2104</v>
      </c>
      <c r="L636" t="s">
        <v>276</v>
      </c>
      <c r="M636" t="s">
        <v>631</v>
      </c>
      <c r="N636" t="s">
        <v>276</v>
      </c>
      <c r="P636" t="s">
        <v>260</v>
      </c>
      <c r="Q636" t="s">
        <v>260</v>
      </c>
      <c r="R636" t="s">
        <v>283</v>
      </c>
      <c r="S636" t="s">
        <v>21</v>
      </c>
      <c r="T636">
        <v>100</v>
      </c>
      <c r="W636" t="s">
        <v>262</v>
      </c>
      <c r="X636">
        <v>-37.008125999999997</v>
      </c>
      <c r="Y636">
        <v>174.87054000000001</v>
      </c>
      <c r="Z636">
        <v>580</v>
      </c>
      <c r="AA636" s="9">
        <v>42917</v>
      </c>
    </row>
    <row r="637" spans="1:28" x14ac:dyDescent="0.3">
      <c r="A637" t="s">
        <v>21</v>
      </c>
      <c r="B637" t="s">
        <v>2173</v>
      </c>
      <c r="C637" t="s">
        <v>270</v>
      </c>
      <c r="D637" t="s">
        <v>1906</v>
      </c>
      <c r="E637">
        <v>5134</v>
      </c>
      <c r="G637" t="s">
        <v>2130</v>
      </c>
      <c r="H637" t="s">
        <v>1342</v>
      </c>
      <c r="I637" t="s">
        <v>1343</v>
      </c>
      <c r="J637" t="s">
        <v>297</v>
      </c>
      <c r="K637">
        <v>2104</v>
      </c>
      <c r="L637" t="s">
        <v>276</v>
      </c>
      <c r="M637" t="s">
        <v>631</v>
      </c>
      <c r="N637" t="s">
        <v>276</v>
      </c>
      <c r="P637" t="s">
        <v>260</v>
      </c>
      <c r="Q637" t="s">
        <v>260</v>
      </c>
      <c r="R637" t="s">
        <v>283</v>
      </c>
      <c r="S637" t="s">
        <v>21</v>
      </c>
      <c r="T637">
        <v>100</v>
      </c>
      <c r="W637" t="s">
        <v>262</v>
      </c>
      <c r="X637">
        <v>-37.008125999999997</v>
      </c>
      <c r="Y637">
        <v>174.87054000000001</v>
      </c>
      <c r="Z637">
        <v>580</v>
      </c>
      <c r="AA637" s="9">
        <v>42917</v>
      </c>
    </row>
    <row r="638" spans="1:28" x14ac:dyDescent="0.3">
      <c r="A638" t="s">
        <v>21</v>
      </c>
      <c r="B638" t="s">
        <v>2174</v>
      </c>
      <c r="C638" t="s">
        <v>270</v>
      </c>
      <c r="D638" t="s">
        <v>2175</v>
      </c>
      <c r="E638">
        <v>5141</v>
      </c>
      <c r="G638" t="s">
        <v>2176</v>
      </c>
      <c r="H638" t="s">
        <v>1342</v>
      </c>
      <c r="I638" t="s">
        <v>1343</v>
      </c>
      <c r="J638" t="s">
        <v>297</v>
      </c>
      <c r="K638">
        <v>5010</v>
      </c>
      <c r="L638" t="s">
        <v>276</v>
      </c>
      <c r="M638" t="s">
        <v>631</v>
      </c>
      <c r="N638" t="s">
        <v>276</v>
      </c>
      <c r="P638" t="s">
        <v>260</v>
      </c>
      <c r="Q638" t="s">
        <v>260</v>
      </c>
      <c r="R638" t="s">
        <v>283</v>
      </c>
      <c r="S638" t="s">
        <v>21</v>
      </c>
      <c r="T638">
        <v>100</v>
      </c>
      <c r="W638" t="s">
        <v>262</v>
      </c>
      <c r="X638">
        <v>-37.008125999999997</v>
      </c>
      <c r="Y638">
        <v>174.87054000000001</v>
      </c>
      <c r="Z638">
        <v>310</v>
      </c>
      <c r="AA638" s="9">
        <v>42917</v>
      </c>
    </row>
    <row r="639" spans="1:28" x14ac:dyDescent="0.3">
      <c r="A639" t="s">
        <v>21</v>
      </c>
      <c r="B639" t="s">
        <v>2177</v>
      </c>
      <c r="C639" t="s">
        <v>270</v>
      </c>
      <c r="D639" t="s">
        <v>2178</v>
      </c>
      <c r="E639">
        <v>5136</v>
      </c>
      <c r="G639" t="s">
        <v>2179</v>
      </c>
      <c r="H639" t="s">
        <v>1342</v>
      </c>
      <c r="I639" t="s">
        <v>1343</v>
      </c>
      <c r="J639" t="s">
        <v>297</v>
      </c>
      <c r="K639">
        <v>2104</v>
      </c>
      <c r="L639" t="s">
        <v>276</v>
      </c>
      <c r="M639" t="s">
        <v>631</v>
      </c>
      <c r="N639" t="s">
        <v>276</v>
      </c>
      <c r="P639" t="s">
        <v>260</v>
      </c>
      <c r="Q639" t="s">
        <v>260</v>
      </c>
      <c r="R639" t="s">
        <v>283</v>
      </c>
      <c r="S639" t="s">
        <v>21</v>
      </c>
      <c r="T639">
        <v>100</v>
      </c>
      <c r="W639" t="s">
        <v>262</v>
      </c>
      <c r="X639">
        <v>-37.008125999999997</v>
      </c>
      <c r="Y639">
        <v>174.87054000000001</v>
      </c>
      <c r="Z639">
        <v>729</v>
      </c>
      <c r="AA639" s="9">
        <v>42917</v>
      </c>
    </row>
    <row r="640" spans="1:28" x14ac:dyDescent="0.3">
      <c r="A640" t="s">
        <v>21</v>
      </c>
      <c r="B640" t="s">
        <v>2180</v>
      </c>
      <c r="C640" t="s">
        <v>299</v>
      </c>
      <c r="D640" t="s">
        <v>2181</v>
      </c>
      <c r="E640">
        <v>7045</v>
      </c>
      <c r="H640" t="s">
        <v>2182</v>
      </c>
      <c r="I640" t="s">
        <v>2183</v>
      </c>
      <c r="J640" t="s">
        <v>318</v>
      </c>
      <c r="K640">
        <v>4350</v>
      </c>
      <c r="M640" t="s">
        <v>2184</v>
      </c>
      <c r="N640" t="s">
        <v>259</v>
      </c>
      <c r="P640" t="s">
        <v>260</v>
      </c>
      <c r="Q640" t="s">
        <v>260</v>
      </c>
      <c r="R640" t="s">
        <v>283</v>
      </c>
      <c r="S640" t="s">
        <v>21</v>
      </c>
      <c r="T640">
        <v>100</v>
      </c>
      <c r="W640" t="s">
        <v>262</v>
      </c>
      <c r="Z640">
        <v>692</v>
      </c>
    </row>
    <row r="641" spans="1:28" x14ac:dyDescent="0.3">
      <c r="A641" t="s">
        <v>21</v>
      </c>
      <c r="B641" t="s">
        <v>2185</v>
      </c>
      <c r="C641" t="s">
        <v>299</v>
      </c>
      <c r="D641" t="s">
        <v>2186</v>
      </c>
      <c r="E641">
        <v>7050</v>
      </c>
      <c r="H641" t="s">
        <v>2187</v>
      </c>
      <c r="I641" t="s">
        <v>2188</v>
      </c>
      <c r="J641" t="s">
        <v>318</v>
      </c>
      <c r="K641">
        <v>4305</v>
      </c>
      <c r="L641" t="s">
        <v>259</v>
      </c>
      <c r="M641" t="s">
        <v>302</v>
      </c>
      <c r="N641" t="s">
        <v>259</v>
      </c>
      <c r="P641" t="s">
        <v>260</v>
      </c>
      <c r="Q641" t="s">
        <v>260</v>
      </c>
      <c r="R641" t="s">
        <v>283</v>
      </c>
      <c r="S641" t="s">
        <v>21</v>
      </c>
      <c r="T641">
        <v>100</v>
      </c>
      <c r="W641" t="s">
        <v>262</v>
      </c>
      <c r="AB641" s="9">
        <v>44012</v>
      </c>
    </row>
    <row r="642" spans="1:28" x14ac:dyDescent="0.3">
      <c r="A642" t="s">
        <v>21</v>
      </c>
      <c r="B642" t="s">
        <v>2189</v>
      </c>
      <c r="C642" t="s">
        <v>264</v>
      </c>
      <c r="D642" t="s">
        <v>2190</v>
      </c>
      <c r="E642">
        <v>53</v>
      </c>
      <c r="G642" t="s">
        <v>2191</v>
      </c>
      <c r="H642" t="s">
        <v>2192</v>
      </c>
      <c r="I642" t="s">
        <v>411</v>
      </c>
      <c r="J642" t="s">
        <v>366</v>
      </c>
      <c r="K642">
        <v>2113</v>
      </c>
      <c r="L642" t="s">
        <v>259</v>
      </c>
      <c r="M642" t="s">
        <v>312</v>
      </c>
      <c r="N642" t="s">
        <v>259</v>
      </c>
      <c r="P642" t="s">
        <v>260</v>
      </c>
      <c r="Q642" t="s">
        <v>260</v>
      </c>
      <c r="R642" t="s">
        <v>283</v>
      </c>
      <c r="S642" t="s">
        <v>21</v>
      </c>
      <c r="T642">
        <v>100</v>
      </c>
      <c r="W642" t="s">
        <v>262</v>
      </c>
      <c r="X642">
        <v>-33.795129000000003</v>
      </c>
      <c r="Y642">
        <v>151.14016799999999</v>
      </c>
      <c r="Z642">
        <v>310</v>
      </c>
      <c r="AB642" s="9">
        <v>44742</v>
      </c>
    </row>
    <row r="643" spans="1:28" x14ac:dyDescent="0.3">
      <c r="A643" t="s">
        <v>21</v>
      </c>
      <c r="B643" t="s">
        <v>2193</v>
      </c>
      <c r="C643" t="s">
        <v>528</v>
      </c>
      <c r="D643" t="s">
        <v>1643</v>
      </c>
      <c r="E643">
        <v>9193</v>
      </c>
      <c r="G643" t="s">
        <v>612</v>
      </c>
      <c r="M643" t="s">
        <v>267</v>
      </c>
      <c r="N643" t="s">
        <v>259</v>
      </c>
      <c r="P643" t="s">
        <v>260</v>
      </c>
      <c r="Q643" t="s">
        <v>260</v>
      </c>
      <c r="R643" t="s">
        <v>283</v>
      </c>
      <c r="S643" t="s">
        <v>21</v>
      </c>
      <c r="T643">
        <v>100</v>
      </c>
      <c r="W643" t="s">
        <v>262</v>
      </c>
      <c r="AB643" s="9">
        <v>45107</v>
      </c>
    </row>
    <row r="644" spans="1:28" x14ac:dyDescent="0.3">
      <c r="A644" t="s">
        <v>21</v>
      </c>
      <c r="B644" t="s">
        <v>2194</v>
      </c>
      <c r="C644" t="s">
        <v>528</v>
      </c>
      <c r="D644" t="s">
        <v>2195</v>
      </c>
      <c r="E644">
        <v>9194</v>
      </c>
      <c r="G644" t="s">
        <v>612</v>
      </c>
      <c r="M644" t="s">
        <v>312</v>
      </c>
      <c r="N644" t="s">
        <v>259</v>
      </c>
      <c r="P644" t="s">
        <v>260</v>
      </c>
      <c r="Q644" t="s">
        <v>260</v>
      </c>
      <c r="R644" t="s">
        <v>283</v>
      </c>
      <c r="S644" t="s">
        <v>21</v>
      </c>
      <c r="T644">
        <v>100</v>
      </c>
      <c r="W644" t="s">
        <v>262</v>
      </c>
    </row>
    <row r="645" spans="1:28" x14ac:dyDescent="0.3">
      <c r="A645" t="s">
        <v>21</v>
      </c>
      <c r="B645" t="s">
        <v>2196</v>
      </c>
      <c r="C645" t="s">
        <v>528</v>
      </c>
      <c r="D645" t="s">
        <v>2197</v>
      </c>
      <c r="E645">
        <v>9191</v>
      </c>
      <c r="G645" t="s">
        <v>612</v>
      </c>
      <c r="M645" t="s">
        <v>537</v>
      </c>
      <c r="N645" t="s">
        <v>259</v>
      </c>
      <c r="P645" t="s">
        <v>260</v>
      </c>
      <c r="Q645" t="s">
        <v>260</v>
      </c>
      <c r="R645" t="s">
        <v>283</v>
      </c>
      <c r="S645" t="s">
        <v>21</v>
      </c>
      <c r="T645">
        <v>100</v>
      </c>
      <c r="W645" t="s">
        <v>262</v>
      </c>
      <c r="AB645" s="9">
        <v>45107</v>
      </c>
    </row>
    <row r="646" spans="1:28" x14ac:dyDescent="0.3">
      <c r="A646" t="s">
        <v>21</v>
      </c>
      <c r="B646" t="s">
        <v>2198</v>
      </c>
      <c r="C646" t="s">
        <v>270</v>
      </c>
      <c r="D646" t="s">
        <v>2199</v>
      </c>
      <c r="E646">
        <v>9196</v>
      </c>
      <c r="G646" t="s">
        <v>612</v>
      </c>
      <c r="M646" t="s">
        <v>302</v>
      </c>
      <c r="N646" t="s">
        <v>259</v>
      </c>
      <c r="P646" t="s">
        <v>260</v>
      </c>
      <c r="Q646" t="s">
        <v>260</v>
      </c>
      <c r="R646" t="s">
        <v>283</v>
      </c>
      <c r="S646" t="s">
        <v>21</v>
      </c>
      <c r="T646">
        <v>100</v>
      </c>
      <c r="W646" t="s">
        <v>262</v>
      </c>
      <c r="AB646" s="9">
        <v>45107</v>
      </c>
    </row>
    <row r="647" spans="1:28" x14ac:dyDescent="0.3">
      <c r="A647" t="s">
        <v>21</v>
      </c>
      <c r="B647" t="s">
        <v>2200</v>
      </c>
      <c r="C647" t="s">
        <v>270</v>
      </c>
      <c r="D647" t="s">
        <v>2197</v>
      </c>
      <c r="E647">
        <v>9213</v>
      </c>
      <c r="F647">
        <v>9213</v>
      </c>
      <c r="G647" t="s">
        <v>612</v>
      </c>
      <c r="M647" t="s">
        <v>307</v>
      </c>
      <c r="N647" t="s">
        <v>259</v>
      </c>
      <c r="P647" t="s">
        <v>260</v>
      </c>
      <c r="Q647" t="s">
        <v>260</v>
      </c>
      <c r="R647" t="s">
        <v>283</v>
      </c>
      <c r="S647" t="s">
        <v>21</v>
      </c>
      <c r="T647">
        <v>100</v>
      </c>
      <c r="W647" t="s">
        <v>262</v>
      </c>
      <c r="AB647" s="9">
        <v>45107</v>
      </c>
    </row>
    <row r="648" spans="1:28" x14ac:dyDescent="0.3">
      <c r="A648" t="s">
        <v>21</v>
      </c>
      <c r="B648" t="s">
        <v>2201</v>
      </c>
      <c r="C648" t="s">
        <v>528</v>
      </c>
      <c r="D648" t="s">
        <v>2202</v>
      </c>
      <c r="E648">
        <v>9206</v>
      </c>
      <c r="G648" t="s">
        <v>612</v>
      </c>
      <c r="M648" t="s">
        <v>257</v>
      </c>
      <c r="N648" t="s">
        <v>259</v>
      </c>
      <c r="P648" t="s">
        <v>260</v>
      </c>
      <c r="Q648" t="s">
        <v>260</v>
      </c>
      <c r="R648" t="s">
        <v>283</v>
      </c>
      <c r="S648" t="s">
        <v>21</v>
      </c>
      <c r="T648">
        <v>100</v>
      </c>
      <c r="W648" t="s">
        <v>262</v>
      </c>
      <c r="AB648" s="9">
        <v>45107</v>
      </c>
    </row>
    <row r="649" spans="1:28" x14ac:dyDescent="0.3">
      <c r="A649" t="s">
        <v>21</v>
      </c>
      <c r="B649" t="s">
        <v>2203</v>
      </c>
      <c r="C649" t="s">
        <v>528</v>
      </c>
      <c r="D649" t="s">
        <v>2204</v>
      </c>
      <c r="E649">
        <v>9195</v>
      </c>
      <c r="G649" t="s">
        <v>612</v>
      </c>
      <c r="M649" t="s">
        <v>282</v>
      </c>
      <c r="N649" t="s">
        <v>259</v>
      </c>
      <c r="P649" t="s">
        <v>260</v>
      </c>
      <c r="Q649" t="s">
        <v>260</v>
      </c>
      <c r="R649" t="s">
        <v>283</v>
      </c>
      <c r="S649" t="s">
        <v>21</v>
      </c>
      <c r="T649">
        <v>100</v>
      </c>
      <c r="W649" t="s">
        <v>262</v>
      </c>
      <c r="AB649" s="9">
        <v>45107</v>
      </c>
    </row>
    <row r="650" spans="1:28" x14ac:dyDescent="0.3">
      <c r="A650" t="s">
        <v>21</v>
      </c>
      <c r="B650" t="s">
        <v>2205</v>
      </c>
      <c r="C650" t="s">
        <v>528</v>
      </c>
      <c r="D650" t="s">
        <v>2206</v>
      </c>
      <c r="E650">
        <v>9192</v>
      </c>
      <c r="M650" t="s">
        <v>503</v>
      </c>
      <c r="N650" t="s">
        <v>259</v>
      </c>
      <c r="P650" t="s">
        <v>260</v>
      </c>
      <c r="Q650" t="s">
        <v>260</v>
      </c>
      <c r="R650" t="s">
        <v>283</v>
      </c>
      <c r="S650" t="s">
        <v>21</v>
      </c>
      <c r="T650">
        <v>100</v>
      </c>
      <c r="W650" t="s">
        <v>262</v>
      </c>
      <c r="AB650" s="9">
        <v>45107</v>
      </c>
    </row>
    <row r="651" spans="1:28" x14ac:dyDescent="0.3">
      <c r="A651" t="s">
        <v>21</v>
      </c>
      <c r="B651" t="s">
        <v>2207</v>
      </c>
      <c r="C651" t="s">
        <v>270</v>
      </c>
      <c r="D651" t="s">
        <v>911</v>
      </c>
      <c r="E651" t="s">
        <v>911</v>
      </c>
      <c r="G651" t="s">
        <v>2208</v>
      </c>
      <c r="H651" t="s">
        <v>364</v>
      </c>
      <c r="I651" t="s">
        <v>365</v>
      </c>
      <c r="J651" t="s">
        <v>366</v>
      </c>
      <c r="K651">
        <v>2142</v>
      </c>
      <c r="L651" t="s">
        <v>259</v>
      </c>
      <c r="M651" t="s">
        <v>312</v>
      </c>
      <c r="N651" t="s">
        <v>259</v>
      </c>
      <c r="P651" t="s">
        <v>260</v>
      </c>
      <c r="Q651" t="s">
        <v>260</v>
      </c>
      <c r="R651" t="s">
        <v>308</v>
      </c>
      <c r="S651" t="s">
        <v>21</v>
      </c>
      <c r="T651">
        <v>100</v>
      </c>
      <c r="V651" s="9">
        <v>45199</v>
      </c>
      <c r="W651" t="s">
        <v>262</v>
      </c>
      <c r="X651">
        <v>-33.828000000000003</v>
      </c>
      <c r="Y651">
        <v>151.023</v>
      </c>
      <c r="Z651">
        <v>310</v>
      </c>
      <c r="AB651" s="9">
        <v>44377</v>
      </c>
    </row>
    <row r="652" spans="1:28" x14ac:dyDescent="0.3">
      <c r="A652" t="s">
        <v>21</v>
      </c>
      <c r="B652" t="s">
        <v>2209</v>
      </c>
      <c r="C652" t="s">
        <v>299</v>
      </c>
      <c r="D652" t="s">
        <v>911</v>
      </c>
      <c r="E652" t="s">
        <v>911</v>
      </c>
      <c r="G652" t="s">
        <v>2208</v>
      </c>
      <c r="H652" t="s">
        <v>541</v>
      </c>
      <c r="I652" t="s">
        <v>542</v>
      </c>
      <c r="J652" t="s">
        <v>318</v>
      </c>
      <c r="K652">
        <v>4102</v>
      </c>
      <c r="L652" t="s">
        <v>259</v>
      </c>
      <c r="M652" t="s">
        <v>302</v>
      </c>
      <c r="N652" t="s">
        <v>259</v>
      </c>
      <c r="P652" t="s">
        <v>260</v>
      </c>
      <c r="Q652" t="s">
        <v>260</v>
      </c>
      <c r="R652" t="s">
        <v>308</v>
      </c>
      <c r="S652" t="s">
        <v>21</v>
      </c>
      <c r="T652">
        <v>100</v>
      </c>
      <c r="V652" s="9">
        <v>45199</v>
      </c>
      <c r="W652" t="s">
        <v>262</v>
      </c>
      <c r="X652">
        <v>-27.495000000000001</v>
      </c>
      <c r="Y652">
        <v>153.03299999999999</v>
      </c>
      <c r="Z652">
        <v>310</v>
      </c>
    </row>
    <row r="653" spans="1:28" x14ac:dyDescent="0.3">
      <c r="A653" t="s">
        <v>21</v>
      </c>
      <c r="B653" t="s">
        <v>2210</v>
      </c>
      <c r="C653" t="s">
        <v>270</v>
      </c>
      <c r="D653" t="s">
        <v>911</v>
      </c>
      <c r="E653" t="s">
        <v>911</v>
      </c>
      <c r="G653" t="s">
        <v>2208</v>
      </c>
      <c r="H653" t="s">
        <v>2211</v>
      </c>
      <c r="I653" t="s">
        <v>1410</v>
      </c>
      <c r="J653" t="s">
        <v>335</v>
      </c>
      <c r="K653">
        <v>3207</v>
      </c>
      <c r="L653" t="s">
        <v>259</v>
      </c>
      <c r="M653" t="s">
        <v>282</v>
      </c>
      <c r="N653" t="s">
        <v>259</v>
      </c>
      <c r="P653" t="s">
        <v>260</v>
      </c>
      <c r="Q653" t="s">
        <v>260</v>
      </c>
      <c r="R653" t="s">
        <v>308</v>
      </c>
      <c r="S653" t="s">
        <v>21</v>
      </c>
      <c r="T653">
        <v>100</v>
      </c>
      <c r="V653" s="9">
        <v>45199</v>
      </c>
      <c r="W653" t="s">
        <v>262</v>
      </c>
      <c r="X653">
        <v>-37.820999999999998</v>
      </c>
      <c r="Y653">
        <v>144.91999999999999</v>
      </c>
      <c r="Z653">
        <v>310</v>
      </c>
    </row>
    <row r="654" spans="1:28" x14ac:dyDescent="0.3">
      <c r="A654" t="s">
        <v>21</v>
      </c>
      <c r="B654" t="s">
        <v>2212</v>
      </c>
      <c r="C654" t="s">
        <v>299</v>
      </c>
      <c r="D654" t="s">
        <v>2213</v>
      </c>
      <c r="E654">
        <v>525</v>
      </c>
      <c r="G654" t="s">
        <v>2214</v>
      </c>
      <c r="H654" t="s">
        <v>2215</v>
      </c>
      <c r="I654" t="s">
        <v>2216</v>
      </c>
      <c r="J654" t="s">
        <v>555</v>
      </c>
      <c r="K654">
        <v>6100</v>
      </c>
      <c r="L654" t="s">
        <v>259</v>
      </c>
      <c r="M654" t="s">
        <v>503</v>
      </c>
      <c r="N654" t="s">
        <v>259</v>
      </c>
      <c r="P654" t="s">
        <v>260</v>
      </c>
      <c r="Q654" t="s">
        <v>260</v>
      </c>
      <c r="R654" t="s">
        <v>261</v>
      </c>
      <c r="S654" t="s">
        <v>21</v>
      </c>
      <c r="T654">
        <v>100</v>
      </c>
      <c r="W654" t="s">
        <v>262</v>
      </c>
      <c r="X654">
        <v>-31.969000000000001</v>
      </c>
      <c r="Y654">
        <v>115.89</v>
      </c>
      <c r="Z654">
        <v>310</v>
      </c>
      <c r="AB654" s="9">
        <v>44377</v>
      </c>
    </row>
    <row r="655" spans="1:28" x14ac:dyDescent="0.3">
      <c r="A655" t="s">
        <v>21</v>
      </c>
      <c r="B655" t="s">
        <v>2217</v>
      </c>
      <c r="C655" t="s">
        <v>278</v>
      </c>
      <c r="D655" t="s">
        <v>2218</v>
      </c>
      <c r="E655" t="s">
        <v>2219</v>
      </c>
      <c r="G655" t="s">
        <v>2220</v>
      </c>
      <c r="M655" t="s">
        <v>282</v>
      </c>
      <c r="N655" t="s">
        <v>259</v>
      </c>
      <c r="P655" t="s">
        <v>260</v>
      </c>
      <c r="Q655" t="s">
        <v>260</v>
      </c>
      <c r="R655" t="s">
        <v>283</v>
      </c>
      <c r="S655" t="s">
        <v>21</v>
      </c>
      <c r="T655">
        <v>100</v>
      </c>
      <c r="W655" t="s">
        <v>262</v>
      </c>
      <c r="AB655" s="9">
        <v>44835</v>
      </c>
    </row>
    <row r="656" spans="1:28" x14ac:dyDescent="0.3">
      <c r="A656" t="s">
        <v>21</v>
      </c>
      <c r="B656" t="s">
        <v>2221</v>
      </c>
      <c r="C656" t="s">
        <v>289</v>
      </c>
      <c r="D656" t="s">
        <v>2222</v>
      </c>
      <c r="E656">
        <v>2222</v>
      </c>
      <c r="G656" t="s">
        <v>2223</v>
      </c>
      <c r="H656" t="s">
        <v>2224</v>
      </c>
      <c r="I656" t="s">
        <v>2225</v>
      </c>
      <c r="J656" t="s">
        <v>555</v>
      </c>
      <c r="K656">
        <v>6104</v>
      </c>
      <c r="M656" t="s">
        <v>503</v>
      </c>
      <c r="N656" t="s">
        <v>259</v>
      </c>
      <c r="P656" t="s">
        <v>260</v>
      </c>
      <c r="Q656" t="s">
        <v>260</v>
      </c>
      <c r="R656" t="s">
        <v>268</v>
      </c>
      <c r="S656" t="s">
        <v>21</v>
      </c>
      <c r="T656">
        <v>100</v>
      </c>
      <c r="W656" t="s">
        <v>262</v>
      </c>
      <c r="X656">
        <v>-31.947589000000001</v>
      </c>
      <c r="Y656">
        <v>115.919532</v>
      </c>
      <c r="Z656">
        <v>729</v>
      </c>
      <c r="AB656" s="9">
        <v>45005</v>
      </c>
    </row>
    <row r="657" spans="1:28" x14ac:dyDescent="0.3">
      <c r="A657" t="s">
        <v>21</v>
      </c>
      <c r="B657" t="s">
        <v>2226</v>
      </c>
      <c r="C657" t="s">
        <v>299</v>
      </c>
      <c r="D657" t="s">
        <v>2227</v>
      </c>
      <c r="E657" t="s">
        <v>2227</v>
      </c>
      <c r="M657" t="s">
        <v>503</v>
      </c>
      <c r="N657" t="s">
        <v>259</v>
      </c>
      <c r="P657" t="s">
        <v>260</v>
      </c>
      <c r="Q657" t="s">
        <v>260</v>
      </c>
      <c r="R657" t="s">
        <v>261</v>
      </c>
      <c r="S657" t="s">
        <v>21</v>
      </c>
      <c r="T657">
        <v>100</v>
      </c>
      <c r="W657" t="s">
        <v>262</v>
      </c>
      <c r="AB657" s="9">
        <v>44012</v>
      </c>
    </row>
    <row r="658" spans="1:28" x14ac:dyDescent="0.3">
      <c r="A658" t="s">
        <v>21</v>
      </c>
      <c r="B658" t="s">
        <v>2228</v>
      </c>
      <c r="C658" t="s">
        <v>278</v>
      </c>
      <c r="D658" t="s">
        <v>2229</v>
      </c>
      <c r="E658" t="s">
        <v>2229</v>
      </c>
      <c r="M658" t="s">
        <v>302</v>
      </c>
      <c r="N658" t="s">
        <v>259</v>
      </c>
      <c r="P658" t="s">
        <v>260</v>
      </c>
      <c r="Q658" t="s">
        <v>260</v>
      </c>
      <c r="R658" t="s">
        <v>283</v>
      </c>
      <c r="S658" t="s">
        <v>21</v>
      </c>
      <c r="T658">
        <v>100</v>
      </c>
      <c r="W658" t="s">
        <v>262</v>
      </c>
      <c r="AB658" s="9">
        <v>45657</v>
      </c>
    </row>
    <row r="659" spans="1:28" x14ac:dyDescent="0.3">
      <c r="A659" t="s">
        <v>21</v>
      </c>
      <c r="B659" t="s">
        <v>2230</v>
      </c>
      <c r="C659" t="s">
        <v>439</v>
      </c>
      <c r="D659" t="s">
        <v>2231</v>
      </c>
      <c r="E659">
        <v>6016</v>
      </c>
      <c r="F659">
        <v>6016</v>
      </c>
      <c r="G659" t="s">
        <v>2232</v>
      </c>
      <c r="M659" t="s">
        <v>282</v>
      </c>
      <c r="N659" t="s">
        <v>259</v>
      </c>
      <c r="P659" t="s">
        <v>260</v>
      </c>
      <c r="Q659" t="s">
        <v>260</v>
      </c>
      <c r="R659" t="s">
        <v>308</v>
      </c>
      <c r="S659" t="s">
        <v>21</v>
      </c>
      <c r="T659">
        <v>100</v>
      </c>
      <c r="V659" s="9">
        <v>45199</v>
      </c>
      <c r="W659" t="s">
        <v>262</v>
      </c>
      <c r="Z659">
        <v>310</v>
      </c>
      <c r="AB659" s="9">
        <v>45097</v>
      </c>
    </row>
    <row r="660" spans="1:28" x14ac:dyDescent="0.3">
      <c r="A660" t="s">
        <v>21</v>
      </c>
      <c r="B660" t="s">
        <v>2233</v>
      </c>
      <c r="C660" t="s">
        <v>299</v>
      </c>
      <c r="D660" t="s">
        <v>2234</v>
      </c>
      <c r="E660">
        <v>7006</v>
      </c>
      <c r="G660" t="s">
        <v>1001</v>
      </c>
      <c r="H660" t="s">
        <v>2235</v>
      </c>
      <c r="I660" t="s">
        <v>2236</v>
      </c>
      <c r="J660" t="s">
        <v>366</v>
      </c>
      <c r="K660">
        <v>2147</v>
      </c>
      <c r="L660" t="s">
        <v>259</v>
      </c>
      <c r="M660" t="s">
        <v>312</v>
      </c>
      <c r="N660" t="s">
        <v>259</v>
      </c>
      <c r="P660" t="s">
        <v>260</v>
      </c>
      <c r="Q660" t="s">
        <v>260</v>
      </c>
      <c r="R660" t="s">
        <v>283</v>
      </c>
      <c r="S660" t="s">
        <v>21</v>
      </c>
      <c r="T660">
        <v>100</v>
      </c>
      <c r="W660" t="s">
        <v>262</v>
      </c>
      <c r="X660">
        <v>-33.770977999999999</v>
      </c>
      <c r="Y660">
        <v>150.950739</v>
      </c>
      <c r="Z660">
        <v>310</v>
      </c>
      <c r="AB660" s="9">
        <v>45046</v>
      </c>
    </row>
    <row r="661" spans="1:28" x14ac:dyDescent="0.3">
      <c r="A661" t="s">
        <v>21</v>
      </c>
      <c r="B661" t="s">
        <v>2237</v>
      </c>
      <c r="C661" t="s">
        <v>299</v>
      </c>
      <c r="D661" t="s">
        <v>2238</v>
      </c>
      <c r="E661">
        <v>7027</v>
      </c>
      <c r="G661" t="s">
        <v>2239</v>
      </c>
      <c r="H661" t="s">
        <v>318</v>
      </c>
      <c r="I661" t="s">
        <v>318</v>
      </c>
      <c r="J661" t="s">
        <v>318</v>
      </c>
      <c r="M661" t="s">
        <v>302</v>
      </c>
      <c r="N661" t="s">
        <v>259</v>
      </c>
      <c r="P661" t="s">
        <v>260</v>
      </c>
      <c r="Q661" t="s">
        <v>260</v>
      </c>
      <c r="R661" t="s">
        <v>283</v>
      </c>
      <c r="S661" t="s">
        <v>21</v>
      </c>
      <c r="T661">
        <v>100</v>
      </c>
      <c r="W661" t="s">
        <v>262</v>
      </c>
      <c r="X661">
        <v>-27.434004000000002</v>
      </c>
      <c r="Y661">
        <v>153.086039</v>
      </c>
      <c r="Z661">
        <v>281</v>
      </c>
    </row>
    <row r="662" spans="1:28" x14ac:dyDescent="0.3">
      <c r="A662" t="s">
        <v>21</v>
      </c>
      <c r="B662" t="s">
        <v>2240</v>
      </c>
      <c r="C662" t="s">
        <v>439</v>
      </c>
      <c r="D662" t="s">
        <v>2241</v>
      </c>
      <c r="E662">
        <v>6019</v>
      </c>
      <c r="H662" t="s">
        <v>2242</v>
      </c>
      <c r="I662" t="s">
        <v>2243</v>
      </c>
      <c r="J662" t="s">
        <v>335</v>
      </c>
      <c r="L662" t="s">
        <v>259</v>
      </c>
      <c r="M662" t="s">
        <v>282</v>
      </c>
      <c r="N662" t="s">
        <v>259</v>
      </c>
      <c r="P662" t="s">
        <v>260</v>
      </c>
      <c r="Q662" t="s">
        <v>260</v>
      </c>
      <c r="R662" t="s">
        <v>308</v>
      </c>
      <c r="S662" t="s">
        <v>21</v>
      </c>
      <c r="T662">
        <v>100</v>
      </c>
      <c r="V662" s="9">
        <v>45199</v>
      </c>
      <c r="W662" t="s">
        <v>262</v>
      </c>
      <c r="AB662" s="9">
        <v>45108</v>
      </c>
    </row>
    <row r="663" spans="1:28" x14ac:dyDescent="0.3">
      <c r="A663" t="s">
        <v>21</v>
      </c>
      <c r="B663" t="s">
        <v>2244</v>
      </c>
      <c r="C663" t="s">
        <v>439</v>
      </c>
      <c r="D663" t="s">
        <v>2245</v>
      </c>
      <c r="E663">
        <v>70</v>
      </c>
      <c r="F663">
        <v>70</v>
      </c>
      <c r="G663" t="s">
        <v>2246</v>
      </c>
      <c r="H663" t="s">
        <v>2247</v>
      </c>
      <c r="I663" t="s">
        <v>2248</v>
      </c>
      <c r="J663" t="s">
        <v>366</v>
      </c>
      <c r="K663">
        <v>2630</v>
      </c>
      <c r="L663" t="s">
        <v>259</v>
      </c>
      <c r="M663" t="s">
        <v>312</v>
      </c>
      <c r="N663" t="s">
        <v>259</v>
      </c>
      <c r="P663" t="s">
        <v>260</v>
      </c>
      <c r="Q663" t="s">
        <v>260</v>
      </c>
      <c r="R663" t="s">
        <v>283</v>
      </c>
      <c r="S663" t="s">
        <v>21</v>
      </c>
      <c r="T663">
        <v>100</v>
      </c>
      <c r="W663" t="s">
        <v>262</v>
      </c>
      <c r="X663">
        <v>-36.576408999999998</v>
      </c>
      <c r="Y663">
        <v>149.12674200000001</v>
      </c>
      <c r="Z663">
        <v>310</v>
      </c>
    </row>
    <row r="664" spans="1:28" x14ac:dyDescent="0.3">
      <c r="A664" t="s">
        <v>21</v>
      </c>
      <c r="B664" t="s">
        <v>2249</v>
      </c>
      <c r="C664" t="s">
        <v>439</v>
      </c>
      <c r="D664" t="s">
        <v>2250</v>
      </c>
      <c r="E664" t="s">
        <v>2251</v>
      </c>
      <c r="G664" t="s">
        <v>2252</v>
      </c>
      <c r="H664" t="s">
        <v>551</v>
      </c>
      <c r="I664" t="s">
        <v>526</v>
      </c>
      <c r="J664" t="s">
        <v>335</v>
      </c>
      <c r="K664">
        <v>3000</v>
      </c>
      <c r="L664" t="s">
        <v>259</v>
      </c>
      <c r="M664" t="s">
        <v>282</v>
      </c>
      <c r="N664" t="s">
        <v>259</v>
      </c>
      <c r="P664" t="s">
        <v>260</v>
      </c>
      <c r="Q664" t="s">
        <v>260</v>
      </c>
      <c r="R664" t="s">
        <v>283</v>
      </c>
      <c r="S664" t="s">
        <v>21</v>
      </c>
      <c r="T664">
        <v>100</v>
      </c>
      <c r="W664" t="s">
        <v>262</v>
      </c>
      <c r="X664">
        <v>-37.819015</v>
      </c>
      <c r="Y664">
        <v>144.95576199999999</v>
      </c>
      <c r="Z664">
        <v>310</v>
      </c>
    </row>
    <row r="665" spans="1:28" x14ac:dyDescent="0.3">
      <c r="A665" t="s">
        <v>21</v>
      </c>
      <c r="B665" t="s">
        <v>2253</v>
      </c>
      <c r="C665" t="s">
        <v>289</v>
      </c>
      <c r="D665" t="s">
        <v>1574</v>
      </c>
      <c r="E665">
        <v>9047</v>
      </c>
      <c r="H665" t="s">
        <v>2254</v>
      </c>
      <c r="I665" t="s">
        <v>2255</v>
      </c>
      <c r="J665" t="s">
        <v>366</v>
      </c>
      <c r="K665">
        <v>2500</v>
      </c>
      <c r="M665" t="s">
        <v>312</v>
      </c>
      <c r="N665" t="s">
        <v>259</v>
      </c>
      <c r="P665" t="s">
        <v>260</v>
      </c>
      <c r="Q665" t="s">
        <v>260</v>
      </c>
      <c r="R665" t="s">
        <v>268</v>
      </c>
      <c r="S665" t="s">
        <v>21</v>
      </c>
      <c r="T665">
        <v>100</v>
      </c>
      <c r="W665" t="s">
        <v>262</v>
      </c>
      <c r="X665">
        <v>-34.423527999999997</v>
      </c>
      <c r="Y665">
        <v>150.89066800000001</v>
      </c>
      <c r="Z665">
        <v>729</v>
      </c>
      <c r="AB665" s="9">
        <v>43281</v>
      </c>
    </row>
    <row r="666" spans="1:28" x14ac:dyDescent="0.3">
      <c r="A666" t="s">
        <v>21</v>
      </c>
      <c r="B666" t="s">
        <v>2256</v>
      </c>
      <c r="C666" t="s">
        <v>2257</v>
      </c>
      <c r="D666" t="s">
        <v>2258</v>
      </c>
      <c r="E666">
        <v>7005</v>
      </c>
      <c r="G666" t="s">
        <v>2259</v>
      </c>
      <c r="H666" t="s">
        <v>2260</v>
      </c>
      <c r="I666" t="s">
        <v>2261</v>
      </c>
      <c r="J666" t="s">
        <v>366</v>
      </c>
      <c r="K666">
        <v>2333</v>
      </c>
      <c r="L666" t="s">
        <v>259</v>
      </c>
      <c r="M666" t="s">
        <v>312</v>
      </c>
      <c r="N666" t="s">
        <v>259</v>
      </c>
      <c r="P666" t="s">
        <v>260</v>
      </c>
      <c r="Q666" t="s">
        <v>260</v>
      </c>
      <c r="R666" t="s">
        <v>283</v>
      </c>
      <c r="S666" t="s">
        <v>21</v>
      </c>
      <c r="T666">
        <v>100</v>
      </c>
      <c r="W666" t="s">
        <v>262</v>
      </c>
      <c r="X666">
        <v>-32.278720999999997</v>
      </c>
      <c r="Y666">
        <v>150.874447</v>
      </c>
      <c r="Z666">
        <v>281</v>
      </c>
      <c r="AB666" s="9">
        <v>44197</v>
      </c>
    </row>
    <row r="667" spans="1:28" x14ac:dyDescent="0.3">
      <c r="A667" t="s">
        <v>21</v>
      </c>
      <c r="B667" t="s">
        <v>2262</v>
      </c>
      <c r="C667" t="s">
        <v>270</v>
      </c>
      <c r="D667" t="s">
        <v>2263</v>
      </c>
      <c r="E667">
        <v>7004</v>
      </c>
      <c r="F667">
        <v>7004</v>
      </c>
      <c r="G667" t="s">
        <v>2264</v>
      </c>
      <c r="H667" t="s">
        <v>2265</v>
      </c>
      <c r="I667" t="s">
        <v>2266</v>
      </c>
      <c r="J667" t="s">
        <v>318</v>
      </c>
      <c r="K667">
        <v>4670</v>
      </c>
      <c r="L667" t="s">
        <v>259</v>
      </c>
      <c r="M667" t="s">
        <v>302</v>
      </c>
      <c r="N667" t="s">
        <v>259</v>
      </c>
      <c r="P667" t="s">
        <v>260</v>
      </c>
      <c r="Q667" t="s">
        <v>260</v>
      </c>
      <c r="R667" t="s">
        <v>283</v>
      </c>
      <c r="S667" t="s">
        <v>21</v>
      </c>
      <c r="T667">
        <v>100</v>
      </c>
      <c r="W667" t="s">
        <v>262</v>
      </c>
      <c r="X667">
        <v>-24.816165000000002</v>
      </c>
      <c r="Y667">
        <v>152.391606</v>
      </c>
      <c r="Z667">
        <v>281</v>
      </c>
    </row>
    <row r="668" spans="1:28" x14ac:dyDescent="0.3">
      <c r="A668" t="s">
        <v>21</v>
      </c>
      <c r="B668" t="s">
        <v>2267</v>
      </c>
      <c r="C668" t="s">
        <v>439</v>
      </c>
      <c r="D668" t="s">
        <v>2268</v>
      </c>
      <c r="E668">
        <v>7033</v>
      </c>
      <c r="H668" t="s">
        <v>2269</v>
      </c>
      <c r="I668" t="s">
        <v>2270</v>
      </c>
      <c r="J668" t="s">
        <v>318</v>
      </c>
      <c r="K668">
        <v>4703</v>
      </c>
      <c r="L668" t="s">
        <v>259</v>
      </c>
      <c r="M668" t="s">
        <v>2270</v>
      </c>
      <c r="N668" t="s">
        <v>259</v>
      </c>
      <c r="P668" t="s">
        <v>260</v>
      </c>
      <c r="Q668" t="s">
        <v>260</v>
      </c>
      <c r="R668" t="s">
        <v>283</v>
      </c>
      <c r="S668" t="s">
        <v>21</v>
      </c>
      <c r="T668">
        <v>100</v>
      </c>
      <c r="W668" t="s">
        <v>262</v>
      </c>
      <c r="X668">
        <v>-23.155601999999998</v>
      </c>
      <c r="Y668">
        <v>150.706467</v>
      </c>
      <c r="Z668">
        <v>281</v>
      </c>
    </row>
    <row r="669" spans="1:28" x14ac:dyDescent="0.3">
      <c r="A669" t="s">
        <v>21</v>
      </c>
      <c r="B669" t="s">
        <v>2271</v>
      </c>
      <c r="C669" t="s">
        <v>278</v>
      </c>
      <c r="D669" t="s">
        <v>2272</v>
      </c>
      <c r="E669" t="s">
        <v>2272</v>
      </c>
      <c r="M669" t="s">
        <v>282</v>
      </c>
      <c r="N669" t="s">
        <v>259</v>
      </c>
      <c r="P669" t="s">
        <v>260</v>
      </c>
      <c r="Q669" t="s">
        <v>260</v>
      </c>
      <c r="R669" t="s">
        <v>283</v>
      </c>
      <c r="S669" t="s">
        <v>21</v>
      </c>
      <c r="T669">
        <v>100</v>
      </c>
      <c r="W669" t="s">
        <v>262</v>
      </c>
      <c r="AB669" s="9">
        <v>45657</v>
      </c>
    </row>
    <row r="670" spans="1:28" x14ac:dyDescent="0.3">
      <c r="A670" t="s">
        <v>21</v>
      </c>
      <c r="B670" t="s">
        <v>2273</v>
      </c>
      <c r="C670" t="s">
        <v>278</v>
      </c>
      <c r="D670" t="s">
        <v>2274</v>
      </c>
      <c r="E670" t="s">
        <v>2275</v>
      </c>
      <c r="G670" t="s">
        <v>2276</v>
      </c>
      <c r="M670" t="s">
        <v>282</v>
      </c>
      <c r="N670" t="s">
        <v>259</v>
      </c>
      <c r="P670" t="s">
        <v>260</v>
      </c>
      <c r="Q670" t="s">
        <v>260</v>
      </c>
      <c r="R670" t="s">
        <v>283</v>
      </c>
      <c r="S670" t="s">
        <v>21</v>
      </c>
      <c r="T670">
        <v>100</v>
      </c>
      <c r="W670" t="s">
        <v>262</v>
      </c>
      <c r="AB670" s="9">
        <v>44926</v>
      </c>
    </row>
    <row r="671" spans="1:28" x14ac:dyDescent="0.3">
      <c r="A671" t="s">
        <v>21</v>
      </c>
      <c r="B671" t="s">
        <v>2277</v>
      </c>
      <c r="C671" t="s">
        <v>278</v>
      </c>
      <c r="D671" t="s">
        <v>2278</v>
      </c>
      <c r="E671" t="s">
        <v>2279</v>
      </c>
      <c r="G671" t="s">
        <v>2280</v>
      </c>
      <c r="M671" t="s">
        <v>282</v>
      </c>
      <c r="N671" t="s">
        <v>259</v>
      </c>
      <c r="P671" t="s">
        <v>260</v>
      </c>
      <c r="Q671" t="s">
        <v>260</v>
      </c>
      <c r="R671" t="s">
        <v>283</v>
      </c>
      <c r="S671" t="s">
        <v>21</v>
      </c>
      <c r="T671">
        <v>100</v>
      </c>
      <c r="W671" t="s">
        <v>262</v>
      </c>
      <c r="AB671" s="9">
        <v>45657</v>
      </c>
    </row>
    <row r="672" spans="1:28" x14ac:dyDescent="0.3">
      <c r="A672" t="s">
        <v>21</v>
      </c>
      <c r="B672" t="s">
        <v>2281</v>
      </c>
      <c r="C672" t="s">
        <v>278</v>
      </c>
      <c r="D672" t="s">
        <v>2282</v>
      </c>
      <c r="E672" t="s">
        <v>2282</v>
      </c>
      <c r="M672" t="s">
        <v>282</v>
      </c>
      <c r="N672" t="s">
        <v>259</v>
      </c>
      <c r="P672" t="s">
        <v>260</v>
      </c>
      <c r="Q672" t="s">
        <v>260</v>
      </c>
      <c r="R672" t="s">
        <v>283</v>
      </c>
      <c r="S672" t="s">
        <v>21</v>
      </c>
      <c r="T672">
        <v>100</v>
      </c>
      <c r="W672" t="s">
        <v>262</v>
      </c>
      <c r="AB672" s="9">
        <v>45639</v>
      </c>
    </row>
    <row r="673" spans="1:28" x14ac:dyDescent="0.3">
      <c r="A673" t="s">
        <v>21</v>
      </c>
      <c r="B673" t="s">
        <v>2283</v>
      </c>
      <c r="C673" t="s">
        <v>439</v>
      </c>
      <c r="D673" t="s">
        <v>876</v>
      </c>
      <c r="E673" t="s">
        <v>876</v>
      </c>
      <c r="M673" t="s">
        <v>282</v>
      </c>
      <c r="N673" t="s">
        <v>259</v>
      </c>
      <c r="P673" t="s">
        <v>260</v>
      </c>
      <c r="Q673" t="s">
        <v>260</v>
      </c>
      <c r="R673" t="s">
        <v>283</v>
      </c>
      <c r="S673" t="s">
        <v>21</v>
      </c>
      <c r="T673">
        <v>100</v>
      </c>
      <c r="W673" t="s">
        <v>262</v>
      </c>
      <c r="AB673" s="9">
        <v>45891</v>
      </c>
    </row>
    <row r="674" spans="1:28" x14ac:dyDescent="0.3">
      <c r="A674" t="s">
        <v>21</v>
      </c>
      <c r="B674" t="s">
        <v>2284</v>
      </c>
      <c r="C674" t="s">
        <v>270</v>
      </c>
      <c r="D674" t="s">
        <v>2285</v>
      </c>
      <c r="E674">
        <v>324</v>
      </c>
      <c r="H674" t="s">
        <v>2286</v>
      </c>
      <c r="I674" t="s">
        <v>2287</v>
      </c>
      <c r="J674" t="s">
        <v>312</v>
      </c>
      <c r="K674">
        <v>2594</v>
      </c>
      <c r="L674" t="s">
        <v>259</v>
      </c>
      <c r="M674" t="s">
        <v>312</v>
      </c>
      <c r="N674" t="s">
        <v>259</v>
      </c>
      <c r="P674" t="s">
        <v>260</v>
      </c>
      <c r="Q674" t="s">
        <v>260</v>
      </c>
      <c r="R674" t="s">
        <v>261</v>
      </c>
      <c r="S674" t="s">
        <v>21</v>
      </c>
      <c r="T674">
        <v>100</v>
      </c>
      <c r="W674" t="s">
        <v>262</v>
      </c>
      <c r="X674">
        <v>-34.286999999999999</v>
      </c>
      <c r="Y674">
        <v>148.374</v>
      </c>
      <c r="Z674">
        <v>310</v>
      </c>
    </row>
    <row r="675" spans="1:28" x14ac:dyDescent="0.3">
      <c r="A675" t="s">
        <v>21</v>
      </c>
      <c r="B675" t="s">
        <v>2288</v>
      </c>
      <c r="C675" t="s">
        <v>2289</v>
      </c>
      <c r="D675" t="s">
        <v>1202</v>
      </c>
      <c r="E675" t="s">
        <v>1202</v>
      </c>
      <c r="M675" t="s">
        <v>394</v>
      </c>
      <c r="N675" t="s">
        <v>276</v>
      </c>
      <c r="P675" t="s">
        <v>260</v>
      </c>
      <c r="Q675" t="s">
        <v>260</v>
      </c>
      <c r="R675" t="s">
        <v>261</v>
      </c>
      <c r="S675" t="s">
        <v>21</v>
      </c>
      <c r="T675">
        <v>100</v>
      </c>
      <c r="W675" t="s">
        <v>262</v>
      </c>
    </row>
    <row r="676" spans="1:28" x14ac:dyDescent="0.3">
      <c r="A676" t="s">
        <v>21</v>
      </c>
      <c r="B676" t="s">
        <v>2290</v>
      </c>
      <c r="C676" t="s">
        <v>270</v>
      </c>
      <c r="D676" t="s">
        <v>2291</v>
      </c>
      <c r="E676" t="s">
        <v>2291</v>
      </c>
      <c r="M676" t="s">
        <v>394</v>
      </c>
      <c r="N676" t="s">
        <v>276</v>
      </c>
      <c r="P676" t="s">
        <v>260</v>
      </c>
      <c r="Q676" t="s">
        <v>260</v>
      </c>
      <c r="R676" t="s">
        <v>261</v>
      </c>
      <c r="S676" t="s">
        <v>21</v>
      </c>
      <c r="T676">
        <v>100</v>
      </c>
      <c r="W676" t="s">
        <v>262</v>
      </c>
    </row>
    <row r="677" spans="1:28" x14ac:dyDescent="0.3">
      <c r="A677" t="s">
        <v>21</v>
      </c>
      <c r="B677" t="s">
        <v>2292</v>
      </c>
      <c r="C677" t="s">
        <v>270</v>
      </c>
      <c r="D677" t="s">
        <v>2293</v>
      </c>
      <c r="E677" t="s">
        <v>2293</v>
      </c>
      <c r="M677" t="s">
        <v>379</v>
      </c>
      <c r="N677" t="s">
        <v>276</v>
      </c>
      <c r="P677" t="s">
        <v>260</v>
      </c>
      <c r="Q677" t="s">
        <v>260</v>
      </c>
      <c r="R677" t="s">
        <v>261</v>
      </c>
      <c r="S677" t="s">
        <v>21</v>
      </c>
      <c r="T677">
        <v>100</v>
      </c>
      <c r="W677" t="s">
        <v>262</v>
      </c>
    </row>
    <row r="678" spans="1:28" x14ac:dyDescent="0.3">
      <c r="A678" t="s">
        <v>21</v>
      </c>
      <c r="B678" t="s">
        <v>2294</v>
      </c>
      <c r="C678" t="s">
        <v>270</v>
      </c>
      <c r="D678" t="s">
        <v>2295</v>
      </c>
      <c r="E678" t="s">
        <v>2295</v>
      </c>
      <c r="M678" t="s">
        <v>403</v>
      </c>
      <c r="N678" t="s">
        <v>276</v>
      </c>
      <c r="P678" t="s">
        <v>260</v>
      </c>
      <c r="Q678" t="s">
        <v>260</v>
      </c>
      <c r="R678" t="s">
        <v>261</v>
      </c>
      <c r="S678" t="s">
        <v>21</v>
      </c>
      <c r="T678">
        <v>100</v>
      </c>
      <c r="W678" t="s">
        <v>262</v>
      </c>
    </row>
    <row r="679" spans="1:28" x14ac:dyDescent="0.3">
      <c r="A679" t="s">
        <v>21</v>
      </c>
      <c r="B679" t="s">
        <v>2296</v>
      </c>
      <c r="C679" t="s">
        <v>2289</v>
      </c>
      <c r="D679" t="s">
        <v>2297</v>
      </c>
      <c r="E679" t="s">
        <v>2297</v>
      </c>
      <c r="M679" t="s">
        <v>394</v>
      </c>
      <c r="N679" t="s">
        <v>276</v>
      </c>
      <c r="P679" t="s">
        <v>260</v>
      </c>
      <c r="Q679" t="s">
        <v>260</v>
      </c>
      <c r="R679" t="s">
        <v>261</v>
      </c>
      <c r="S679" t="s">
        <v>21</v>
      </c>
      <c r="T679">
        <v>100</v>
      </c>
      <c r="W679" t="s">
        <v>262</v>
      </c>
    </row>
    <row r="680" spans="1:28" x14ac:dyDescent="0.3">
      <c r="A680" t="s">
        <v>21</v>
      </c>
      <c r="B680" t="s">
        <v>2298</v>
      </c>
      <c r="C680" t="s">
        <v>270</v>
      </c>
      <c r="D680" t="s">
        <v>476</v>
      </c>
      <c r="E680" t="s">
        <v>476</v>
      </c>
      <c r="M680" t="s">
        <v>390</v>
      </c>
      <c r="N680" t="s">
        <v>276</v>
      </c>
      <c r="P680" t="s">
        <v>260</v>
      </c>
      <c r="Q680" t="s">
        <v>260</v>
      </c>
      <c r="R680" t="s">
        <v>261</v>
      </c>
      <c r="S680" t="s">
        <v>21</v>
      </c>
      <c r="T680">
        <v>100</v>
      </c>
      <c r="W680" t="s">
        <v>262</v>
      </c>
    </row>
    <row r="681" spans="1:28" x14ac:dyDescent="0.3">
      <c r="A681" t="s">
        <v>21</v>
      </c>
      <c r="B681" t="s">
        <v>2299</v>
      </c>
      <c r="C681" t="s">
        <v>270</v>
      </c>
      <c r="D681" t="s">
        <v>1336</v>
      </c>
      <c r="E681" t="s">
        <v>1336</v>
      </c>
      <c r="M681" t="s">
        <v>394</v>
      </c>
      <c r="N681" t="s">
        <v>276</v>
      </c>
      <c r="P681" t="s">
        <v>260</v>
      </c>
      <c r="Q681" t="s">
        <v>260</v>
      </c>
      <c r="R681" t="s">
        <v>261</v>
      </c>
      <c r="S681" t="s">
        <v>21</v>
      </c>
      <c r="T681">
        <v>100</v>
      </c>
      <c r="W681" t="s">
        <v>262</v>
      </c>
    </row>
    <row r="682" spans="1:28" x14ac:dyDescent="0.3">
      <c r="A682" t="s">
        <v>21</v>
      </c>
      <c r="B682" t="s">
        <v>2300</v>
      </c>
      <c r="C682" t="s">
        <v>264</v>
      </c>
      <c r="D682" t="s">
        <v>2301</v>
      </c>
      <c r="E682" t="s">
        <v>2302</v>
      </c>
      <c r="G682" t="s">
        <v>2303</v>
      </c>
      <c r="H682" t="s">
        <v>2304</v>
      </c>
      <c r="I682" t="s">
        <v>2305</v>
      </c>
      <c r="J682" t="s">
        <v>555</v>
      </c>
      <c r="K682">
        <v>6000</v>
      </c>
      <c r="L682" t="s">
        <v>259</v>
      </c>
      <c r="M682" t="s">
        <v>2305</v>
      </c>
      <c r="N682" t="s">
        <v>259</v>
      </c>
      <c r="P682" t="s">
        <v>260</v>
      </c>
      <c r="Q682" t="s">
        <v>260</v>
      </c>
      <c r="R682" t="s">
        <v>293</v>
      </c>
      <c r="S682" t="s">
        <v>21</v>
      </c>
      <c r="T682">
        <v>100</v>
      </c>
      <c r="W682" t="s">
        <v>262</v>
      </c>
      <c r="X682">
        <v>-31.954083000000001</v>
      </c>
      <c r="Y682">
        <v>115.856382</v>
      </c>
      <c r="Z682">
        <v>729</v>
      </c>
    </row>
    <row r="683" spans="1:28" x14ac:dyDescent="0.3">
      <c r="A683" t="s">
        <v>21</v>
      </c>
      <c r="B683" t="s">
        <v>2306</v>
      </c>
      <c r="C683" t="s">
        <v>270</v>
      </c>
      <c r="D683" t="s">
        <v>2307</v>
      </c>
      <c r="E683" t="s">
        <v>2307</v>
      </c>
      <c r="M683" t="s">
        <v>411</v>
      </c>
      <c r="N683" t="s">
        <v>259</v>
      </c>
      <c r="P683" t="s">
        <v>260</v>
      </c>
      <c r="Q683" t="s">
        <v>260</v>
      </c>
      <c r="R683" t="s">
        <v>261</v>
      </c>
      <c r="S683" t="s">
        <v>21</v>
      </c>
      <c r="T683">
        <v>100</v>
      </c>
      <c r="W683" t="s">
        <v>262</v>
      </c>
    </row>
    <row r="684" spans="1:28" x14ac:dyDescent="0.3">
      <c r="A684" t="s">
        <v>21</v>
      </c>
      <c r="B684" t="s">
        <v>2308</v>
      </c>
      <c r="C684" t="s">
        <v>387</v>
      </c>
      <c r="D684" t="s">
        <v>2309</v>
      </c>
      <c r="E684" t="s">
        <v>2309</v>
      </c>
      <c r="M684" t="s">
        <v>411</v>
      </c>
      <c r="N684" t="s">
        <v>259</v>
      </c>
      <c r="P684" t="s">
        <v>260</v>
      </c>
      <c r="Q684" t="s">
        <v>260</v>
      </c>
      <c r="R684" t="s">
        <v>261</v>
      </c>
      <c r="S684" t="s">
        <v>21</v>
      </c>
      <c r="T684">
        <v>100</v>
      </c>
      <c r="W684" t="s">
        <v>262</v>
      </c>
    </row>
    <row r="685" spans="1:28" x14ac:dyDescent="0.3">
      <c r="A685" t="s">
        <v>21</v>
      </c>
      <c r="B685" t="s">
        <v>2310</v>
      </c>
      <c r="C685" t="s">
        <v>387</v>
      </c>
      <c r="D685" t="s">
        <v>2311</v>
      </c>
      <c r="E685" t="s">
        <v>2311</v>
      </c>
      <c r="M685" t="s">
        <v>411</v>
      </c>
      <c r="N685" t="s">
        <v>259</v>
      </c>
      <c r="P685" t="s">
        <v>260</v>
      </c>
      <c r="Q685" t="s">
        <v>260</v>
      </c>
      <c r="R685" t="s">
        <v>261</v>
      </c>
      <c r="S685" t="s">
        <v>21</v>
      </c>
      <c r="T685">
        <v>100</v>
      </c>
      <c r="W685" t="s">
        <v>262</v>
      </c>
    </row>
    <row r="686" spans="1:28" x14ac:dyDescent="0.3">
      <c r="A686" t="s">
        <v>21</v>
      </c>
      <c r="B686" t="s">
        <v>2312</v>
      </c>
      <c r="C686" t="s">
        <v>387</v>
      </c>
      <c r="D686" t="s">
        <v>2313</v>
      </c>
      <c r="E686" t="s">
        <v>2313</v>
      </c>
      <c r="M686" t="s">
        <v>411</v>
      </c>
      <c r="N686" t="s">
        <v>259</v>
      </c>
      <c r="P686" t="s">
        <v>260</v>
      </c>
      <c r="Q686" t="s">
        <v>260</v>
      </c>
      <c r="R686" t="s">
        <v>261</v>
      </c>
      <c r="S686" t="s">
        <v>21</v>
      </c>
      <c r="T686">
        <v>100</v>
      </c>
      <c r="W686" t="s">
        <v>262</v>
      </c>
    </row>
    <row r="687" spans="1:28" x14ac:dyDescent="0.3">
      <c r="A687" t="s">
        <v>21</v>
      </c>
      <c r="B687" t="s">
        <v>2314</v>
      </c>
      <c r="C687" t="s">
        <v>270</v>
      </c>
      <c r="D687" t="s">
        <v>56</v>
      </c>
      <c r="E687" t="s">
        <v>56</v>
      </c>
      <c r="M687" t="s">
        <v>411</v>
      </c>
      <c r="N687" t="s">
        <v>259</v>
      </c>
      <c r="P687" t="s">
        <v>260</v>
      </c>
      <c r="Q687" t="s">
        <v>260</v>
      </c>
      <c r="R687" t="s">
        <v>261</v>
      </c>
      <c r="S687" t="s">
        <v>21</v>
      </c>
      <c r="T687">
        <v>100</v>
      </c>
      <c r="W687" t="s">
        <v>262</v>
      </c>
    </row>
    <row r="688" spans="1:28" x14ac:dyDescent="0.3">
      <c r="A688" t="s">
        <v>21</v>
      </c>
      <c r="B688" t="s">
        <v>2315</v>
      </c>
      <c r="C688" t="s">
        <v>387</v>
      </c>
      <c r="D688" t="s">
        <v>2316</v>
      </c>
      <c r="E688" t="s">
        <v>2316</v>
      </c>
      <c r="M688" t="s">
        <v>411</v>
      </c>
      <c r="N688" t="s">
        <v>259</v>
      </c>
      <c r="P688" t="s">
        <v>260</v>
      </c>
      <c r="Q688" t="s">
        <v>260</v>
      </c>
      <c r="R688" t="s">
        <v>261</v>
      </c>
      <c r="S688" t="s">
        <v>21</v>
      </c>
      <c r="T688">
        <v>100</v>
      </c>
      <c r="W688" t="s">
        <v>262</v>
      </c>
    </row>
    <row r="689" spans="1:25" x14ac:dyDescent="0.3">
      <c r="A689" t="s">
        <v>21</v>
      </c>
      <c r="B689" t="s">
        <v>2317</v>
      </c>
      <c r="C689" t="s">
        <v>387</v>
      </c>
      <c r="D689" t="s">
        <v>2318</v>
      </c>
      <c r="E689" t="s">
        <v>2318</v>
      </c>
      <c r="M689" t="s">
        <v>411</v>
      </c>
      <c r="N689" t="s">
        <v>259</v>
      </c>
      <c r="P689" t="s">
        <v>260</v>
      </c>
      <c r="Q689" t="s">
        <v>260</v>
      </c>
      <c r="R689" t="s">
        <v>261</v>
      </c>
      <c r="S689" t="s">
        <v>21</v>
      </c>
      <c r="T689">
        <v>100</v>
      </c>
      <c r="W689" t="s">
        <v>262</v>
      </c>
    </row>
    <row r="690" spans="1:25" x14ac:dyDescent="0.3">
      <c r="A690" t="s">
        <v>21</v>
      </c>
      <c r="B690" t="s">
        <v>2319</v>
      </c>
      <c r="C690" t="s">
        <v>387</v>
      </c>
      <c r="D690" t="s">
        <v>2320</v>
      </c>
      <c r="E690" t="s">
        <v>2320</v>
      </c>
      <c r="M690" t="s">
        <v>411</v>
      </c>
      <c r="N690" t="s">
        <v>259</v>
      </c>
      <c r="P690" t="s">
        <v>260</v>
      </c>
      <c r="Q690" t="s">
        <v>260</v>
      </c>
      <c r="R690" t="s">
        <v>261</v>
      </c>
      <c r="S690" t="s">
        <v>21</v>
      </c>
      <c r="T690">
        <v>100</v>
      </c>
      <c r="W690" t="s">
        <v>262</v>
      </c>
    </row>
    <row r="691" spans="1:25" x14ac:dyDescent="0.3">
      <c r="A691" t="s">
        <v>21</v>
      </c>
      <c r="B691" t="s">
        <v>2321</v>
      </c>
      <c r="C691" t="s">
        <v>387</v>
      </c>
      <c r="D691" t="s">
        <v>2322</v>
      </c>
      <c r="E691" t="s">
        <v>2322</v>
      </c>
      <c r="M691" t="s">
        <v>411</v>
      </c>
      <c r="N691" t="s">
        <v>259</v>
      </c>
      <c r="P691" t="s">
        <v>260</v>
      </c>
      <c r="Q691" t="s">
        <v>260</v>
      </c>
      <c r="R691" t="s">
        <v>261</v>
      </c>
      <c r="S691" t="s">
        <v>21</v>
      </c>
      <c r="T691">
        <v>100</v>
      </c>
      <c r="W691" t="s">
        <v>262</v>
      </c>
    </row>
    <row r="692" spans="1:25" x14ac:dyDescent="0.3">
      <c r="A692" t="s">
        <v>21</v>
      </c>
      <c r="B692" t="s">
        <v>2323</v>
      </c>
      <c r="C692" t="s">
        <v>387</v>
      </c>
      <c r="D692" t="s">
        <v>2324</v>
      </c>
      <c r="E692" t="s">
        <v>2324</v>
      </c>
      <c r="M692" t="s">
        <v>411</v>
      </c>
      <c r="N692" t="s">
        <v>259</v>
      </c>
      <c r="P692" t="s">
        <v>260</v>
      </c>
      <c r="Q692" t="s">
        <v>260</v>
      </c>
      <c r="R692" t="s">
        <v>261</v>
      </c>
      <c r="S692" t="s">
        <v>21</v>
      </c>
      <c r="T692">
        <v>100</v>
      </c>
      <c r="W692" t="s">
        <v>262</v>
      </c>
    </row>
    <row r="693" spans="1:25" x14ac:dyDescent="0.3">
      <c r="A693" t="s">
        <v>21</v>
      </c>
      <c r="B693" t="s">
        <v>2325</v>
      </c>
      <c r="C693" t="s">
        <v>387</v>
      </c>
      <c r="D693" t="s">
        <v>2326</v>
      </c>
      <c r="E693" t="s">
        <v>2326</v>
      </c>
      <c r="M693" t="s">
        <v>411</v>
      </c>
      <c r="N693" t="s">
        <v>259</v>
      </c>
      <c r="P693" t="s">
        <v>260</v>
      </c>
      <c r="Q693" t="s">
        <v>260</v>
      </c>
      <c r="R693" t="s">
        <v>261</v>
      </c>
      <c r="S693" t="s">
        <v>21</v>
      </c>
      <c r="T693">
        <v>100</v>
      </c>
      <c r="W693" t="s">
        <v>262</v>
      </c>
    </row>
    <row r="694" spans="1:25" x14ac:dyDescent="0.3">
      <c r="A694" t="s">
        <v>21</v>
      </c>
      <c r="B694" t="s">
        <v>2327</v>
      </c>
      <c r="C694" t="s">
        <v>387</v>
      </c>
      <c r="D694" t="s">
        <v>2328</v>
      </c>
      <c r="E694" t="s">
        <v>2328</v>
      </c>
      <c r="M694" t="s">
        <v>411</v>
      </c>
      <c r="N694" t="s">
        <v>259</v>
      </c>
      <c r="P694" t="s">
        <v>260</v>
      </c>
      <c r="Q694" t="s">
        <v>260</v>
      </c>
      <c r="R694" t="s">
        <v>261</v>
      </c>
      <c r="S694" t="s">
        <v>21</v>
      </c>
      <c r="T694">
        <v>100</v>
      </c>
      <c r="W694" t="s">
        <v>262</v>
      </c>
    </row>
    <row r="695" spans="1:25" x14ac:dyDescent="0.3">
      <c r="A695" t="s">
        <v>21</v>
      </c>
      <c r="B695" t="s">
        <v>2329</v>
      </c>
      <c r="C695" t="s">
        <v>270</v>
      </c>
      <c r="D695" t="s">
        <v>2330</v>
      </c>
      <c r="E695" t="s">
        <v>2330</v>
      </c>
      <c r="M695" t="s">
        <v>411</v>
      </c>
      <c r="N695" t="s">
        <v>259</v>
      </c>
      <c r="P695" t="s">
        <v>260</v>
      </c>
      <c r="Q695" t="s">
        <v>260</v>
      </c>
      <c r="R695" t="s">
        <v>261</v>
      </c>
      <c r="S695" t="s">
        <v>21</v>
      </c>
      <c r="T695">
        <v>100</v>
      </c>
      <c r="W695" t="s">
        <v>262</v>
      </c>
    </row>
    <row r="696" spans="1:25" x14ac:dyDescent="0.3">
      <c r="A696" t="s">
        <v>21</v>
      </c>
      <c r="B696" t="s">
        <v>2331</v>
      </c>
      <c r="C696" t="s">
        <v>270</v>
      </c>
      <c r="D696" t="s">
        <v>2332</v>
      </c>
      <c r="E696" t="s">
        <v>2332</v>
      </c>
      <c r="M696" t="s">
        <v>411</v>
      </c>
      <c r="N696" t="s">
        <v>259</v>
      </c>
      <c r="P696" t="s">
        <v>260</v>
      </c>
      <c r="Q696" t="s">
        <v>260</v>
      </c>
      <c r="R696" t="s">
        <v>261</v>
      </c>
      <c r="S696" t="s">
        <v>21</v>
      </c>
      <c r="T696">
        <v>100</v>
      </c>
      <c r="W696" t="s">
        <v>262</v>
      </c>
    </row>
    <row r="697" spans="1:25" x14ac:dyDescent="0.3">
      <c r="A697" t="s">
        <v>21</v>
      </c>
      <c r="B697" t="s">
        <v>2333</v>
      </c>
      <c r="C697" t="s">
        <v>270</v>
      </c>
      <c r="D697" t="s">
        <v>2334</v>
      </c>
      <c r="E697" t="s">
        <v>2334</v>
      </c>
      <c r="M697" t="s">
        <v>411</v>
      </c>
      <c r="N697" t="s">
        <v>259</v>
      </c>
      <c r="P697" t="s">
        <v>260</v>
      </c>
      <c r="Q697" t="s">
        <v>260</v>
      </c>
      <c r="R697" t="s">
        <v>261</v>
      </c>
      <c r="S697" t="s">
        <v>21</v>
      </c>
      <c r="T697">
        <v>100</v>
      </c>
      <c r="W697" t="s">
        <v>262</v>
      </c>
    </row>
    <row r="698" spans="1:25" x14ac:dyDescent="0.3">
      <c r="A698" t="s">
        <v>21</v>
      </c>
      <c r="B698" t="s">
        <v>2335</v>
      </c>
      <c r="C698" t="s">
        <v>270</v>
      </c>
      <c r="D698" t="s">
        <v>1942</v>
      </c>
      <c r="E698" t="s">
        <v>1942</v>
      </c>
      <c r="M698" t="s">
        <v>394</v>
      </c>
      <c r="N698" t="s">
        <v>276</v>
      </c>
      <c r="P698" t="s">
        <v>260</v>
      </c>
      <c r="Q698" t="s">
        <v>260</v>
      </c>
      <c r="R698" t="s">
        <v>261</v>
      </c>
      <c r="S698" t="s">
        <v>21</v>
      </c>
      <c r="T698">
        <v>100</v>
      </c>
      <c r="W698" t="s">
        <v>262</v>
      </c>
    </row>
    <row r="699" spans="1:25" x14ac:dyDescent="0.3">
      <c r="A699" t="s">
        <v>21</v>
      </c>
      <c r="B699" t="s">
        <v>2336</v>
      </c>
      <c r="C699" t="s">
        <v>270</v>
      </c>
      <c r="D699" t="s">
        <v>2337</v>
      </c>
      <c r="E699" t="s">
        <v>2337</v>
      </c>
      <c r="M699" t="s">
        <v>394</v>
      </c>
      <c r="N699" t="s">
        <v>276</v>
      </c>
      <c r="P699" t="s">
        <v>260</v>
      </c>
      <c r="Q699" t="s">
        <v>260</v>
      </c>
      <c r="R699" t="s">
        <v>261</v>
      </c>
      <c r="S699" t="s">
        <v>21</v>
      </c>
      <c r="T699">
        <v>100</v>
      </c>
      <c r="W699" t="s">
        <v>262</v>
      </c>
    </row>
    <row r="700" spans="1:25" x14ac:dyDescent="0.3">
      <c r="A700" t="s">
        <v>21</v>
      </c>
      <c r="B700" t="s">
        <v>2338</v>
      </c>
      <c r="C700" t="s">
        <v>270</v>
      </c>
      <c r="D700" t="s">
        <v>2339</v>
      </c>
      <c r="E700" t="s">
        <v>2339</v>
      </c>
      <c r="M700" t="s">
        <v>411</v>
      </c>
      <c r="N700" t="s">
        <v>259</v>
      </c>
      <c r="P700" t="s">
        <v>260</v>
      </c>
      <c r="Q700" t="s">
        <v>260</v>
      </c>
      <c r="R700" t="s">
        <v>261</v>
      </c>
      <c r="S700" t="s">
        <v>21</v>
      </c>
      <c r="T700">
        <v>100</v>
      </c>
      <c r="W700" t="s">
        <v>262</v>
      </c>
    </row>
    <row r="701" spans="1:25" x14ac:dyDescent="0.3">
      <c r="A701" t="s">
        <v>21</v>
      </c>
      <c r="B701" t="s">
        <v>2340</v>
      </c>
      <c r="C701" t="s">
        <v>270</v>
      </c>
      <c r="D701" t="s">
        <v>2341</v>
      </c>
      <c r="E701" t="s">
        <v>2342</v>
      </c>
      <c r="H701" t="s">
        <v>2343</v>
      </c>
      <c r="I701" t="s">
        <v>2344</v>
      </c>
      <c r="J701" t="s">
        <v>403</v>
      </c>
      <c r="K701">
        <v>6021</v>
      </c>
      <c r="L701" t="s">
        <v>276</v>
      </c>
      <c r="M701" t="s">
        <v>1294</v>
      </c>
      <c r="N701" t="s">
        <v>276</v>
      </c>
      <c r="P701" t="s">
        <v>260</v>
      </c>
      <c r="Q701" t="s">
        <v>260</v>
      </c>
      <c r="R701" t="s">
        <v>261</v>
      </c>
      <c r="S701" t="s">
        <v>21</v>
      </c>
      <c r="T701">
        <v>100</v>
      </c>
      <c r="W701" t="s">
        <v>262</v>
      </c>
      <c r="X701">
        <v>-41.302999999999997</v>
      </c>
      <c r="Y701">
        <v>174.77340000000001</v>
      </c>
    </row>
    <row r="702" spans="1:25" x14ac:dyDescent="0.3">
      <c r="A702" t="s">
        <v>21</v>
      </c>
      <c r="B702" t="s">
        <v>2345</v>
      </c>
      <c r="C702" t="s">
        <v>439</v>
      </c>
      <c r="D702" t="s">
        <v>876</v>
      </c>
      <c r="E702" t="s">
        <v>876</v>
      </c>
      <c r="M702" t="s">
        <v>282</v>
      </c>
      <c r="N702" t="s">
        <v>259</v>
      </c>
      <c r="P702" t="s">
        <v>260</v>
      </c>
      <c r="Q702" t="s">
        <v>260</v>
      </c>
      <c r="R702" t="s">
        <v>283</v>
      </c>
      <c r="S702" t="s">
        <v>21</v>
      </c>
      <c r="T702">
        <v>100</v>
      </c>
      <c r="W702" t="s">
        <v>262</v>
      </c>
    </row>
    <row r="703" spans="1:25" x14ac:dyDescent="0.3">
      <c r="A703" t="s">
        <v>21</v>
      </c>
      <c r="B703" t="s">
        <v>2346</v>
      </c>
      <c r="C703" t="s">
        <v>270</v>
      </c>
      <c r="D703" t="s">
        <v>2347</v>
      </c>
      <c r="E703" t="s">
        <v>2347</v>
      </c>
      <c r="M703" t="s">
        <v>394</v>
      </c>
      <c r="N703" t="s">
        <v>276</v>
      </c>
      <c r="P703" t="s">
        <v>260</v>
      </c>
      <c r="Q703" t="s">
        <v>260</v>
      </c>
      <c r="R703" t="s">
        <v>283</v>
      </c>
      <c r="S703" t="s">
        <v>21</v>
      </c>
      <c r="T703">
        <v>100</v>
      </c>
      <c r="W703" t="s">
        <v>262</v>
      </c>
    </row>
    <row r="704" spans="1:25" x14ac:dyDescent="0.3">
      <c r="A704" t="s">
        <v>21</v>
      </c>
      <c r="B704" t="s">
        <v>2348</v>
      </c>
      <c r="C704" t="s">
        <v>270</v>
      </c>
      <c r="D704" t="s">
        <v>2349</v>
      </c>
      <c r="E704" t="s">
        <v>2349</v>
      </c>
      <c r="M704" t="s">
        <v>394</v>
      </c>
      <c r="N704" t="s">
        <v>276</v>
      </c>
      <c r="P704" t="s">
        <v>260</v>
      </c>
      <c r="Q704" t="s">
        <v>260</v>
      </c>
      <c r="R704" t="s">
        <v>283</v>
      </c>
      <c r="S704" t="s">
        <v>21</v>
      </c>
      <c r="T704">
        <v>100</v>
      </c>
      <c r="W704" t="s">
        <v>262</v>
      </c>
    </row>
    <row r="705" spans="1:27" x14ac:dyDescent="0.3">
      <c r="A705" t="s">
        <v>21</v>
      </c>
      <c r="B705" t="s">
        <v>2350</v>
      </c>
      <c r="C705" t="s">
        <v>270</v>
      </c>
      <c r="D705" t="s">
        <v>2351</v>
      </c>
      <c r="E705" t="s">
        <v>2351</v>
      </c>
      <c r="M705" t="s">
        <v>394</v>
      </c>
      <c r="N705" t="s">
        <v>276</v>
      </c>
      <c r="P705" t="s">
        <v>260</v>
      </c>
      <c r="Q705" t="s">
        <v>260</v>
      </c>
      <c r="R705" t="s">
        <v>261</v>
      </c>
      <c r="S705" t="s">
        <v>21</v>
      </c>
      <c r="T705">
        <v>100</v>
      </c>
      <c r="W705" t="s">
        <v>262</v>
      </c>
    </row>
    <row r="706" spans="1:27" x14ac:dyDescent="0.3">
      <c r="A706" t="s">
        <v>21</v>
      </c>
      <c r="B706" t="s">
        <v>2352</v>
      </c>
      <c r="C706" t="s">
        <v>270</v>
      </c>
      <c r="D706" t="s">
        <v>1926</v>
      </c>
      <c r="E706" t="s">
        <v>1926</v>
      </c>
      <c r="M706" t="s">
        <v>394</v>
      </c>
      <c r="N706" t="s">
        <v>276</v>
      </c>
      <c r="P706" t="s">
        <v>260</v>
      </c>
      <c r="Q706" t="s">
        <v>260</v>
      </c>
      <c r="R706" t="s">
        <v>261</v>
      </c>
      <c r="S706" t="s">
        <v>21</v>
      </c>
      <c r="T706">
        <v>100</v>
      </c>
      <c r="W706" t="s">
        <v>262</v>
      </c>
    </row>
    <row r="707" spans="1:27" x14ac:dyDescent="0.3">
      <c r="A707" t="s">
        <v>21</v>
      </c>
      <c r="B707" t="s">
        <v>2353</v>
      </c>
      <c r="C707" t="s">
        <v>270</v>
      </c>
      <c r="D707" t="s">
        <v>2354</v>
      </c>
      <c r="E707" t="s">
        <v>2354</v>
      </c>
      <c r="M707" t="s">
        <v>394</v>
      </c>
      <c r="N707" t="s">
        <v>276</v>
      </c>
      <c r="P707" t="s">
        <v>260</v>
      </c>
      <c r="Q707" t="s">
        <v>260</v>
      </c>
      <c r="R707" t="s">
        <v>261</v>
      </c>
      <c r="S707" t="s">
        <v>21</v>
      </c>
      <c r="T707">
        <v>100</v>
      </c>
      <c r="W707" t="s">
        <v>262</v>
      </c>
    </row>
    <row r="708" spans="1:27" x14ac:dyDescent="0.3">
      <c r="A708" t="s">
        <v>21</v>
      </c>
      <c r="B708" t="s">
        <v>2355</v>
      </c>
      <c r="C708" t="s">
        <v>270</v>
      </c>
      <c r="D708" t="s">
        <v>2356</v>
      </c>
      <c r="E708" t="s">
        <v>2356</v>
      </c>
      <c r="M708" t="s">
        <v>394</v>
      </c>
      <c r="N708" t="s">
        <v>276</v>
      </c>
      <c r="P708" t="s">
        <v>260</v>
      </c>
      <c r="Q708" t="s">
        <v>260</v>
      </c>
      <c r="R708" t="s">
        <v>261</v>
      </c>
      <c r="S708" t="s">
        <v>21</v>
      </c>
      <c r="T708">
        <v>100</v>
      </c>
      <c r="W708" t="s">
        <v>262</v>
      </c>
    </row>
    <row r="709" spans="1:27" x14ac:dyDescent="0.3">
      <c r="A709" t="s">
        <v>21</v>
      </c>
      <c r="B709" t="s">
        <v>2357</v>
      </c>
      <c r="C709" t="s">
        <v>270</v>
      </c>
      <c r="D709" t="s">
        <v>2358</v>
      </c>
      <c r="E709" t="s">
        <v>2358</v>
      </c>
      <c r="M709" t="s">
        <v>394</v>
      </c>
      <c r="N709" t="s">
        <v>276</v>
      </c>
      <c r="P709" t="s">
        <v>260</v>
      </c>
      <c r="Q709" t="s">
        <v>260</v>
      </c>
      <c r="R709" t="s">
        <v>261</v>
      </c>
      <c r="S709" t="s">
        <v>21</v>
      </c>
      <c r="T709">
        <v>100</v>
      </c>
      <c r="W709" t="s">
        <v>262</v>
      </c>
    </row>
    <row r="710" spans="1:27" x14ac:dyDescent="0.3">
      <c r="A710" t="s">
        <v>21</v>
      </c>
      <c r="B710" t="s">
        <v>2359</v>
      </c>
      <c r="C710" t="s">
        <v>270</v>
      </c>
      <c r="D710" t="s">
        <v>1922</v>
      </c>
      <c r="E710" t="s">
        <v>1922</v>
      </c>
      <c r="M710" t="s">
        <v>394</v>
      </c>
      <c r="N710" t="s">
        <v>276</v>
      </c>
      <c r="P710" t="s">
        <v>260</v>
      </c>
      <c r="Q710" t="s">
        <v>260</v>
      </c>
      <c r="R710" t="s">
        <v>261</v>
      </c>
      <c r="S710" t="s">
        <v>21</v>
      </c>
      <c r="T710">
        <v>100</v>
      </c>
      <c r="W710" t="s">
        <v>262</v>
      </c>
    </row>
    <row r="711" spans="1:27" x14ac:dyDescent="0.3">
      <c r="A711" t="s">
        <v>21</v>
      </c>
      <c r="B711" t="s">
        <v>2360</v>
      </c>
      <c r="C711" t="s">
        <v>270</v>
      </c>
      <c r="D711" t="s">
        <v>1932</v>
      </c>
      <c r="E711" t="s">
        <v>1932</v>
      </c>
      <c r="M711" t="s">
        <v>394</v>
      </c>
      <c r="N711" t="s">
        <v>276</v>
      </c>
      <c r="P711" t="s">
        <v>260</v>
      </c>
      <c r="Q711" t="s">
        <v>260</v>
      </c>
      <c r="R711" t="s">
        <v>261</v>
      </c>
      <c r="S711" t="s">
        <v>21</v>
      </c>
      <c r="T711">
        <v>100</v>
      </c>
      <c r="W711" t="s">
        <v>262</v>
      </c>
    </row>
    <row r="712" spans="1:27" x14ac:dyDescent="0.3">
      <c r="A712" t="s">
        <v>21</v>
      </c>
      <c r="B712" t="s">
        <v>2361</v>
      </c>
      <c r="C712" t="s">
        <v>299</v>
      </c>
      <c r="D712" t="s">
        <v>2362</v>
      </c>
      <c r="E712">
        <v>16016161</v>
      </c>
      <c r="G712" t="s">
        <v>2363</v>
      </c>
      <c r="M712" t="s">
        <v>526</v>
      </c>
      <c r="N712" t="s">
        <v>259</v>
      </c>
      <c r="P712" t="s">
        <v>260</v>
      </c>
      <c r="Q712" t="s">
        <v>260</v>
      </c>
      <c r="R712" t="s">
        <v>268</v>
      </c>
      <c r="S712" t="s">
        <v>21</v>
      </c>
      <c r="T712">
        <v>100</v>
      </c>
      <c r="W712" t="s">
        <v>262</v>
      </c>
    </row>
    <row r="713" spans="1:27" x14ac:dyDescent="0.3">
      <c r="A713" t="s">
        <v>21</v>
      </c>
      <c r="B713" t="s">
        <v>2364</v>
      </c>
      <c r="C713" t="s">
        <v>299</v>
      </c>
      <c r="D713" t="s">
        <v>2365</v>
      </c>
      <c r="E713" t="s">
        <v>2365</v>
      </c>
      <c r="M713" t="s">
        <v>430</v>
      </c>
      <c r="N713" t="s">
        <v>276</v>
      </c>
      <c r="P713" t="s">
        <v>260</v>
      </c>
      <c r="Q713" t="s">
        <v>260</v>
      </c>
      <c r="R713" t="s">
        <v>261</v>
      </c>
      <c r="S713" t="s">
        <v>21</v>
      </c>
      <c r="T713">
        <v>100</v>
      </c>
      <c r="W713" t="s">
        <v>262</v>
      </c>
    </row>
    <row r="714" spans="1:27" x14ac:dyDescent="0.3">
      <c r="A714" t="s">
        <v>21</v>
      </c>
      <c r="B714" t="s">
        <v>2366</v>
      </c>
      <c r="C714" t="s">
        <v>299</v>
      </c>
      <c r="D714" t="s">
        <v>2367</v>
      </c>
      <c r="E714" t="s">
        <v>2367</v>
      </c>
      <c r="M714" t="s">
        <v>379</v>
      </c>
      <c r="N714" t="s">
        <v>276</v>
      </c>
      <c r="P714" t="s">
        <v>260</v>
      </c>
      <c r="Q714" t="s">
        <v>260</v>
      </c>
      <c r="R714" t="s">
        <v>283</v>
      </c>
      <c r="S714" t="s">
        <v>21</v>
      </c>
      <c r="T714">
        <v>100</v>
      </c>
      <c r="W714" t="s">
        <v>262</v>
      </c>
    </row>
    <row r="715" spans="1:27" x14ac:dyDescent="0.3">
      <c r="A715" t="s">
        <v>21</v>
      </c>
      <c r="B715" t="s">
        <v>2368</v>
      </c>
      <c r="C715" t="s">
        <v>270</v>
      </c>
      <c r="D715" t="s">
        <v>2369</v>
      </c>
      <c r="E715" t="s">
        <v>2369</v>
      </c>
      <c r="M715" t="s">
        <v>394</v>
      </c>
      <c r="N715" t="s">
        <v>276</v>
      </c>
      <c r="P715" t="s">
        <v>260</v>
      </c>
      <c r="Q715" t="s">
        <v>260</v>
      </c>
      <c r="R715" t="s">
        <v>261</v>
      </c>
      <c r="S715" t="s">
        <v>21</v>
      </c>
      <c r="T715">
        <v>100</v>
      </c>
      <c r="W715" t="s">
        <v>262</v>
      </c>
    </row>
    <row r="716" spans="1:27" x14ac:dyDescent="0.3">
      <c r="A716" t="s">
        <v>21</v>
      </c>
      <c r="B716" t="s">
        <v>2370</v>
      </c>
      <c r="C716" t="s">
        <v>270</v>
      </c>
      <c r="D716" t="s">
        <v>2371</v>
      </c>
      <c r="E716" t="s">
        <v>2371</v>
      </c>
      <c r="M716" t="s">
        <v>394</v>
      </c>
      <c r="N716" t="s">
        <v>276</v>
      </c>
      <c r="P716" t="s">
        <v>260</v>
      </c>
      <c r="Q716" t="s">
        <v>260</v>
      </c>
      <c r="R716" t="s">
        <v>261</v>
      </c>
      <c r="S716" t="s">
        <v>21</v>
      </c>
      <c r="T716">
        <v>100</v>
      </c>
      <c r="W716" t="s">
        <v>262</v>
      </c>
    </row>
    <row r="717" spans="1:27" x14ac:dyDescent="0.3">
      <c r="A717" t="s">
        <v>21</v>
      </c>
      <c r="B717" t="s">
        <v>2372</v>
      </c>
      <c r="C717" t="s">
        <v>270</v>
      </c>
      <c r="D717" t="s">
        <v>1930</v>
      </c>
      <c r="E717" t="s">
        <v>1930</v>
      </c>
      <c r="M717" t="s">
        <v>394</v>
      </c>
      <c r="N717" t="s">
        <v>276</v>
      </c>
      <c r="P717" t="s">
        <v>260</v>
      </c>
      <c r="Q717" t="s">
        <v>260</v>
      </c>
      <c r="R717" t="s">
        <v>261</v>
      </c>
      <c r="S717" t="s">
        <v>21</v>
      </c>
      <c r="T717">
        <v>100</v>
      </c>
      <c r="W717" t="s">
        <v>262</v>
      </c>
    </row>
    <row r="718" spans="1:27" x14ac:dyDescent="0.3">
      <c r="A718" t="s">
        <v>21</v>
      </c>
      <c r="B718" t="s">
        <v>2373</v>
      </c>
      <c r="C718" t="s">
        <v>270</v>
      </c>
      <c r="D718" t="s">
        <v>2374</v>
      </c>
      <c r="E718" t="s">
        <v>2374</v>
      </c>
      <c r="M718" t="s">
        <v>394</v>
      </c>
      <c r="N718" t="s">
        <v>276</v>
      </c>
      <c r="P718" t="s">
        <v>260</v>
      </c>
      <c r="Q718" t="s">
        <v>260</v>
      </c>
      <c r="R718" t="s">
        <v>261</v>
      </c>
      <c r="S718" t="s">
        <v>21</v>
      </c>
      <c r="T718">
        <v>100</v>
      </c>
      <c r="W718" t="s">
        <v>262</v>
      </c>
    </row>
    <row r="719" spans="1:27" x14ac:dyDescent="0.3">
      <c r="A719" t="s">
        <v>21</v>
      </c>
      <c r="B719" t="s">
        <v>2375</v>
      </c>
      <c r="C719" t="s">
        <v>264</v>
      </c>
      <c r="D719" t="s">
        <v>2376</v>
      </c>
      <c r="E719">
        <v>1005</v>
      </c>
      <c r="F719">
        <v>49</v>
      </c>
      <c r="G719" t="s">
        <v>2377</v>
      </c>
      <c r="H719" t="s">
        <v>2378</v>
      </c>
      <c r="I719" t="s">
        <v>526</v>
      </c>
      <c r="J719" t="s">
        <v>335</v>
      </c>
      <c r="K719">
        <v>3000</v>
      </c>
      <c r="L719" t="s">
        <v>259</v>
      </c>
      <c r="M719" t="s">
        <v>526</v>
      </c>
      <c r="N719" t="s">
        <v>259</v>
      </c>
      <c r="P719" t="s">
        <v>260</v>
      </c>
      <c r="Q719" t="s">
        <v>260</v>
      </c>
      <c r="R719" t="s">
        <v>293</v>
      </c>
      <c r="S719" t="s">
        <v>21</v>
      </c>
      <c r="T719">
        <v>100</v>
      </c>
      <c r="W719" t="s">
        <v>262</v>
      </c>
      <c r="X719">
        <v>-37.819037999999999</v>
      </c>
      <c r="Y719">
        <v>144.95577399999999</v>
      </c>
      <c r="Z719">
        <v>729</v>
      </c>
    </row>
    <row r="720" spans="1:27" x14ac:dyDescent="0.3">
      <c r="A720" t="s">
        <v>21</v>
      </c>
      <c r="B720" t="s">
        <v>2379</v>
      </c>
      <c r="C720" t="s">
        <v>264</v>
      </c>
      <c r="D720" t="s">
        <v>2380</v>
      </c>
      <c r="E720">
        <v>1014</v>
      </c>
      <c r="H720" t="s">
        <v>2381</v>
      </c>
      <c r="I720" t="s">
        <v>526</v>
      </c>
      <c r="J720" t="s">
        <v>335</v>
      </c>
      <c r="K720">
        <v>3000</v>
      </c>
      <c r="L720" t="s">
        <v>259</v>
      </c>
      <c r="M720" t="s">
        <v>526</v>
      </c>
      <c r="N720" t="s">
        <v>259</v>
      </c>
      <c r="P720" t="s">
        <v>260</v>
      </c>
      <c r="Q720" t="s">
        <v>260</v>
      </c>
      <c r="R720" t="s">
        <v>293</v>
      </c>
      <c r="S720" t="s">
        <v>21</v>
      </c>
      <c r="T720">
        <v>100</v>
      </c>
      <c r="W720" t="s">
        <v>262</v>
      </c>
      <c r="X720">
        <v>-37.819037999999999</v>
      </c>
      <c r="Y720">
        <v>144.95577399999999</v>
      </c>
      <c r="Z720">
        <v>729</v>
      </c>
      <c r="AA720" s="9">
        <v>42928</v>
      </c>
    </row>
    <row r="721" spans="1:25" x14ac:dyDescent="0.3">
      <c r="A721" t="s">
        <v>21</v>
      </c>
      <c r="B721" t="s">
        <v>2382</v>
      </c>
      <c r="C721" t="s">
        <v>270</v>
      </c>
      <c r="D721" t="s">
        <v>2383</v>
      </c>
      <c r="E721" t="s">
        <v>2383</v>
      </c>
      <c r="M721" t="s">
        <v>394</v>
      </c>
      <c r="N721" t="s">
        <v>276</v>
      </c>
      <c r="P721" t="s">
        <v>260</v>
      </c>
      <c r="Q721" t="s">
        <v>260</v>
      </c>
      <c r="R721" t="s">
        <v>261</v>
      </c>
      <c r="S721" t="s">
        <v>21</v>
      </c>
      <c r="T721">
        <v>100</v>
      </c>
      <c r="W721" t="s">
        <v>262</v>
      </c>
    </row>
    <row r="722" spans="1:25" x14ac:dyDescent="0.3">
      <c r="A722" t="s">
        <v>21</v>
      </c>
      <c r="B722" t="s">
        <v>2384</v>
      </c>
      <c r="C722" t="s">
        <v>270</v>
      </c>
      <c r="D722" t="s">
        <v>2385</v>
      </c>
      <c r="E722" t="s">
        <v>2385</v>
      </c>
      <c r="M722" t="s">
        <v>394</v>
      </c>
      <c r="N722" t="s">
        <v>276</v>
      </c>
      <c r="P722" t="s">
        <v>260</v>
      </c>
      <c r="Q722" t="s">
        <v>260</v>
      </c>
      <c r="R722" t="s">
        <v>261</v>
      </c>
      <c r="S722" t="s">
        <v>21</v>
      </c>
      <c r="T722">
        <v>100</v>
      </c>
      <c r="W722" t="s">
        <v>262</v>
      </c>
    </row>
    <row r="723" spans="1:25" x14ac:dyDescent="0.3">
      <c r="A723" t="s">
        <v>21</v>
      </c>
      <c r="B723" t="s">
        <v>2386</v>
      </c>
      <c r="C723" t="s">
        <v>270</v>
      </c>
      <c r="D723" t="s">
        <v>2387</v>
      </c>
      <c r="E723" t="s">
        <v>2387</v>
      </c>
      <c r="M723" t="s">
        <v>394</v>
      </c>
      <c r="N723" t="s">
        <v>276</v>
      </c>
      <c r="P723" t="s">
        <v>260</v>
      </c>
      <c r="Q723" t="s">
        <v>260</v>
      </c>
      <c r="R723" t="s">
        <v>261</v>
      </c>
      <c r="S723" t="s">
        <v>21</v>
      </c>
      <c r="T723">
        <v>100</v>
      </c>
      <c r="W723" t="s">
        <v>262</v>
      </c>
    </row>
    <row r="724" spans="1:25" x14ac:dyDescent="0.3">
      <c r="A724" t="s">
        <v>21</v>
      </c>
      <c r="B724" t="s">
        <v>2388</v>
      </c>
      <c r="C724" t="s">
        <v>299</v>
      </c>
      <c r="D724" t="s">
        <v>2365</v>
      </c>
      <c r="E724" t="s">
        <v>2365</v>
      </c>
      <c r="M724" t="s">
        <v>430</v>
      </c>
      <c r="N724" t="s">
        <v>276</v>
      </c>
      <c r="P724" t="s">
        <v>260</v>
      </c>
      <c r="Q724" t="s">
        <v>260</v>
      </c>
      <c r="R724" t="s">
        <v>261</v>
      </c>
      <c r="S724" t="s">
        <v>21</v>
      </c>
      <c r="T724">
        <v>100</v>
      </c>
      <c r="W724" t="s">
        <v>262</v>
      </c>
    </row>
    <row r="725" spans="1:25" x14ac:dyDescent="0.3">
      <c r="A725" t="s">
        <v>21</v>
      </c>
      <c r="B725" t="s">
        <v>2389</v>
      </c>
      <c r="C725" t="s">
        <v>270</v>
      </c>
      <c r="D725" t="s">
        <v>2390</v>
      </c>
      <c r="E725" t="s">
        <v>2390</v>
      </c>
      <c r="M725" t="s">
        <v>394</v>
      </c>
      <c r="N725" t="s">
        <v>276</v>
      </c>
      <c r="P725" t="s">
        <v>260</v>
      </c>
      <c r="Q725" t="s">
        <v>260</v>
      </c>
      <c r="R725" t="s">
        <v>261</v>
      </c>
      <c r="S725" t="s">
        <v>21</v>
      </c>
      <c r="T725">
        <v>100</v>
      </c>
      <c r="W725" t="s">
        <v>262</v>
      </c>
    </row>
    <row r="726" spans="1:25" x14ac:dyDescent="0.3">
      <c r="A726" t="s">
        <v>21</v>
      </c>
      <c r="B726" t="s">
        <v>2391</v>
      </c>
      <c r="C726" t="s">
        <v>270</v>
      </c>
      <c r="D726" t="s">
        <v>1326</v>
      </c>
      <c r="E726" t="s">
        <v>1326</v>
      </c>
      <c r="M726" t="s">
        <v>1145</v>
      </c>
      <c r="N726" t="s">
        <v>1145</v>
      </c>
      <c r="P726" t="s">
        <v>260</v>
      </c>
      <c r="Q726" t="s">
        <v>260</v>
      </c>
      <c r="R726" t="s">
        <v>261</v>
      </c>
      <c r="S726" t="s">
        <v>21</v>
      </c>
      <c r="T726">
        <v>100</v>
      </c>
      <c r="W726" t="s">
        <v>262</v>
      </c>
    </row>
    <row r="727" spans="1:25" x14ac:dyDescent="0.3">
      <c r="A727" t="s">
        <v>21</v>
      </c>
      <c r="B727" t="s">
        <v>2392</v>
      </c>
      <c r="C727" t="s">
        <v>270</v>
      </c>
      <c r="D727" t="s">
        <v>2393</v>
      </c>
      <c r="E727" t="s">
        <v>2393</v>
      </c>
      <c r="M727" t="s">
        <v>394</v>
      </c>
      <c r="N727" t="s">
        <v>276</v>
      </c>
      <c r="P727" t="s">
        <v>260</v>
      </c>
      <c r="Q727" t="s">
        <v>260</v>
      </c>
      <c r="R727" t="s">
        <v>261</v>
      </c>
      <c r="S727" t="s">
        <v>21</v>
      </c>
      <c r="T727">
        <v>100</v>
      </c>
      <c r="W727" t="s">
        <v>262</v>
      </c>
    </row>
    <row r="728" spans="1:25" x14ac:dyDescent="0.3">
      <c r="A728" t="s">
        <v>21</v>
      </c>
      <c r="B728" t="s">
        <v>2394</v>
      </c>
      <c r="C728" t="s">
        <v>270</v>
      </c>
      <c r="D728" t="s">
        <v>2395</v>
      </c>
      <c r="E728" t="s">
        <v>2395</v>
      </c>
      <c r="M728" t="s">
        <v>390</v>
      </c>
      <c r="N728" t="s">
        <v>276</v>
      </c>
      <c r="P728" t="s">
        <v>260</v>
      </c>
      <c r="Q728" t="s">
        <v>260</v>
      </c>
      <c r="R728" t="s">
        <v>261</v>
      </c>
      <c r="S728" t="s">
        <v>21</v>
      </c>
      <c r="T728">
        <v>100</v>
      </c>
      <c r="W728" t="s">
        <v>262</v>
      </c>
    </row>
    <row r="729" spans="1:25" x14ac:dyDescent="0.3">
      <c r="A729" t="s">
        <v>21</v>
      </c>
      <c r="B729" t="s">
        <v>2396</v>
      </c>
      <c r="C729" t="s">
        <v>270</v>
      </c>
      <c r="D729" t="s">
        <v>2397</v>
      </c>
      <c r="E729" t="s">
        <v>2397</v>
      </c>
      <c r="M729" t="s">
        <v>394</v>
      </c>
      <c r="N729" t="s">
        <v>276</v>
      </c>
      <c r="P729" t="s">
        <v>260</v>
      </c>
      <c r="Q729" t="s">
        <v>260</v>
      </c>
      <c r="R729" t="s">
        <v>261</v>
      </c>
      <c r="S729" t="s">
        <v>21</v>
      </c>
      <c r="T729">
        <v>100</v>
      </c>
      <c r="W729" t="s">
        <v>262</v>
      </c>
    </row>
    <row r="730" spans="1:25" x14ac:dyDescent="0.3">
      <c r="A730" t="s">
        <v>21</v>
      </c>
      <c r="B730" t="s">
        <v>2398</v>
      </c>
      <c r="C730" t="s">
        <v>270</v>
      </c>
      <c r="D730" t="s">
        <v>2399</v>
      </c>
      <c r="E730" t="s">
        <v>2399</v>
      </c>
      <c r="M730" t="s">
        <v>394</v>
      </c>
      <c r="N730" t="s">
        <v>276</v>
      </c>
      <c r="P730" t="s">
        <v>260</v>
      </c>
      <c r="Q730" t="s">
        <v>260</v>
      </c>
      <c r="R730" t="s">
        <v>261</v>
      </c>
      <c r="S730" t="s">
        <v>21</v>
      </c>
      <c r="T730">
        <v>100</v>
      </c>
      <c r="W730" t="s">
        <v>262</v>
      </c>
    </row>
    <row r="731" spans="1:25" x14ac:dyDescent="0.3">
      <c r="A731" t="s">
        <v>21</v>
      </c>
      <c r="B731" t="s">
        <v>2400</v>
      </c>
      <c r="C731" t="s">
        <v>264</v>
      </c>
      <c r="D731" t="s">
        <v>2401</v>
      </c>
      <c r="E731">
        <v>109203</v>
      </c>
      <c r="M731" t="s">
        <v>503</v>
      </c>
      <c r="N731" t="s">
        <v>259</v>
      </c>
      <c r="P731" t="s">
        <v>260</v>
      </c>
      <c r="Q731" t="s">
        <v>260</v>
      </c>
      <c r="R731" t="s">
        <v>293</v>
      </c>
      <c r="S731" t="s">
        <v>21</v>
      </c>
      <c r="T731">
        <v>100</v>
      </c>
      <c r="W731" t="s">
        <v>262</v>
      </c>
    </row>
    <row r="732" spans="1:25" x14ac:dyDescent="0.3">
      <c r="A732" t="s">
        <v>21</v>
      </c>
      <c r="B732" t="s">
        <v>2402</v>
      </c>
      <c r="C732" t="s">
        <v>1845</v>
      </c>
      <c r="D732" t="s">
        <v>2403</v>
      </c>
      <c r="E732" t="s">
        <v>2403</v>
      </c>
      <c r="M732" t="s">
        <v>403</v>
      </c>
      <c r="N732" t="s">
        <v>276</v>
      </c>
      <c r="P732" t="s">
        <v>260</v>
      </c>
      <c r="Q732" t="s">
        <v>260</v>
      </c>
      <c r="R732" t="s">
        <v>261</v>
      </c>
      <c r="S732" t="s">
        <v>21</v>
      </c>
      <c r="T732">
        <v>100</v>
      </c>
      <c r="W732" t="s">
        <v>262</v>
      </c>
    </row>
    <row r="733" spans="1:25" x14ac:dyDescent="0.3">
      <c r="A733" t="s">
        <v>21</v>
      </c>
      <c r="B733" t="s">
        <v>2404</v>
      </c>
      <c r="C733" t="s">
        <v>1877</v>
      </c>
      <c r="D733" t="s">
        <v>2405</v>
      </c>
      <c r="E733" t="s">
        <v>2405</v>
      </c>
      <c r="G733" t="s">
        <v>2406</v>
      </c>
      <c r="M733" t="s">
        <v>302</v>
      </c>
      <c r="N733" t="s">
        <v>259</v>
      </c>
      <c r="P733" t="s">
        <v>260</v>
      </c>
      <c r="Q733" t="s">
        <v>260</v>
      </c>
      <c r="R733" t="s">
        <v>313</v>
      </c>
      <c r="S733" t="s">
        <v>21</v>
      </c>
      <c r="T733">
        <v>100</v>
      </c>
      <c r="V733" s="9">
        <v>45107</v>
      </c>
      <c r="W733" t="s">
        <v>262</v>
      </c>
    </row>
    <row r="734" spans="1:25" x14ac:dyDescent="0.3">
      <c r="A734" t="s">
        <v>21</v>
      </c>
      <c r="B734" t="s">
        <v>2407</v>
      </c>
      <c r="C734" t="s">
        <v>270</v>
      </c>
      <c r="D734" t="s">
        <v>2408</v>
      </c>
      <c r="E734">
        <v>8002</v>
      </c>
      <c r="M734" t="s">
        <v>297</v>
      </c>
      <c r="N734" t="s">
        <v>276</v>
      </c>
      <c r="P734" t="s">
        <v>260</v>
      </c>
      <c r="Q734" t="s">
        <v>260</v>
      </c>
      <c r="R734" t="s">
        <v>261</v>
      </c>
      <c r="S734" t="s">
        <v>21</v>
      </c>
      <c r="T734">
        <v>100</v>
      </c>
      <c r="W734" t="s">
        <v>262</v>
      </c>
    </row>
    <row r="735" spans="1:25" x14ac:dyDescent="0.3">
      <c r="A735" t="s">
        <v>21</v>
      </c>
      <c r="B735" t="s">
        <v>2409</v>
      </c>
      <c r="C735" t="s">
        <v>270</v>
      </c>
      <c r="D735" t="s">
        <v>2410</v>
      </c>
      <c r="E735">
        <v>3001</v>
      </c>
      <c r="H735" t="s">
        <v>2411</v>
      </c>
      <c r="I735" t="s">
        <v>2412</v>
      </c>
      <c r="J735" t="s">
        <v>2412</v>
      </c>
      <c r="K735">
        <v>3116</v>
      </c>
      <c r="L735" t="s">
        <v>276</v>
      </c>
      <c r="M735" t="s">
        <v>429</v>
      </c>
      <c r="N735" t="s">
        <v>276</v>
      </c>
      <c r="P735" t="s">
        <v>260</v>
      </c>
      <c r="Q735" t="s">
        <v>260</v>
      </c>
      <c r="R735" t="s">
        <v>261</v>
      </c>
      <c r="S735" t="s">
        <v>21</v>
      </c>
      <c r="T735">
        <v>100</v>
      </c>
      <c r="W735" t="s">
        <v>262</v>
      </c>
      <c r="X735">
        <v>-37.678800000000003</v>
      </c>
      <c r="Y735">
        <v>176.22059999999999</v>
      </c>
    </row>
    <row r="736" spans="1:25" x14ac:dyDescent="0.3">
      <c r="A736" t="s">
        <v>21</v>
      </c>
      <c r="B736" t="s">
        <v>2413</v>
      </c>
      <c r="C736" t="s">
        <v>264</v>
      </c>
      <c r="D736" t="s">
        <v>2414</v>
      </c>
      <c r="E736">
        <v>9215</v>
      </c>
      <c r="G736" t="s">
        <v>2415</v>
      </c>
      <c r="H736" t="s">
        <v>2416</v>
      </c>
      <c r="I736" t="s">
        <v>2417</v>
      </c>
      <c r="J736" t="s">
        <v>335</v>
      </c>
      <c r="K736">
        <v>3175</v>
      </c>
      <c r="M736" t="s">
        <v>282</v>
      </c>
      <c r="N736" t="s">
        <v>259</v>
      </c>
      <c r="P736" t="s">
        <v>260</v>
      </c>
      <c r="Q736" t="s">
        <v>260</v>
      </c>
      <c r="R736" t="s">
        <v>313</v>
      </c>
      <c r="S736" t="s">
        <v>21</v>
      </c>
      <c r="T736">
        <v>100</v>
      </c>
      <c r="V736" s="9">
        <v>45107</v>
      </c>
      <c r="W736" t="s">
        <v>262</v>
      </c>
    </row>
    <row r="737" spans="1:26" x14ac:dyDescent="0.3">
      <c r="A737" t="s">
        <v>21</v>
      </c>
      <c r="B737" t="s">
        <v>2418</v>
      </c>
      <c r="C737" t="s">
        <v>1877</v>
      </c>
      <c r="D737" t="s">
        <v>2419</v>
      </c>
      <c r="E737">
        <v>9033</v>
      </c>
      <c r="H737" t="s">
        <v>2420</v>
      </c>
      <c r="I737" t="s">
        <v>2421</v>
      </c>
      <c r="J737" t="s">
        <v>318</v>
      </c>
      <c r="K737">
        <v>4701</v>
      </c>
      <c r="M737" t="s">
        <v>302</v>
      </c>
      <c r="N737" t="s">
        <v>259</v>
      </c>
      <c r="P737" t="s">
        <v>260</v>
      </c>
      <c r="Q737" t="s">
        <v>260</v>
      </c>
      <c r="R737" t="s">
        <v>313</v>
      </c>
      <c r="S737" t="s">
        <v>21</v>
      </c>
      <c r="T737">
        <v>100</v>
      </c>
      <c r="V737" s="9">
        <v>45107</v>
      </c>
      <c r="W737" t="s">
        <v>262</v>
      </c>
      <c r="X737">
        <v>-23.33672</v>
      </c>
      <c r="Y737">
        <v>150.50930500000001</v>
      </c>
      <c r="Z737">
        <v>692</v>
      </c>
    </row>
    <row r="738" spans="1:26" x14ac:dyDescent="0.3">
      <c r="A738" t="s">
        <v>21</v>
      </c>
      <c r="B738" t="s">
        <v>2422</v>
      </c>
      <c r="C738" t="s">
        <v>2423</v>
      </c>
      <c r="D738" t="s">
        <v>1023</v>
      </c>
      <c r="E738">
        <v>9126</v>
      </c>
      <c r="G738" t="s">
        <v>2424</v>
      </c>
      <c r="H738" t="s">
        <v>2425</v>
      </c>
      <c r="I738" t="s">
        <v>2426</v>
      </c>
      <c r="J738" t="s">
        <v>318</v>
      </c>
      <c r="K738">
        <v>4214</v>
      </c>
      <c r="M738" t="s">
        <v>594</v>
      </c>
      <c r="N738" t="s">
        <v>259</v>
      </c>
      <c r="P738" t="s">
        <v>260</v>
      </c>
      <c r="Q738" t="s">
        <v>260</v>
      </c>
      <c r="R738" t="s">
        <v>313</v>
      </c>
      <c r="S738" t="s">
        <v>21</v>
      </c>
      <c r="T738">
        <v>100</v>
      </c>
      <c r="V738" s="9">
        <v>45107</v>
      </c>
      <c r="W738" t="s">
        <v>262</v>
      </c>
      <c r="Z738">
        <v>692</v>
      </c>
    </row>
    <row r="739" spans="1:26" x14ac:dyDescent="0.3">
      <c r="A739" t="s">
        <v>21</v>
      </c>
      <c r="B739" t="s">
        <v>2427</v>
      </c>
      <c r="C739" t="s">
        <v>289</v>
      </c>
      <c r="D739" t="s">
        <v>2428</v>
      </c>
      <c r="E739">
        <v>9017</v>
      </c>
      <c r="H739" t="s">
        <v>2429</v>
      </c>
      <c r="I739" t="s">
        <v>2430</v>
      </c>
      <c r="J739" t="s">
        <v>318</v>
      </c>
      <c r="K739">
        <v>4740</v>
      </c>
      <c r="M739" t="s">
        <v>302</v>
      </c>
      <c r="N739" t="s">
        <v>259</v>
      </c>
      <c r="P739" t="s">
        <v>260</v>
      </c>
      <c r="Q739" t="s">
        <v>260</v>
      </c>
      <c r="R739" t="s">
        <v>313</v>
      </c>
      <c r="S739" t="s">
        <v>21</v>
      </c>
      <c r="T739">
        <v>100</v>
      </c>
      <c r="V739" s="9">
        <v>45107</v>
      </c>
      <c r="W739" t="s">
        <v>262</v>
      </c>
      <c r="X739">
        <v>-21.171068000000002</v>
      </c>
      <c r="Y739">
        <v>149.16340299999999</v>
      </c>
      <c r="Z739">
        <v>692</v>
      </c>
    </row>
    <row r="740" spans="1:26" x14ac:dyDescent="0.3">
      <c r="A740" t="s">
        <v>21</v>
      </c>
      <c r="B740" t="s">
        <v>2431</v>
      </c>
      <c r="C740" t="s">
        <v>270</v>
      </c>
      <c r="D740" t="s">
        <v>2432</v>
      </c>
      <c r="E740">
        <v>2000008001</v>
      </c>
      <c r="H740" t="s">
        <v>2433</v>
      </c>
      <c r="I740" t="s">
        <v>1343</v>
      </c>
      <c r="J740" t="s">
        <v>297</v>
      </c>
      <c r="K740">
        <v>2104</v>
      </c>
      <c r="L740" t="s">
        <v>276</v>
      </c>
      <c r="M740" t="s">
        <v>631</v>
      </c>
      <c r="N740" t="s">
        <v>276</v>
      </c>
      <c r="P740" t="s">
        <v>260</v>
      </c>
      <c r="Q740" t="s">
        <v>260</v>
      </c>
      <c r="R740" t="s">
        <v>268</v>
      </c>
      <c r="S740" t="s">
        <v>21</v>
      </c>
      <c r="T740">
        <v>100</v>
      </c>
      <c r="V740" s="9">
        <v>45291</v>
      </c>
      <c r="W740" t="s">
        <v>262</v>
      </c>
      <c r="X740">
        <v>-37.008299999999998</v>
      </c>
      <c r="Y740">
        <v>174.87049999999999</v>
      </c>
    </row>
    <row r="741" spans="1:26" x14ac:dyDescent="0.3">
      <c r="A741" t="s">
        <v>21</v>
      </c>
      <c r="B741" t="s">
        <v>2434</v>
      </c>
      <c r="C741" t="s">
        <v>270</v>
      </c>
      <c r="D741" t="s">
        <v>2435</v>
      </c>
      <c r="E741">
        <v>2000008003</v>
      </c>
      <c r="H741" t="s">
        <v>2433</v>
      </c>
      <c r="I741" t="s">
        <v>1343</v>
      </c>
      <c r="J741" t="s">
        <v>297</v>
      </c>
      <c r="K741">
        <v>2104</v>
      </c>
      <c r="L741" t="s">
        <v>276</v>
      </c>
      <c r="M741" t="s">
        <v>631</v>
      </c>
      <c r="N741" t="s">
        <v>276</v>
      </c>
      <c r="P741" t="s">
        <v>260</v>
      </c>
      <c r="Q741" t="s">
        <v>260</v>
      </c>
      <c r="R741" t="s">
        <v>268</v>
      </c>
      <c r="S741" t="s">
        <v>21</v>
      </c>
      <c r="T741">
        <v>100</v>
      </c>
      <c r="V741" s="9">
        <v>45291</v>
      </c>
      <c r="W741" t="s">
        <v>262</v>
      </c>
      <c r="X741">
        <v>-37.008299999999998</v>
      </c>
      <c r="Y741">
        <v>174.87049999999999</v>
      </c>
    </row>
    <row r="742" spans="1:26" x14ac:dyDescent="0.3">
      <c r="A742" t="s">
        <v>21</v>
      </c>
      <c r="B742" t="s">
        <v>2436</v>
      </c>
      <c r="C742" t="s">
        <v>253</v>
      </c>
      <c r="D742" t="s">
        <v>2437</v>
      </c>
      <c r="E742" t="s">
        <v>2438</v>
      </c>
      <c r="G742" t="s">
        <v>2439</v>
      </c>
      <c r="M742" t="s">
        <v>297</v>
      </c>
      <c r="N742" t="s">
        <v>276</v>
      </c>
      <c r="P742" t="s">
        <v>260</v>
      </c>
      <c r="Q742" t="s">
        <v>260</v>
      </c>
      <c r="R742" t="s">
        <v>261</v>
      </c>
      <c r="S742" t="s">
        <v>21</v>
      </c>
      <c r="T742">
        <v>100</v>
      </c>
      <c r="W742" t="s">
        <v>262</v>
      </c>
    </row>
    <row r="743" spans="1:26" x14ac:dyDescent="0.3">
      <c r="A743" t="s">
        <v>21</v>
      </c>
      <c r="B743" t="s">
        <v>2440</v>
      </c>
      <c r="C743" t="s">
        <v>270</v>
      </c>
      <c r="D743" t="s">
        <v>2441</v>
      </c>
      <c r="E743">
        <v>9000</v>
      </c>
      <c r="G743" t="s">
        <v>2442</v>
      </c>
      <c r="M743" t="s">
        <v>297</v>
      </c>
      <c r="N743" t="s">
        <v>276</v>
      </c>
      <c r="P743" t="s">
        <v>260</v>
      </c>
      <c r="Q743" t="s">
        <v>260</v>
      </c>
      <c r="R743" t="s">
        <v>293</v>
      </c>
      <c r="S743" t="s">
        <v>21</v>
      </c>
      <c r="T743">
        <v>100</v>
      </c>
      <c r="W743" t="s">
        <v>262</v>
      </c>
    </row>
    <row r="744" spans="1:26" x14ac:dyDescent="0.3">
      <c r="A744" t="s">
        <v>21</v>
      </c>
      <c r="B744" t="s">
        <v>2443</v>
      </c>
      <c r="C744" t="s">
        <v>270</v>
      </c>
      <c r="D744" t="s">
        <v>2444</v>
      </c>
      <c r="E744">
        <v>10239</v>
      </c>
      <c r="G744">
        <v>10.239000000000001</v>
      </c>
      <c r="H744" t="s">
        <v>2433</v>
      </c>
      <c r="I744" t="s">
        <v>1343</v>
      </c>
      <c r="J744" t="s">
        <v>297</v>
      </c>
      <c r="K744">
        <v>2104</v>
      </c>
      <c r="L744" t="s">
        <v>276</v>
      </c>
      <c r="M744" t="s">
        <v>631</v>
      </c>
      <c r="N744" t="s">
        <v>276</v>
      </c>
      <c r="P744" t="s">
        <v>260</v>
      </c>
      <c r="Q744" t="s">
        <v>260</v>
      </c>
      <c r="R744" t="s">
        <v>283</v>
      </c>
      <c r="S744" t="s">
        <v>21</v>
      </c>
      <c r="T744">
        <v>100</v>
      </c>
      <c r="W744" t="s">
        <v>262</v>
      </c>
      <c r="X744">
        <v>-37.008299999999998</v>
      </c>
      <c r="Y744">
        <v>174.87049999999999</v>
      </c>
    </row>
    <row r="745" spans="1:26" x14ac:dyDescent="0.3">
      <c r="A745" t="s">
        <v>21</v>
      </c>
      <c r="B745" t="s">
        <v>2445</v>
      </c>
      <c r="C745" t="s">
        <v>270</v>
      </c>
      <c r="D745" t="s">
        <v>2446</v>
      </c>
      <c r="E745">
        <v>1901</v>
      </c>
      <c r="M745" t="s">
        <v>631</v>
      </c>
      <c r="N745" t="s">
        <v>276</v>
      </c>
      <c r="P745" t="s">
        <v>260</v>
      </c>
      <c r="Q745" t="s">
        <v>260</v>
      </c>
      <c r="R745" t="s">
        <v>261</v>
      </c>
      <c r="S745" t="s">
        <v>21</v>
      </c>
      <c r="T745">
        <v>100</v>
      </c>
      <c r="W745" t="s">
        <v>262</v>
      </c>
    </row>
    <row r="746" spans="1:26" x14ac:dyDescent="0.3">
      <c r="A746" t="s">
        <v>21</v>
      </c>
      <c r="B746" t="s">
        <v>2447</v>
      </c>
      <c r="C746" t="s">
        <v>270</v>
      </c>
      <c r="D746" t="s">
        <v>799</v>
      </c>
      <c r="E746">
        <v>55535</v>
      </c>
      <c r="H746" t="s">
        <v>2448</v>
      </c>
      <c r="I746" t="s">
        <v>2449</v>
      </c>
      <c r="J746" t="s">
        <v>297</v>
      </c>
      <c r="K746">
        <v>632</v>
      </c>
      <c r="L746" t="s">
        <v>276</v>
      </c>
      <c r="M746" t="s">
        <v>805</v>
      </c>
      <c r="N746" t="s">
        <v>276</v>
      </c>
      <c r="P746" t="s">
        <v>260</v>
      </c>
      <c r="Q746" t="s">
        <v>260</v>
      </c>
      <c r="R746" t="s">
        <v>283</v>
      </c>
      <c r="S746" t="s">
        <v>21</v>
      </c>
      <c r="T746">
        <v>100</v>
      </c>
      <c r="W746" t="s">
        <v>262</v>
      </c>
      <c r="X746">
        <v>-36.753799999999998</v>
      </c>
      <c r="Y746">
        <v>174.70670000000001</v>
      </c>
    </row>
    <row r="747" spans="1:26" x14ac:dyDescent="0.3">
      <c r="A747" t="s">
        <v>21</v>
      </c>
      <c r="B747" t="s">
        <v>2450</v>
      </c>
      <c r="C747" t="s">
        <v>299</v>
      </c>
      <c r="D747" t="s">
        <v>2451</v>
      </c>
      <c r="E747">
        <v>3</v>
      </c>
      <c r="H747" t="s">
        <v>2452</v>
      </c>
      <c r="I747" t="s">
        <v>2453</v>
      </c>
      <c r="J747" t="s">
        <v>2454</v>
      </c>
      <c r="K747">
        <v>870</v>
      </c>
      <c r="L747" t="s">
        <v>259</v>
      </c>
      <c r="M747" t="s">
        <v>537</v>
      </c>
      <c r="N747" t="s">
        <v>259</v>
      </c>
      <c r="P747" t="s">
        <v>260</v>
      </c>
      <c r="Q747" t="s">
        <v>260</v>
      </c>
      <c r="R747" t="s">
        <v>261</v>
      </c>
      <c r="S747" t="s">
        <v>21</v>
      </c>
      <c r="T747">
        <v>100</v>
      </c>
      <c r="W747" t="s">
        <v>262</v>
      </c>
      <c r="X747">
        <v>-23.667999999999999</v>
      </c>
      <c r="Y747">
        <v>133.86699999999999</v>
      </c>
      <c r="Z747">
        <v>310</v>
      </c>
    </row>
    <row r="748" spans="1:26" x14ac:dyDescent="0.3">
      <c r="A748" t="s">
        <v>21</v>
      </c>
      <c r="B748" t="s">
        <v>2455</v>
      </c>
      <c r="C748" t="s">
        <v>270</v>
      </c>
      <c r="D748" t="s">
        <v>2456</v>
      </c>
      <c r="E748">
        <v>91359</v>
      </c>
      <c r="H748" t="s">
        <v>2457</v>
      </c>
      <c r="I748" t="s">
        <v>2458</v>
      </c>
      <c r="J748" t="s">
        <v>2458</v>
      </c>
      <c r="K748">
        <v>7481</v>
      </c>
      <c r="L748" t="s">
        <v>276</v>
      </c>
      <c r="M748" t="s">
        <v>2458</v>
      </c>
      <c r="N748" t="s">
        <v>276</v>
      </c>
      <c r="P748" t="s">
        <v>260</v>
      </c>
      <c r="Q748" t="s">
        <v>260</v>
      </c>
      <c r="R748" t="s">
        <v>293</v>
      </c>
      <c r="S748" t="s">
        <v>21</v>
      </c>
      <c r="T748">
        <v>100</v>
      </c>
      <c r="W748" t="s">
        <v>262</v>
      </c>
      <c r="X748">
        <v>-43.1633</v>
      </c>
      <c r="Y748">
        <v>172.72620000000001</v>
      </c>
    </row>
    <row r="749" spans="1:26" x14ac:dyDescent="0.3">
      <c r="A749" t="s">
        <v>21</v>
      </c>
      <c r="B749" t="s">
        <v>2459</v>
      </c>
      <c r="C749" t="s">
        <v>270</v>
      </c>
      <c r="D749" t="s">
        <v>2460</v>
      </c>
      <c r="E749" t="s">
        <v>2460</v>
      </c>
      <c r="M749" t="s">
        <v>411</v>
      </c>
      <c r="N749" t="s">
        <v>259</v>
      </c>
      <c r="P749" t="s">
        <v>260</v>
      </c>
      <c r="Q749" t="s">
        <v>260</v>
      </c>
      <c r="R749" t="s">
        <v>283</v>
      </c>
      <c r="S749" t="s">
        <v>21</v>
      </c>
      <c r="T749">
        <v>100</v>
      </c>
      <c r="W749" t="s">
        <v>262</v>
      </c>
    </row>
    <row r="750" spans="1:26" x14ac:dyDescent="0.3">
      <c r="A750" t="s">
        <v>21</v>
      </c>
      <c r="B750" t="s">
        <v>2461</v>
      </c>
      <c r="C750" t="s">
        <v>270</v>
      </c>
      <c r="D750" t="s">
        <v>2462</v>
      </c>
      <c r="E750" t="s">
        <v>2462</v>
      </c>
      <c r="M750" t="s">
        <v>411</v>
      </c>
      <c r="N750" t="s">
        <v>259</v>
      </c>
      <c r="P750" t="s">
        <v>260</v>
      </c>
      <c r="Q750" t="s">
        <v>260</v>
      </c>
      <c r="R750" t="s">
        <v>283</v>
      </c>
      <c r="S750" t="s">
        <v>21</v>
      </c>
      <c r="T750">
        <v>100</v>
      </c>
      <c r="W750" t="s">
        <v>262</v>
      </c>
    </row>
    <row r="751" spans="1:26" x14ac:dyDescent="0.3">
      <c r="A751" t="s">
        <v>21</v>
      </c>
      <c r="B751" t="s">
        <v>2463</v>
      </c>
      <c r="C751" t="s">
        <v>2464</v>
      </c>
      <c r="D751" t="s">
        <v>2465</v>
      </c>
      <c r="E751">
        <v>38139001</v>
      </c>
      <c r="G751" t="s">
        <v>2466</v>
      </c>
      <c r="M751" t="s">
        <v>302</v>
      </c>
      <c r="N751" t="s">
        <v>259</v>
      </c>
      <c r="P751" t="s">
        <v>260</v>
      </c>
      <c r="Q751" t="s">
        <v>260</v>
      </c>
      <c r="R751" t="s">
        <v>283</v>
      </c>
      <c r="S751" t="s">
        <v>21</v>
      </c>
      <c r="T751">
        <v>100</v>
      </c>
      <c r="W751" t="s">
        <v>262</v>
      </c>
    </row>
    <row r="752" spans="1:26" x14ac:dyDescent="0.3">
      <c r="A752" t="s">
        <v>21</v>
      </c>
      <c r="B752" t="s">
        <v>2467</v>
      </c>
      <c r="C752" t="s">
        <v>270</v>
      </c>
      <c r="D752" t="s">
        <v>2468</v>
      </c>
      <c r="E752" t="s">
        <v>2469</v>
      </c>
      <c r="F752" t="s">
        <v>2469</v>
      </c>
      <c r="M752" t="s">
        <v>390</v>
      </c>
      <c r="N752" t="s">
        <v>276</v>
      </c>
      <c r="P752" t="s">
        <v>260</v>
      </c>
      <c r="Q752" t="s">
        <v>260</v>
      </c>
      <c r="R752" t="s">
        <v>261</v>
      </c>
      <c r="S752" t="s">
        <v>21</v>
      </c>
      <c r="T752">
        <v>100</v>
      </c>
      <c r="W752" t="s">
        <v>262</v>
      </c>
    </row>
    <row r="753" spans="1:26" x14ac:dyDescent="0.3">
      <c r="A753" t="s">
        <v>21</v>
      </c>
      <c r="B753" t="s">
        <v>2470</v>
      </c>
      <c r="C753" t="s">
        <v>270</v>
      </c>
      <c r="D753" t="s">
        <v>2471</v>
      </c>
      <c r="E753" t="s">
        <v>2471</v>
      </c>
      <c r="M753" t="s">
        <v>411</v>
      </c>
      <c r="N753" t="s">
        <v>259</v>
      </c>
      <c r="P753" t="s">
        <v>260</v>
      </c>
      <c r="Q753" t="s">
        <v>260</v>
      </c>
      <c r="R753" t="s">
        <v>283</v>
      </c>
      <c r="S753" t="s">
        <v>21</v>
      </c>
      <c r="T753">
        <v>100</v>
      </c>
      <c r="W753" t="s">
        <v>262</v>
      </c>
    </row>
    <row r="754" spans="1:26" ht="120" customHeight="1" x14ac:dyDescent="0.3">
      <c r="A754" t="s">
        <v>21</v>
      </c>
      <c r="B754" t="s">
        <v>2472</v>
      </c>
      <c r="C754" t="s">
        <v>270</v>
      </c>
      <c r="D754" t="s">
        <v>2473</v>
      </c>
      <c r="E754">
        <v>2000004550</v>
      </c>
      <c r="G754" s="10" t="s">
        <v>2474</v>
      </c>
      <c r="M754" t="s">
        <v>297</v>
      </c>
      <c r="N754" t="s">
        <v>276</v>
      </c>
      <c r="P754" t="s">
        <v>260</v>
      </c>
      <c r="Q754" t="s">
        <v>260</v>
      </c>
      <c r="R754" t="s">
        <v>268</v>
      </c>
      <c r="S754" t="s">
        <v>21</v>
      </c>
      <c r="T754">
        <v>100</v>
      </c>
      <c r="W754" t="s">
        <v>262</v>
      </c>
    </row>
    <row r="755" spans="1:26" x14ac:dyDescent="0.3">
      <c r="A755" t="s">
        <v>21</v>
      </c>
      <c r="B755" t="s">
        <v>2475</v>
      </c>
      <c r="C755" t="s">
        <v>270</v>
      </c>
      <c r="D755" t="s">
        <v>2476</v>
      </c>
      <c r="E755" t="s">
        <v>2477</v>
      </c>
      <c r="M755" t="s">
        <v>631</v>
      </c>
      <c r="N755" t="s">
        <v>276</v>
      </c>
      <c r="P755" t="s">
        <v>260</v>
      </c>
      <c r="Q755" t="s">
        <v>260</v>
      </c>
      <c r="R755" t="s">
        <v>261</v>
      </c>
      <c r="S755" t="s">
        <v>21</v>
      </c>
      <c r="T755">
        <v>100</v>
      </c>
      <c r="W755" t="s">
        <v>262</v>
      </c>
    </row>
    <row r="756" spans="1:26" x14ac:dyDescent="0.3">
      <c r="A756" t="s">
        <v>21</v>
      </c>
      <c r="B756" t="s">
        <v>2478</v>
      </c>
      <c r="C756" t="s">
        <v>270</v>
      </c>
      <c r="D756" t="s">
        <v>2479</v>
      </c>
      <c r="E756" t="s">
        <v>2480</v>
      </c>
      <c r="H756" t="s">
        <v>2481</v>
      </c>
      <c r="I756" t="s">
        <v>1196</v>
      </c>
      <c r="J756" t="s">
        <v>1196</v>
      </c>
      <c r="K756">
        <v>7700</v>
      </c>
      <c r="L756" t="s">
        <v>276</v>
      </c>
      <c r="M756" t="s">
        <v>1196</v>
      </c>
      <c r="N756" t="s">
        <v>276</v>
      </c>
      <c r="P756" t="s">
        <v>260</v>
      </c>
      <c r="Q756" t="s">
        <v>260</v>
      </c>
      <c r="R756" t="s">
        <v>261</v>
      </c>
      <c r="S756" t="s">
        <v>21</v>
      </c>
      <c r="T756">
        <v>100</v>
      </c>
      <c r="W756" t="s">
        <v>262</v>
      </c>
      <c r="X756">
        <v>-43.900599999999997</v>
      </c>
      <c r="Y756">
        <v>171.75819999999999</v>
      </c>
    </row>
    <row r="757" spans="1:26" x14ac:dyDescent="0.3">
      <c r="A757" t="s">
        <v>21</v>
      </c>
      <c r="B757" t="s">
        <v>2482</v>
      </c>
      <c r="C757" t="s">
        <v>270</v>
      </c>
      <c r="D757" t="s">
        <v>2483</v>
      </c>
      <c r="E757">
        <v>55389</v>
      </c>
      <c r="H757" t="s">
        <v>2433</v>
      </c>
      <c r="I757" t="s">
        <v>1343</v>
      </c>
      <c r="J757" t="s">
        <v>297</v>
      </c>
      <c r="K757">
        <v>2104</v>
      </c>
      <c r="L757" t="s">
        <v>276</v>
      </c>
      <c r="M757" t="s">
        <v>631</v>
      </c>
      <c r="N757" t="s">
        <v>276</v>
      </c>
      <c r="P757" t="s">
        <v>260</v>
      </c>
      <c r="Q757" t="s">
        <v>260</v>
      </c>
      <c r="R757" t="s">
        <v>261</v>
      </c>
      <c r="S757" t="s">
        <v>21</v>
      </c>
      <c r="T757">
        <v>100</v>
      </c>
      <c r="W757" t="s">
        <v>262</v>
      </c>
      <c r="X757">
        <v>-37.008299999999998</v>
      </c>
      <c r="Y757">
        <v>174.87049999999999</v>
      </c>
    </row>
    <row r="758" spans="1:26" x14ac:dyDescent="0.3">
      <c r="A758" t="s">
        <v>21</v>
      </c>
      <c r="B758" t="s">
        <v>2484</v>
      </c>
      <c r="C758" t="s">
        <v>270</v>
      </c>
      <c r="D758" t="s">
        <v>2485</v>
      </c>
      <c r="E758">
        <v>55231</v>
      </c>
      <c r="M758" t="s">
        <v>631</v>
      </c>
      <c r="N758" t="s">
        <v>276</v>
      </c>
      <c r="P758" t="s">
        <v>260</v>
      </c>
      <c r="Q758" t="s">
        <v>260</v>
      </c>
      <c r="R758" t="s">
        <v>261</v>
      </c>
      <c r="S758" t="s">
        <v>21</v>
      </c>
      <c r="T758">
        <v>100</v>
      </c>
      <c r="W758" t="s">
        <v>262</v>
      </c>
    </row>
    <row r="759" spans="1:26" x14ac:dyDescent="0.3">
      <c r="A759" t="s">
        <v>21</v>
      </c>
      <c r="B759" t="s">
        <v>2486</v>
      </c>
      <c r="C759" t="s">
        <v>356</v>
      </c>
      <c r="D759" t="s">
        <v>2487</v>
      </c>
      <c r="E759">
        <v>601</v>
      </c>
      <c r="H759" t="s">
        <v>2488</v>
      </c>
      <c r="I759" t="s">
        <v>2489</v>
      </c>
      <c r="J759" t="s">
        <v>555</v>
      </c>
      <c r="K759">
        <v>6330</v>
      </c>
      <c r="L759" t="s">
        <v>259</v>
      </c>
      <c r="M759" t="s">
        <v>503</v>
      </c>
      <c r="N759" t="s">
        <v>259</v>
      </c>
      <c r="P759" t="s">
        <v>260</v>
      </c>
      <c r="Q759" t="s">
        <v>260</v>
      </c>
      <c r="R759" t="s">
        <v>261</v>
      </c>
      <c r="S759" t="s">
        <v>21</v>
      </c>
      <c r="T759">
        <v>100</v>
      </c>
      <c r="W759" t="s">
        <v>262</v>
      </c>
      <c r="X759">
        <v>-34.951549999999997</v>
      </c>
      <c r="Y759">
        <v>117.855402</v>
      </c>
      <c r="Z759">
        <v>170</v>
      </c>
    </row>
    <row r="760" spans="1:26" x14ac:dyDescent="0.3">
      <c r="A760" t="s">
        <v>21</v>
      </c>
      <c r="B760" t="s">
        <v>2490</v>
      </c>
      <c r="C760" t="s">
        <v>356</v>
      </c>
      <c r="D760" t="s">
        <v>2491</v>
      </c>
      <c r="E760">
        <v>406</v>
      </c>
      <c r="H760" t="s">
        <v>2492</v>
      </c>
      <c r="I760" t="s">
        <v>2493</v>
      </c>
      <c r="J760" t="s">
        <v>318</v>
      </c>
      <c r="K760">
        <v>4108</v>
      </c>
      <c r="L760" t="s">
        <v>259</v>
      </c>
      <c r="M760" t="s">
        <v>302</v>
      </c>
      <c r="N760" t="s">
        <v>259</v>
      </c>
      <c r="P760" t="s">
        <v>260</v>
      </c>
      <c r="Q760" t="s">
        <v>260</v>
      </c>
      <c r="R760" t="s">
        <v>261</v>
      </c>
      <c r="S760" t="s">
        <v>21</v>
      </c>
      <c r="T760">
        <v>100</v>
      </c>
      <c r="W760" t="s">
        <v>262</v>
      </c>
      <c r="X760">
        <v>-27.565674999999999</v>
      </c>
      <c r="Y760">
        <v>153.02032500000001</v>
      </c>
      <c r="Z760">
        <v>310</v>
      </c>
    </row>
    <row r="761" spans="1:26" x14ac:dyDescent="0.3">
      <c r="A761" t="s">
        <v>21</v>
      </c>
      <c r="B761" t="s">
        <v>2494</v>
      </c>
      <c r="C761" t="s">
        <v>356</v>
      </c>
      <c r="D761" t="s">
        <v>369</v>
      </c>
      <c r="E761">
        <v>3503</v>
      </c>
      <c r="H761" t="s">
        <v>2495</v>
      </c>
      <c r="I761" t="s">
        <v>2496</v>
      </c>
      <c r="J761" t="s">
        <v>297</v>
      </c>
      <c r="K761">
        <v>1061</v>
      </c>
      <c r="L761" t="s">
        <v>276</v>
      </c>
      <c r="M761" t="s">
        <v>371</v>
      </c>
      <c r="N761" t="s">
        <v>276</v>
      </c>
      <c r="P761" t="s">
        <v>260</v>
      </c>
      <c r="Q761" t="s">
        <v>260</v>
      </c>
      <c r="R761" t="s">
        <v>261</v>
      </c>
      <c r="S761" t="s">
        <v>21</v>
      </c>
      <c r="T761">
        <v>100</v>
      </c>
      <c r="W761" t="s">
        <v>262</v>
      </c>
      <c r="X761">
        <v>-36.9148</v>
      </c>
      <c r="Y761">
        <v>174.8186</v>
      </c>
    </row>
    <row r="762" spans="1:26" x14ac:dyDescent="0.3">
      <c r="A762" t="s">
        <v>21</v>
      </c>
      <c r="B762" t="s">
        <v>2497</v>
      </c>
      <c r="C762" t="s">
        <v>356</v>
      </c>
      <c r="D762" t="s">
        <v>2498</v>
      </c>
      <c r="E762">
        <v>170156</v>
      </c>
      <c r="H762" t="s">
        <v>2499</v>
      </c>
      <c r="I762" t="s">
        <v>2500</v>
      </c>
      <c r="J762" t="s">
        <v>366</v>
      </c>
      <c r="K762">
        <v>2795</v>
      </c>
      <c r="L762" t="s">
        <v>259</v>
      </c>
      <c r="M762" t="s">
        <v>312</v>
      </c>
      <c r="N762" t="s">
        <v>259</v>
      </c>
      <c r="P762" t="s">
        <v>260</v>
      </c>
      <c r="Q762" t="s">
        <v>260</v>
      </c>
      <c r="R762" t="s">
        <v>261</v>
      </c>
      <c r="S762" t="s">
        <v>21</v>
      </c>
      <c r="T762">
        <v>100</v>
      </c>
      <c r="W762" t="s">
        <v>262</v>
      </c>
      <c r="X762">
        <v>-33.426000000000002</v>
      </c>
      <c r="Y762">
        <v>149.608</v>
      </c>
      <c r="Z762">
        <v>170</v>
      </c>
    </row>
    <row r="763" spans="1:26" x14ac:dyDescent="0.3">
      <c r="A763" t="s">
        <v>21</v>
      </c>
      <c r="B763" t="s">
        <v>2501</v>
      </c>
      <c r="C763" t="s">
        <v>356</v>
      </c>
      <c r="D763" t="s">
        <v>2502</v>
      </c>
      <c r="E763">
        <v>302</v>
      </c>
      <c r="H763" t="s">
        <v>2503</v>
      </c>
      <c r="I763" t="s">
        <v>2504</v>
      </c>
      <c r="J763" t="s">
        <v>335</v>
      </c>
      <c r="K763">
        <v>3153</v>
      </c>
      <c r="L763" t="s">
        <v>259</v>
      </c>
      <c r="M763" t="s">
        <v>282</v>
      </c>
      <c r="N763" t="s">
        <v>259</v>
      </c>
      <c r="P763" t="s">
        <v>260</v>
      </c>
      <c r="Q763" t="s">
        <v>260</v>
      </c>
      <c r="R763" t="s">
        <v>261</v>
      </c>
      <c r="S763" t="s">
        <v>21</v>
      </c>
      <c r="T763">
        <v>100</v>
      </c>
      <c r="W763" t="s">
        <v>262</v>
      </c>
      <c r="X763">
        <v>-37.840000000000003</v>
      </c>
      <c r="Y763">
        <v>145.27699999999999</v>
      </c>
      <c r="Z763">
        <v>170</v>
      </c>
    </row>
    <row r="764" spans="1:26" x14ac:dyDescent="0.3">
      <c r="A764" t="s">
        <v>21</v>
      </c>
      <c r="B764" t="s">
        <v>2505</v>
      </c>
      <c r="C764" t="s">
        <v>356</v>
      </c>
      <c r="D764" t="s">
        <v>2506</v>
      </c>
      <c r="E764">
        <v>408</v>
      </c>
      <c r="G764" t="s">
        <v>2507</v>
      </c>
      <c r="H764" t="s">
        <v>2508</v>
      </c>
      <c r="I764" t="s">
        <v>2509</v>
      </c>
      <c r="J764" t="s">
        <v>318</v>
      </c>
      <c r="K764">
        <v>4560</v>
      </c>
      <c r="L764" t="s">
        <v>259</v>
      </c>
      <c r="M764" t="s">
        <v>302</v>
      </c>
      <c r="N764" t="s">
        <v>259</v>
      </c>
      <c r="P764" t="s">
        <v>260</v>
      </c>
      <c r="Q764" t="s">
        <v>260</v>
      </c>
      <c r="R764" t="s">
        <v>261</v>
      </c>
      <c r="S764" t="s">
        <v>21</v>
      </c>
      <c r="T764">
        <v>100</v>
      </c>
      <c r="W764" t="s">
        <v>262</v>
      </c>
      <c r="X764">
        <v>-26.609155999999999</v>
      </c>
      <c r="Y764">
        <v>152.977124</v>
      </c>
      <c r="Z764">
        <v>170</v>
      </c>
    </row>
    <row r="765" spans="1:26" x14ac:dyDescent="0.3">
      <c r="A765" t="s">
        <v>21</v>
      </c>
      <c r="B765" t="s">
        <v>2510</v>
      </c>
      <c r="C765" t="s">
        <v>356</v>
      </c>
      <c r="D765" t="s">
        <v>2511</v>
      </c>
      <c r="E765">
        <v>423</v>
      </c>
      <c r="H765" t="s">
        <v>2512</v>
      </c>
      <c r="I765" t="s">
        <v>2513</v>
      </c>
      <c r="J765" t="s">
        <v>318</v>
      </c>
      <c r="K765">
        <v>4500</v>
      </c>
      <c r="L765" t="s">
        <v>259</v>
      </c>
      <c r="M765" t="s">
        <v>302</v>
      </c>
      <c r="N765" t="s">
        <v>259</v>
      </c>
      <c r="P765" t="s">
        <v>260</v>
      </c>
      <c r="Q765" t="s">
        <v>260</v>
      </c>
      <c r="R765" t="s">
        <v>261</v>
      </c>
      <c r="S765" t="s">
        <v>21</v>
      </c>
      <c r="T765">
        <v>100</v>
      </c>
      <c r="W765" t="s">
        <v>262</v>
      </c>
      <c r="Z765">
        <v>170</v>
      </c>
    </row>
    <row r="766" spans="1:26" x14ac:dyDescent="0.3">
      <c r="A766" t="s">
        <v>21</v>
      </c>
      <c r="B766" t="s">
        <v>2514</v>
      </c>
      <c r="C766" t="s">
        <v>356</v>
      </c>
      <c r="D766" t="s">
        <v>2515</v>
      </c>
      <c r="E766">
        <v>525</v>
      </c>
      <c r="G766" t="s">
        <v>2516</v>
      </c>
      <c r="H766" t="s">
        <v>2517</v>
      </c>
      <c r="I766" t="s">
        <v>2518</v>
      </c>
      <c r="J766" t="s">
        <v>2454</v>
      </c>
      <c r="K766">
        <v>828</v>
      </c>
      <c r="L766" t="s">
        <v>259</v>
      </c>
      <c r="M766" t="s">
        <v>537</v>
      </c>
      <c r="N766" t="s">
        <v>259</v>
      </c>
      <c r="P766" t="s">
        <v>260</v>
      </c>
      <c r="Q766" t="s">
        <v>260</v>
      </c>
      <c r="R766" t="s">
        <v>261</v>
      </c>
      <c r="S766" t="s">
        <v>21</v>
      </c>
      <c r="T766">
        <v>100</v>
      </c>
      <c r="W766" t="s">
        <v>262</v>
      </c>
      <c r="X766">
        <v>-12.464563999999999</v>
      </c>
      <c r="Y766">
        <v>130.942643</v>
      </c>
      <c r="Z766">
        <v>170</v>
      </c>
    </row>
    <row r="767" spans="1:26" x14ac:dyDescent="0.3">
      <c r="A767" t="s">
        <v>21</v>
      </c>
      <c r="B767" t="s">
        <v>2519</v>
      </c>
      <c r="C767" t="s">
        <v>356</v>
      </c>
      <c r="D767" t="s">
        <v>373</v>
      </c>
      <c r="E767">
        <v>3508</v>
      </c>
      <c r="H767" t="s">
        <v>374</v>
      </c>
      <c r="I767" t="s">
        <v>375</v>
      </c>
      <c r="J767" t="s">
        <v>375</v>
      </c>
      <c r="K767">
        <v>9016</v>
      </c>
      <c r="L767" t="s">
        <v>276</v>
      </c>
      <c r="M767" t="s">
        <v>375</v>
      </c>
      <c r="N767" t="s">
        <v>276</v>
      </c>
      <c r="P767" t="s">
        <v>260</v>
      </c>
      <c r="Q767" t="s">
        <v>260</v>
      </c>
      <c r="R767" t="s">
        <v>261</v>
      </c>
      <c r="S767" t="s">
        <v>21</v>
      </c>
      <c r="T767">
        <v>100</v>
      </c>
      <c r="W767" t="s">
        <v>262</v>
      </c>
      <c r="X767">
        <v>-45.869599999999998</v>
      </c>
      <c r="Y767">
        <v>170.5283</v>
      </c>
    </row>
    <row r="768" spans="1:26" x14ac:dyDescent="0.3">
      <c r="A768" t="s">
        <v>21</v>
      </c>
      <c r="B768" t="s">
        <v>2520</v>
      </c>
      <c r="C768" t="s">
        <v>356</v>
      </c>
      <c r="D768" t="s">
        <v>2521</v>
      </c>
      <c r="E768">
        <v>602</v>
      </c>
      <c r="H768" t="s">
        <v>2522</v>
      </c>
      <c r="I768" t="s">
        <v>2523</v>
      </c>
      <c r="J768" t="s">
        <v>555</v>
      </c>
      <c r="K768">
        <v>6530</v>
      </c>
      <c r="L768" t="s">
        <v>259</v>
      </c>
      <c r="M768" t="s">
        <v>503</v>
      </c>
      <c r="N768" t="s">
        <v>259</v>
      </c>
      <c r="P768" t="s">
        <v>260</v>
      </c>
      <c r="Q768" t="s">
        <v>260</v>
      </c>
      <c r="R768" t="s">
        <v>261</v>
      </c>
      <c r="S768" t="s">
        <v>21</v>
      </c>
      <c r="T768">
        <v>100</v>
      </c>
      <c r="W768" t="s">
        <v>262</v>
      </c>
      <c r="X768">
        <v>-28.803999999999998</v>
      </c>
      <c r="Y768">
        <v>114.67100000000001</v>
      </c>
      <c r="Z768">
        <v>170</v>
      </c>
    </row>
    <row r="769" spans="1:27" x14ac:dyDescent="0.3">
      <c r="A769" t="s">
        <v>21</v>
      </c>
      <c r="B769" t="s">
        <v>2524</v>
      </c>
      <c r="C769" t="s">
        <v>356</v>
      </c>
      <c r="D769" t="s">
        <v>2525</v>
      </c>
      <c r="E769">
        <v>621</v>
      </c>
      <c r="H769" t="s">
        <v>2526</v>
      </c>
      <c r="I769" t="s">
        <v>2527</v>
      </c>
      <c r="J769" t="s">
        <v>555</v>
      </c>
      <c r="K769">
        <v>6110</v>
      </c>
      <c r="M769" t="s">
        <v>503</v>
      </c>
      <c r="N769" t="s">
        <v>259</v>
      </c>
      <c r="P769" t="s">
        <v>260</v>
      </c>
      <c r="Q769" t="s">
        <v>260</v>
      </c>
      <c r="R769" t="s">
        <v>261</v>
      </c>
      <c r="S769" t="s">
        <v>21</v>
      </c>
      <c r="T769">
        <v>100</v>
      </c>
      <c r="W769" t="s">
        <v>262</v>
      </c>
      <c r="X769">
        <v>-32.064999999999998</v>
      </c>
      <c r="Y769">
        <v>116.021</v>
      </c>
      <c r="Z769">
        <v>170</v>
      </c>
    </row>
    <row r="770" spans="1:27" x14ac:dyDescent="0.3">
      <c r="A770" t="s">
        <v>21</v>
      </c>
      <c r="B770" t="s">
        <v>2528</v>
      </c>
      <c r="C770" t="s">
        <v>356</v>
      </c>
      <c r="D770" t="s">
        <v>377</v>
      </c>
      <c r="E770">
        <v>3504</v>
      </c>
      <c r="H770" t="s">
        <v>2529</v>
      </c>
      <c r="I770" t="s">
        <v>2530</v>
      </c>
      <c r="J770" t="s">
        <v>379</v>
      </c>
      <c r="K770">
        <v>3200</v>
      </c>
      <c r="L770" t="s">
        <v>276</v>
      </c>
      <c r="M770" t="s">
        <v>379</v>
      </c>
      <c r="N770" t="s">
        <v>276</v>
      </c>
      <c r="P770" t="s">
        <v>260</v>
      </c>
      <c r="Q770" t="s">
        <v>260</v>
      </c>
      <c r="R770" t="s">
        <v>261</v>
      </c>
      <c r="S770" t="s">
        <v>21</v>
      </c>
      <c r="T770">
        <v>100</v>
      </c>
      <c r="W770" t="s">
        <v>262</v>
      </c>
      <c r="X770">
        <v>-37.753999999999998</v>
      </c>
      <c r="Y770">
        <v>175.23490000000001</v>
      </c>
    </row>
    <row r="771" spans="1:27" x14ac:dyDescent="0.3">
      <c r="A771" t="s">
        <v>21</v>
      </c>
      <c r="B771" t="s">
        <v>2531</v>
      </c>
      <c r="C771" t="s">
        <v>356</v>
      </c>
      <c r="D771" t="s">
        <v>2532</v>
      </c>
      <c r="E771">
        <v>17030565</v>
      </c>
      <c r="H771" t="s">
        <v>2533</v>
      </c>
      <c r="I771" t="s">
        <v>2534</v>
      </c>
      <c r="J771" t="s">
        <v>258</v>
      </c>
      <c r="K771">
        <v>7015</v>
      </c>
      <c r="L771" t="s">
        <v>259</v>
      </c>
      <c r="M771" t="s">
        <v>257</v>
      </c>
      <c r="N771" t="s">
        <v>259</v>
      </c>
      <c r="P771" t="s">
        <v>260</v>
      </c>
      <c r="Q771" t="s">
        <v>260</v>
      </c>
      <c r="R771" t="s">
        <v>261</v>
      </c>
      <c r="S771" t="s">
        <v>21</v>
      </c>
      <c r="T771">
        <v>100</v>
      </c>
      <c r="W771" t="s">
        <v>262</v>
      </c>
      <c r="X771">
        <v>-42.825000000000003</v>
      </c>
      <c r="Y771">
        <v>147.376</v>
      </c>
      <c r="Z771">
        <v>310</v>
      </c>
    </row>
    <row r="772" spans="1:27" x14ac:dyDescent="0.3">
      <c r="A772" t="s">
        <v>21</v>
      </c>
      <c r="B772" t="s">
        <v>2535</v>
      </c>
      <c r="C772" t="s">
        <v>356</v>
      </c>
      <c r="D772" t="s">
        <v>2536</v>
      </c>
      <c r="E772">
        <v>628</v>
      </c>
      <c r="G772" t="s">
        <v>2537</v>
      </c>
      <c r="H772" t="s">
        <v>2538</v>
      </c>
      <c r="I772" t="s">
        <v>2539</v>
      </c>
      <c r="J772" t="s">
        <v>555</v>
      </c>
      <c r="K772">
        <v>6165</v>
      </c>
      <c r="L772" t="s">
        <v>259</v>
      </c>
      <c r="M772" t="s">
        <v>503</v>
      </c>
      <c r="N772" t="s">
        <v>259</v>
      </c>
      <c r="P772" t="s">
        <v>260</v>
      </c>
      <c r="Q772" t="s">
        <v>260</v>
      </c>
      <c r="R772" t="s">
        <v>261</v>
      </c>
      <c r="S772" t="s">
        <v>21</v>
      </c>
      <c r="T772">
        <v>100</v>
      </c>
      <c r="W772" t="s">
        <v>262</v>
      </c>
      <c r="X772">
        <v>-32.203035</v>
      </c>
      <c r="Y772">
        <v>115.790919</v>
      </c>
      <c r="Z772">
        <v>170</v>
      </c>
      <c r="AA772" s="9">
        <v>42552</v>
      </c>
    </row>
    <row r="773" spans="1:27" x14ac:dyDescent="0.3">
      <c r="A773" t="s">
        <v>21</v>
      </c>
      <c r="B773" t="s">
        <v>2540</v>
      </c>
      <c r="C773" t="s">
        <v>356</v>
      </c>
      <c r="D773" t="s">
        <v>2541</v>
      </c>
      <c r="E773">
        <v>101</v>
      </c>
      <c r="H773" t="s">
        <v>2542</v>
      </c>
      <c r="I773" t="s">
        <v>2543</v>
      </c>
      <c r="J773" t="s">
        <v>2544</v>
      </c>
      <c r="K773">
        <v>2620</v>
      </c>
      <c r="L773" t="s">
        <v>259</v>
      </c>
      <c r="M773" t="s">
        <v>267</v>
      </c>
      <c r="N773" t="s">
        <v>259</v>
      </c>
      <c r="P773" t="s">
        <v>260</v>
      </c>
      <c r="Q773" t="s">
        <v>260</v>
      </c>
      <c r="R773" t="s">
        <v>261</v>
      </c>
      <c r="S773" t="s">
        <v>21</v>
      </c>
      <c r="T773">
        <v>100</v>
      </c>
      <c r="W773" t="s">
        <v>262</v>
      </c>
      <c r="X773">
        <v>-35.389000000000003</v>
      </c>
      <c r="Y773">
        <v>149.16900000000001</v>
      </c>
      <c r="Z773">
        <v>170</v>
      </c>
    </row>
    <row r="774" spans="1:27" x14ac:dyDescent="0.3">
      <c r="A774" t="s">
        <v>21</v>
      </c>
      <c r="B774" t="s">
        <v>2545</v>
      </c>
      <c r="C774" t="s">
        <v>356</v>
      </c>
      <c r="D774" t="s">
        <v>382</v>
      </c>
      <c r="E774">
        <v>3509</v>
      </c>
      <c r="H774" t="s">
        <v>2546</v>
      </c>
      <c r="I774" t="s">
        <v>2547</v>
      </c>
      <c r="J774" t="s">
        <v>384</v>
      </c>
      <c r="K774">
        <v>9810</v>
      </c>
      <c r="L774" t="s">
        <v>276</v>
      </c>
      <c r="M774" t="s">
        <v>384</v>
      </c>
      <c r="N774" t="s">
        <v>276</v>
      </c>
      <c r="P774" t="s">
        <v>260</v>
      </c>
      <c r="Q774" t="s">
        <v>260</v>
      </c>
      <c r="R774" t="s">
        <v>261</v>
      </c>
      <c r="S774" t="s">
        <v>21</v>
      </c>
      <c r="T774">
        <v>100</v>
      </c>
      <c r="W774" t="s">
        <v>262</v>
      </c>
      <c r="X774">
        <v>-46.415300000000002</v>
      </c>
      <c r="Y774">
        <v>168.33959999999999</v>
      </c>
    </row>
    <row r="775" spans="1:27" x14ac:dyDescent="0.3">
      <c r="A775" t="s">
        <v>21</v>
      </c>
      <c r="B775" t="s">
        <v>2548</v>
      </c>
      <c r="C775" t="s">
        <v>356</v>
      </c>
      <c r="D775" t="s">
        <v>2549</v>
      </c>
      <c r="E775">
        <v>170425</v>
      </c>
      <c r="G775" t="s">
        <v>2550</v>
      </c>
      <c r="H775" t="s">
        <v>2551</v>
      </c>
      <c r="I775" t="s">
        <v>2552</v>
      </c>
      <c r="J775" t="s">
        <v>366</v>
      </c>
      <c r="K775">
        <v>2480</v>
      </c>
      <c r="M775" t="s">
        <v>2553</v>
      </c>
      <c r="N775" t="s">
        <v>259</v>
      </c>
      <c r="P775" t="s">
        <v>260</v>
      </c>
      <c r="Q775" t="s">
        <v>260</v>
      </c>
      <c r="R775" t="s">
        <v>261</v>
      </c>
      <c r="S775" t="s">
        <v>21</v>
      </c>
      <c r="T775">
        <v>100</v>
      </c>
      <c r="W775" t="s">
        <v>262</v>
      </c>
      <c r="Z775">
        <v>170</v>
      </c>
    </row>
    <row r="776" spans="1:27" x14ac:dyDescent="0.3">
      <c r="A776" t="s">
        <v>21</v>
      </c>
      <c r="B776" t="s">
        <v>2554</v>
      </c>
      <c r="C776" t="s">
        <v>356</v>
      </c>
      <c r="D776" t="s">
        <v>2555</v>
      </c>
      <c r="E776">
        <v>173130</v>
      </c>
      <c r="H776" t="s">
        <v>2556</v>
      </c>
      <c r="I776" t="s">
        <v>2557</v>
      </c>
      <c r="J776" t="s">
        <v>318</v>
      </c>
      <c r="K776">
        <v>4740</v>
      </c>
      <c r="L776" t="s">
        <v>259</v>
      </c>
      <c r="M776" t="s">
        <v>2558</v>
      </c>
      <c r="N776" t="s">
        <v>259</v>
      </c>
      <c r="P776" t="s">
        <v>260</v>
      </c>
      <c r="Q776" t="s">
        <v>260</v>
      </c>
      <c r="R776" t="s">
        <v>261</v>
      </c>
      <c r="S776" t="s">
        <v>21</v>
      </c>
      <c r="T776">
        <v>100</v>
      </c>
      <c r="W776" t="s">
        <v>262</v>
      </c>
      <c r="Z776">
        <v>170</v>
      </c>
    </row>
    <row r="777" spans="1:27" x14ac:dyDescent="0.3">
      <c r="A777" t="s">
        <v>21</v>
      </c>
      <c r="B777" t="s">
        <v>2559</v>
      </c>
      <c r="C777" t="s">
        <v>356</v>
      </c>
      <c r="D777" t="s">
        <v>2560</v>
      </c>
      <c r="E777">
        <v>154</v>
      </c>
      <c r="H777" t="s">
        <v>2561</v>
      </c>
      <c r="I777" t="s">
        <v>2562</v>
      </c>
      <c r="J777" t="s">
        <v>366</v>
      </c>
      <c r="K777">
        <v>2536</v>
      </c>
      <c r="L777" t="s">
        <v>259</v>
      </c>
      <c r="M777" t="s">
        <v>312</v>
      </c>
      <c r="N777" t="s">
        <v>259</v>
      </c>
      <c r="P777" t="s">
        <v>260</v>
      </c>
      <c r="Q777" t="s">
        <v>260</v>
      </c>
      <c r="R777" t="s">
        <v>261</v>
      </c>
      <c r="S777" t="s">
        <v>21</v>
      </c>
      <c r="T777">
        <v>100</v>
      </c>
      <c r="W777" t="s">
        <v>262</v>
      </c>
      <c r="X777">
        <v>-35.814999999999998</v>
      </c>
      <c r="Y777">
        <v>150.124</v>
      </c>
      <c r="Z777">
        <v>170</v>
      </c>
    </row>
    <row r="778" spans="1:27" x14ac:dyDescent="0.3">
      <c r="A778" t="s">
        <v>21</v>
      </c>
      <c r="B778" t="s">
        <v>2563</v>
      </c>
      <c r="C778" t="s">
        <v>356</v>
      </c>
      <c r="D778" t="s">
        <v>2532</v>
      </c>
      <c r="E778">
        <v>360</v>
      </c>
      <c r="H778" t="s">
        <v>2564</v>
      </c>
      <c r="I778" t="s">
        <v>360</v>
      </c>
      <c r="J778" t="s">
        <v>257</v>
      </c>
      <c r="K778">
        <v>7248</v>
      </c>
      <c r="L778" t="s">
        <v>259</v>
      </c>
      <c r="M778" t="s">
        <v>257</v>
      </c>
      <c r="N778" t="s">
        <v>259</v>
      </c>
      <c r="P778" t="s">
        <v>260</v>
      </c>
      <c r="Q778" t="s">
        <v>260</v>
      </c>
      <c r="R778" t="s">
        <v>261</v>
      </c>
      <c r="S778" t="s">
        <v>21</v>
      </c>
      <c r="T778">
        <v>100</v>
      </c>
      <c r="W778" t="s">
        <v>262</v>
      </c>
      <c r="Z778">
        <v>170</v>
      </c>
      <c r="AA778" s="9">
        <v>45139</v>
      </c>
    </row>
    <row r="779" spans="1:27" x14ac:dyDescent="0.3">
      <c r="A779" t="s">
        <v>21</v>
      </c>
      <c r="B779" t="s">
        <v>2565</v>
      </c>
      <c r="C779" t="s">
        <v>356</v>
      </c>
      <c r="D779" t="s">
        <v>2566</v>
      </c>
      <c r="E779">
        <v>113</v>
      </c>
      <c r="H779" t="s">
        <v>2567</v>
      </c>
      <c r="I779" t="s">
        <v>2568</v>
      </c>
      <c r="J779" t="s">
        <v>366</v>
      </c>
      <c r="K779">
        <v>2700</v>
      </c>
      <c r="L779" t="s">
        <v>259</v>
      </c>
      <c r="M779" t="s">
        <v>312</v>
      </c>
      <c r="N779" t="s">
        <v>259</v>
      </c>
      <c r="P779" t="s">
        <v>260</v>
      </c>
      <c r="Q779" t="s">
        <v>260</v>
      </c>
      <c r="R779" t="s">
        <v>261</v>
      </c>
      <c r="S779" t="s">
        <v>21</v>
      </c>
      <c r="T779">
        <v>100</v>
      </c>
      <c r="W779" t="s">
        <v>262</v>
      </c>
      <c r="X779">
        <v>-34.725999999999999</v>
      </c>
      <c r="Y779">
        <v>146.57</v>
      </c>
      <c r="Z779">
        <v>170</v>
      </c>
    </row>
    <row r="780" spans="1:27" x14ac:dyDescent="0.3">
      <c r="A780" t="s">
        <v>21</v>
      </c>
      <c r="B780" t="s">
        <v>2569</v>
      </c>
      <c r="C780" t="s">
        <v>356</v>
      </c>
      <c r="D780" t="s">
        <v>396</v>
      </c>
      <c r="E780">
        <v>3505</v>
      </c>
      <c r="H780" t="s">
        <v>2570</v>
      </c>
      <c r="I780" t="s">
        <v>2571</v>
      </c>
      <c r="J780" t="s">
        <v>398</v>
      </c>
      <c r="K780">
        <v>4312</v>
      </c>
      <c r="L780" t="s">
        <v>276</v>
      </c>
      <c r="M780" t="s">
        <v>398</v>
      </c>
      <c r="N780" t="s">
        <v>276</v>
      </c>
      <c r="P780" t="s">
        <v>260</v>
      </c>
      <c r="Q780" t="s">
        <v>260</v>
      </c>
      <c r="R780" t="s">
        <v>261</v>
      </c>
      <c r="S780" t="s">
        <v>21</v>
      </c>
      <c r="T780">
        <v>100</v>
      </c>
      <c r="W780" t="s">
        <v>262</v>
      </c>
      <c r="X780">
        <v>-39.041699999999999</v>
      </c>
      <c r="Y780">
        <v>174.11709999999999</v>
      </c>
    </row>
    <row r="781" spans="1:27" x14ac:dyDescent="0.3">
      <c r="A781" t="s">
        <v>21</v>
      </c>
      <c r="B781" t="s">
        <v>2572</v>
      </c>
      <c r="C781" t="s">
        <v>356</v>
      </c>
      <c r="D781" t="s">
        <v>362</v>
      </c>
      <c r="E781">
        <v>163</v>
      </c>
      <c r="G781" t="s">
        <v>2573</v>
      </c>
      <c r="H781" t="s">
        <v>364</v>
      </c>
      <c r="I781" t="s">
        <v>365</v>
      </c>
      <c r="J781" t="s">
        <v>366</v>
      </c>
      <c r="K781">
        <v>2142</v>
      </c>
      <c r="M781" t="s">
        <v>312</v>
      </c>
      <c r="N781" t="s">
        <v>259</v>
      </c>
      <c r="P781" t="s">
        <v>260</v>
      </c>
      <c r="Q781" t="s">
        <v>260</v>
      </c>
      <c r="R781" t="s">
        <v>261</v>
      </c>
      <c r="S781" t="s">
        <v>21</v>
      </c>
      <c r="T781">
        <v>100</v>
      </c>
      <c r="W781" t="s">
        <v>262</v>
      </c>
      <c r="Z781">
        <v>170</v>
      </c>
    </row>
    <row r="782" spans="1:27" x14ac:dyDescent="0.3">
      <c r="A782" t="s">
        <v>21</v>
      </c>
      <c r="B782" t="s">
        <v>2574</v>
      </c>
      <c r="C782" t="s">
        <v>356</v>
      </c>
      <c r="D782" t="s">
        <v>2575</v>
      </c>
      <c r="E782">
        <v>308</v>
      </c>
      <c r="H782" t="s">
        <v>2576</v>
      </c>
      <c r="I782" t="s">
        <v>2577</v>
      </c>
      <c r="J782" t="s">
        <v>335</v>
      </c>
      <c r="K782">
        <v>3630</v>
      </c>
      <c r="L782" t="s">
        <v>259</v>
      </c>
      <c r="M782" t="s">
        <v>2577</v>
      </c>
      <c r="N782" t="s">
        <v>259</v>
      </c>
      <c r="P782" t="s">
        <v>260</v>
      </c>
      <c r="Q782" t="s">
        <v>260</v>
      </c>
      <c r="R782" t="s">
        <v>261</v>
      </c>
      <c r="S782" t="s">
        <v>21</v>
      </c>
      <c r="T782">
        <v>100</v>
      </c>
      <c r="W782" t="s">
        <v>262</v>
      </c>
      <c r="X782">
        <v>-36.363999999999997</v>
      </c>
      <c r="Y782">
        <v>145.42500000000001</v>
      </c>
      <c r="Z782">
        <v>170</v>
      </c>
    </row>
    <row r="783" spans="1:27" x14ac:dyDescent="0.3">
      <c r="A783" t="s">
        <v>21</v>
      </c>
      <c r="B783" t="s">
        <v>2578</v>
      </c>
      <c r="C783" t="s">
        <v>356</v>
      </c>
      <c r="D783" t="s">
        <v>2579</v>
      </c>
      <c r="E783">
        <v>303</v>
      </c>
      <c r="H783" t="s">
        <v>2580</v>
      </c>
      <c r="I783" t="s">
        <v>2581</v>
      </c>
      <c r="J783" t="s">
        <v>335</v>
      </c>
      <c r="K783">
        <v>3062</v>
      </c>
      <c r="L783" t="s">
        <v>259</v>
      </c>
      <c r="M783" t="s">
        <v>282</v>
      </c>
      <c r="N783" t="s">
        <v>259</v>
      </c>
      <c r="P783" t="s">
        <v>260</v>
      </c>
      <c r="Q783" t="s">
        <v>260</v>
      </c>
      <c r="R783" t="s">
        <v>261</v>
      </c>
      <c r="S783" t="s">
        <v>21</v>
      </c>
      <c r="T783">
        <v>100</v>
      </c>
      <c r="W783" t="s">
        <v>262</v>
      </c>
      <c r="X783">
        <v>-37.642000000000003</v>
      </c>
      <c r="Y783">
        <v>144.94200000000001</v>
      </c>
      <c r="Z783">
        <v>170</v>
      </c>
    </row>
    <row r="784" spans="1:27" x14ac:dyDescent="0.3">
      <c r="A784" t="s">
        <v>21</v>
      </c>
      <c r="B784" t="s">
        <v>2582</v>
      </c>
      <c r="C784" t="s">
        <v>356</v>
      </c>
      <c r="D784" t="s">
        <v>2583</v>
      </c>
      <c r="E784">
        <v>152</v>
      </c>
      <c r="H784" t="s">
        <v>2584</v>
      </c>
      <c r="I784" t="s">
        <v>2585</v>
      </c>
      <c r="J784" t="s">
        <v>366</v>
      </c>
      <c r="K784">
        <v>2284</v>
      </c>
      <c r="L784" t="s">
        <v>259</v>
      </c>
      <c r="M784" t="s">
        <v>312</v>
      </c>
      <c r="N784" t="s">
        <v>259</v>
      </c>
      <c r="P784" t="s">
        <v>260</v>
      </c>
      <c r="Q784" t="s">
        <v>260</v>
      </c>
      <c r="R784" t="s">
        <v>261</v>
      </c>
      <c r="S784" t="s">
        <v>21</v>
      </c>
      <c r="T784">
        <v>100</v>
      </c>
      <c r="W784" t="s">
        <v>262</v>
      </c>
      <c r="X784">
        <v>-32.957000000000001</v>
      </c>
      <c r="Y784">
        <v>151.59</v>
      </c>
      <c r="Z784">
        <v>170</v>
      </c>
    </row>
    <row r="785" spans="1:26" x14ac:dyDescent="0.3">
      <c r="A785" t="s">
        <v>21</v>
      </c>
      <c r="B785" t="s">
        <v>2586</v>
      </c>
      <c r="C785" t="s">
        <v>356</v>
      </c>
      <c r="D785" t="s">
        <v>1550</v>
      </c>
      <c r="E785">
        <v>300</v>
      </c>
      <c r="H785" t="s">
        <v>2587</v>
      </c>
      <c r="I785" t="s">
        <v>2588</v>
      </c>
      <c r="J785" t="s">
        <v>282</v>
      </c>
      <c r="K785">
        <v>3844</v>
      </c>
      <c r="M785" t="s">
        <v>282</v>
      </c>
      <c r="N785" t="s">
        <v>259</v>
      </c>
      <c r="P785" t="s">
        <v>260</v>
      </c>
      <c r="Q785" t="s">
        <v>260</v>
      </c>
      <c r="R785" t="s">
        <v>261</v>
      </c>
      <c r="S785" t="s">
        <v>21</v>
      </c>
      <c r="T785">
        <v>100</v>
      </c>
      <c r="W785" t="s">
        <v>262</v>
      </c>
      <c r="Z785">
        <v>170</v>
      </c>
    </row>
    <row r="786" spans="1:26" x14ac:dyDescent="0.3">
      <c r="A786" t="s">
        <v>21</v>
      </c>
      <c r="B786" t="s">
        <v>2589</v>
      </c>
      <c r="C786" t="s">
        <v>356</v>
      </c>
      <c r="D786" t="s">
        <v>401</v>
      </c>
      <c r="E786">
        <v>3507</v>
      </c>
      <c r="H786" t="s">
        <v>2590</v>
      </c>
      <c r="I786" t="s">
        <v>2591</v>
      </c>
      <c r="J786" t="s">
        <v>403</v>
      </c>
      <c r="K786">
        <v>6035</v>
      </c>
      <c r="L786" t="s">
        <v>276</v>
      </c>
      <c r="M786" t="s">
        <v>403</v>
      </c>
      <c r="N786" t="s">
        <v>276</v>
      </c>
      <c r="P786" t="s">
        <v>260</v>
      </c>
      <c r="Q786" t="s">
        <v>260</v>
      </c>
      <c r="R786" t="s">
        <v>261</v>
      </c>
      <c r="S786" t="s">
        <v>21</v>
      </c>
      <c r="T786">
        <v>100</v>
      </c>
      <c r="W786" t="s">
        <v>262</v>
      </c>
      <c r="X786">
        <v>-41.237200000000001</v>
      </c>
      <c r="Y786">
        <v>174.8022</v>
      </c>
    </row>
    <row r="787" spans="1:26" x14ac:dyDescent="0.3">
      <c r="A787" t="s">
        <v>21</v>
      </c>
      <c r="B787" t="s">
        <v>2592</v>
      </c>
      <c r="C787" t="s">
        <v>356</v>
      </c>
      <c r="D787" t="s">
        <v>349</v>
      </c>
      <c r="E787">
        <v>3502</v>
      </c>
      <c r="F787">
        <v>904851</v>
      </c>
      <c r="H787" t="s">
        <v>351</v>
      </c>
      <c r="I787" t="s">
        <v>2593</v>
      </c>
      <c r="J787" t="s">
        <v>352</v>
      </c>
      <c r="K787">
        <v>110</v>
      </c>
      <c r="L787" t="s">
        <v>276</v>
      </c>
      <c r="M787" t="s">
        <v>352</v>
      </c>
      <c r="N787" t="s">
        <v>276</v>
      </c>
      <c r="P787" t="s">
        <v>260</v>
      </c>
      <c r="Q787" t="s">
        <v>260</v>
      </c>
      <c r="R787" t="s">
        <v>261</v>
      </c>
      <c r="S787" t="s">
        <v>21</v>
      </c>
      <c r="T787">
        <v>100</v>
      </c>
      <c r="W787" t="s">
        <v>262</v>
      </c>
      <c r="X787">
        <v>-35.743000000000002</v>
      </c>
      <c r="Y787">
        <v>174.33940000000001</v>
      </c>
    </row>
    <row r="788" spans="1:26" x14ac:dyDescent="0.3">
      <c r="A788" t="s">
        <v>21</v>
      </c>
      <c r="B788" t="s">
        <v>2594</v>
      </c>
      <c r="C788" t="s">
        <v>356</v>
      </c>
      <c r="D788" t="s">
        <v>2595</v>
      </c>
      <c r="E788">
        <v>523</v>
      </c>
      <c r="H788" t="s">
        <v>2596</v>
      </c>
      <c r="I788" t="s">
        <v>2597</v>
      </c>
      <c r="J788" t="s">
        <v>305</v>
      </c>
      <c r="K788">
        <v>5013</v>
      </c>
      <c r="L788" t="s">
        <v>259</v>
      </c>
      <c r="M788" t="s">
        <v>307</v>
      </c>
      <c r="N788" t="s">
        <v>259</v>
      </c>
      <c r="P788" t="s">
        <v>260</v>
      </c>
      <c r="Q788" t="s">
        <v>260</v>
      </c>
      <c r="R788" t="s">
        <v>261</v>
      </c>
      <c r="S788" t="s">
        <v>21</v>
      </c>
      <c r="T788">
        <v>100</v>
      </c>
      <c r="W788" t="s">
        <v>262</v>
      </c>
      <c r="X788">
        <v>-34.848011</v>
      </c>
      <c r="Y788">
        <v>138.57255599999999</v>
      </c>
      <c r="Z788">
        <v>170</v>
      </c>
    </row>
    <row r="789" spans="1:26" x14ac:dyDescent="0.3">
      <c r="A789" t="s">
        <v>21</v>
      </c>
      <c r="B789" t="s">
        <v>2598</v>
      </c>
      <c r="C789" t="s">
        <v>356</v>
      </c>
      <c r="D789" t="s">
        <v>2599</v>
      </c>
      <c r="E789">
        <v>315</v>
      </c>
      <c r="H789" t="s">
        <v>2600</v>
      </c>
      <c r="I789" t="s">
        <v>2601</v>
      </c>
      <c r="J789" t="s">
        <v>335</v>
      </c>
      <c r="K789">
        <v>3689</v>
      </c>
      <c r="L789" t="s">
        <v>259</v>
      </c>
      <c r="M789" t="s">
        <v>282</v>
      </c>
      <c r="N789" t="s">
        <v>259</v>
      </c>
      <c r="P789" t="s">
        <v>260</v>
      </c>
      <c r="Q789" t="s">
        <v>260</v>
      </c>
      <c r="R789" t="s">
        <v>261</v>
      </c>
      <c r="S789" t="s">
        <v>21</v>
      </c>
      <c r="T789">
        <v>100</v>
      </c>
      <c r="W789" t="s">
        <v>262</v>
      </c>
      <c r="X789">
        <v>-36.104999999999997</v>
      </c>
      <c r="Y789">
        <v>146.85300000000001</v>
      </c>
      <c r="Z789">
        <v>170</v>
      </c>
    </row>
    <row r="790" spans="1:26" x14ac:dyDescent="0.3">
      <c r="A790" t="s">
        <v>21</v>
      </c>
      <c r="B790" t="s">
        <v>2602</v>
      </c>
      <c r="C790" t="s">
        <v>270</v>
      </c>
      <c r="D790" t="s">
        <v>2603</v>
      </c>
      <c r="E790">
        <v>3501</v>
      </c>
      <c r="H790" t="s">
        <v>2433</v>
      </c>
      <c r="I790" t="s">
        <v>1343</v>
      </c>
      <c r="J790" t="s">
        <v>297</v>
      </c>
      <c r="K790">
        <v>2104</v>
      </c>
      <c r="L790" t="s">
        <v>276</v>
      </c>
      <c r="M790" t="s">
        <v>631</v>
      </c>
      <c r="N790" t="s">
        <v>276</v>
      </c>
      <c r="P790" t="s">
        <v>260</v>
      </c>
      <c r="Q790" t="s">
        <v>260</v>
      </c>
      <c r="R790" t="s">
        <v>261</v>
      </c>
      <c r="S790" t="s">
        <v>21</v>
      </c>
      <c r="T790">
        <v>100</v>
      </c>
      <c r="W790" t="s">
        <v>262</v>
      </c>
      <c r="X790">
        <v>-37.008299999999998</v>
      </c>
      <c r="Y790">
        <v>174.87049999999999</v>
      </c>
    </row>
    <row r="791" spans="1:26" x14ac:dyDescent="0.3">
      <c r="A791" t="s">
        <v>21</v>
      </c>
      <c r="B791" t="s">
        <v>2604</v>
      </c>
      <c r="C791" t="s">
        <v>270</v>
      </c>
      <c r="D791" t="s">
        <v>2605</v>
      </c>
      <c r="E791" t="s">
        <v>2605</v>
      </c>
      <c r="F791" t="s">
        <v>2605</v>
      </c>
      <c r="M791" t="s">
        <v>411</v>
      </c>
      <c r="N791" t="s">
        <v>259</v>
      </c>
      <c r="P791" t="s">
        <v>260</v>
      </c>
      <c r="Q791" t="s">
        <v>260</v>
      </c>
      <c r="R791" t="s">
        <v>283</v>
      </c>
      <c r="S791" t="s">
        <v>21</v>
      </c>
      <c r="T791">
        <v>100</v>
      </c>
      <c r="W791" t="s">
        <v>262</v>
      </c>
    </row>
    <row r="792" spans="1:26" x14ac:dyDescent="0.3">
      <c r="A792" t="s">
        <v>21</v>
      </c>
      <c r="B792" t="s">
        <v>2606</v>
      </c>
      <c r="C792" t="s">
        <v>270</v>
      </c>
      <c r="D792" t="s">
        <v>2607</v>
      </c>
      <c r="E792">
        <v>1939</v>
      </c>
      <c r="M792" t="s">
        <v>297</v>
      </c>
      <c r="N792" t="s">
        <v>276</v>
      </c>
      <c r="P792" t="s">
        <v>260</v>
      </c>
      <c r="Q792" t="s">
        <v>260</v>
      </c>
      <c r="R792" t="s">
        <v>261</v>
      </c>
      <c r="S792" t="s">
        <v>21</v>
      </c>
      <c r="T792">
        <v>100</v>
      </c>
      <c r="W792" t="s">
        <v>262</v>
      </c>
    </row>
    <row r="793" spans="1:26" x14ac:dyDescent="0.3">
      <c r="A793" t="s">
        <v>21</v>
      </c>
      <c r="B793" t="s">
        <v>2608</v>
      </c>
      <c r="C793" t="s">
        <v>270</v>
      </c>
      <c r="D793" t="s">
        <v>2609</v>
      </c>
      <c r="E793">
        <v>10130</v>
      </c>
      <c r="G793">
        <v>10.130000000000001</v>
      </c>
      <c r="H793" t="s">
        <v>2433</v>
      </c>
      <c r="I793" t="s">
        <v>1343</v>
      </c>
      <c r="J793" t="s">
        <v>297</v>
      </c>
      <c r="K793">
        <v>2104</v>
      </c>
      <c r="L793" t="s">
        <v>276</v>
      </c>
      <c r="M793" t="s">
        <v>631</v>
      </c>
      <c r="N793" t="s">
        <v>276</v>
      </c>
      <c r="P793" t="s">
        <v>260</v>
      </c>
      <c r="Q793" t="s">
        <v>260</v>
      </c>
      <c r="R793" t="s">
        <v>268</v>
      </c>
      <c r="S793" t="s">
        <v>21</v>
      </c>
      <c r="T793">
        <v>100</v>
      </c>
      <c r="W793" t="s">
        <v>262</v>
      </c>
      <c r="X793">
        <v>-37.008299999999998</v>
      </c>
      <c r="Y793">
        <v>174.87049999999999</v>
      </c>
    </row>
    <row r="794" spans="1:26" x14ac:dyDescent="0.3">
      <c r="A794" t="s">
        <v>21</v>
      </c>
      <c r="B794" t="s">
        <v>2610</v>
      </c>
      <c r="C794" t="s">
        <v>270</v>
      </c>
      <c r="D794" t="s">
        <v>2611</v>
      </c>
      <c r="E794">
        <v>55904</v>
      </c>
      <c r="M794" t="s">
        <v>297</v>
      </c>
      <c r="N794" t="s">
        <v>276</v>
      </c>
      <c r="P794" t="s">
        <v>260</v>
      </c>
      <c r="Q794" t="s">
        <v>260</v>
      </c>
      <c r="R794" t="s">
        <v>261</v>
      </c>
      <c r="S794" t="s">
        <v>21</v>
      </c>
      <c r="T794">
        <v>100</v>
      </c>
      <c r="W794" t="s">
        <v>262</v>
      </c>
    </row>
    <row r="795" spans="1:26" x14ac:dyDescent="0.3">
      <c r="A795" t="s">
        <v>21</v>
      </c>
      <c r="B795" t="s">
        <v>2612</v>
      </c>
      <c r="C795" t="s">
        <v>270</v>
      </c>
      <c r="D795" t="s">
        <v>2613</v>
      </c>
      <c r="E795">
        <v>55962</v>
      </c>
      <c r="M795" t="s">
        <v>631</v>
      </c>
      <c r="N795" t="s">
        <v>276</v>
      </c>
      <c r="P795" t="s">
        <v>260</v>
      </c>
      <c r="Q795" t="s">
        <v>260</v>
      </c>
      <c r="R795" t="s">
        <v>261</v>
      </c>
      <c r="S795" t="s">
        <v>21</v>
      </c>
      <c r="T795">
        <v>100</v>
      </c>
      <c r="W795" t="s">
        <v>262</v>
      </c>
    </row>
    <row r="796" spans="1:26" x14ac:dyDescent="0.3">
      <c r="A796" t="s">
        <v>21</v>
      </c>
      <c r="B796" t="s">
        <v>2614</v>
      </c>
      <c r="C796" t="s">
        <v>270</v>
      </c>
      <c r="D796" t="s">
        <v>2337</v>
      </c>
      <c r="E796">
        <v>55907</v>
      </c>
      <c r="M796" t="s">
        <v>631</v>
      </c>
      <c r="N796" t="s">
        <v>276</v>
      </c>
      <c r="P796" t="s">
        <v>260</v>
      </c>
      <c r="Q796" t="s">
        <v>260</v>
      </c>
      <c r="R796" t="s">
        <v>261</v>
      </c>
      <c r="S796" t="s">
        <v>21</v>
      </c>
      <c r="T796">
        <v>100</v>
      </c>
      <c r="W796" t="s">
        <v>262</v>
      </c>
    </row>
    <row r="797" spans="1:26" x14ac:dyDescent="0.3">
      <c r="A797" t="s">
        <v>21</v>
      </c>
      <c r="B797" t="s">
        <v>2615</v>
      </c>
      <c r="C797" t="s">
        <v>270</v>
      </c>
      <c r="D797" t="s">
        <v>2616</v>
      </c>
      <c r="E797">
        <v>54729</v>
      </c>
      <c r="F797">
        <v>54729</v>
      </c>
      <c r="G797" t="s">
        <v>2617</v>
      </c>
      <c r="M797" t="s">
        <v>297</v>
      </c>
      <c r="N797" t="s">
        <v>276</v>
      </c>
      <c r="P797" t="s">
        <v>260</v>
      </c>
      <c r="Q797" t="s">
        <v>260</v>
      </c>
      <c r="R797" t="s">
        <v>261</v>
      </c>
      <c r="S797" t="s">
        <v>21</v>
      </c>
      <c r="T797">
        <v>100</v>
      </c>
      <c r="W797" t="s">
        <v>262</v>
      </c>
    </row>
    <row r="798" spans="1:26" x14ac:dyDescent="0.3">
      <c r="A798" t="s">
        <v>21</v>
      </c>
      <c r="B798" t="s">
        <v>2618</v>
      </c>
      <c r="C798" t="s">
        <v>270</v>
      </c>
      <c r="D798" t="s">
        <v>2619</v>
      </c>
      <c r="E798">
        <v>550431</v>
      </c>
      <c r="H798" t="s">
        <v>2620</v>
      </c>
      <c r="I798" t="s">
        <v>2621</v>
      </c>
      <c r="J798" t="s">
        <v>2622</v>
      </c>
      <c r="K798">
        <v>1081</v>
      </c>
      <c r="L798" t="s">
        <v>276</v>
      </c>
      <c r="M798" t="s">
        <v>2623</v>
      </c>
      <c r="N798" t="s">
        <v>276</v>
      </c>
      <c r="P798" t="s">
        <v>260</v>
      </c>
      <c r="Q798" t="s">
        <v>260</v>
      </c>
      <c r="R798" t="s">
        <v>261</v>
      </c>
      <c r="S798" t="s">
        <v>21</v>
      </c>
      <c r="T798">
        <v>100</v>
      </c>
      <c r="W798" t="s">
        <v>262</v>
      </c>
      <c r="X798">
        <v>-36.794899999999998</v>
      </c>
      <c r="Y798">
        <v>175.04320000000001</v>
      </c>
    </row>
    <row r="799" spans="1:26" x14ac:dyDescent="0.3">
      <c r="A799" t="s">
        <v>21</v>
      </c>
      <c r="B799" t="s">
        <v>2624</v>
      </c>
      <c r="C799" t="s">
        <v>270</v>
      </c>
      <c r="D799" t="s">
        <v>2625</v>
      </c>
      <c r="E799" t="s">
        <v>2625</v>
      </c>
      <c r="M799" t="s">
        <v>411</v>
      </c>
      <c r="N799" t="s">
        <v>259</v>
      </c>
      <c r="P799" t="s">
        <v>260</v>
      </c>
      <c r="Q799" t="s">
        <v>260</v>
      </c>
      <c r="R799" t="s">
        <v>283</v>
      </c>
      <c r="S799" t="s">
        <v>21</v>
      </c>
      <c r="T799">
        <v>100</v>
      </c>
      <c r="W799" t="s">
        <v>262</v>
      </c>
    </row>
    <row r="800" spans="1:26" x14ac:dyDescent="0.3">
      <c r="A800" t="s">
        <v>21</v>
      </c>
      <c r="B800" t="s">
        <v>2626</v>
      </c>
      <c r="C800" t="s">
        <v>299</v>
      </c>
      <c r="D800" t="s">
        <v>1791</v>
      </c>
      <c r="E800">
        <v>3002</v>
      </c>
      <c r="F800">
        <v>11</v>
      </c>
      <c r="H800" t="s">
        <v>2627</v>
      </c>
      <c r="I800" t="s">
        <v>2626</v>
      </c>
      <c r="J800" t="s">
        <v>366</v>
      </c>
      <c r="K800">
        <v>2144</v>
      </c>
      <c r="L800" t="s">
        <v>259</v>
      </c>
      <c r="M800" t="s">
        <v>312</v>
      </c>
      <c r="N800" t="s">
        <v>259</v>
      </c>
      <c r="P800" t="s">
        <v>260</v>
      </c>
      <c r="Q800" t="s">
        <v>260</v>
      </c>
      <c r="R800" t="s">
        <v>513</v>
      </c>
      <c r="S800" t="s">
        <v>21</v>
      </c>
      <c r="T800">
        <v>100</v>
      </c>
      <c r="W800" t="s">
        <v>262</v>
      </c>
      <c r="X800">
        <v>-33.845999999999997</v>
      </c>
      <c r="Y800">
        <v>151.02199999999999</v>
      </c>
      <c r="Z800">
        <v>239</v>
      </c>
    </row>
    <row r="801" spans="1:26" x14ac:dyDescent="0.3">
      <c r="A801" t="s">
        <v>21</v>
      </c>
      <c r="B801" t="s">
        <v>2628</v>
      </c>
      <c r="C801" t="s">
        <v>270</v>
      </c>
      <c r="D801" t="s">
        <v>1939</v>
      </c>
      <c r="E801">
        <v>55924</v>
      </c>
      <c r="H801" t="s">
        <v>2433</v>
      </c>
      <c r="I801" t="s">
        <v>1343</v>
      </c>
      <c r="J801" t="s">
        <v>297</v>
      </c>
      <c r="K801">
        <v>2104</v>
      </c>
      <c r="L801" t="s">
        <v>276</v>
      </c>
      <c r="M801" t="s">
        <v>631</v>
      </c>
      <c r="N801" t="s">
        <v>276</v>
      </c>
      <c r="P801" t="s">
        <v>260</v>
      </c>
      <c r="Q801" t="s">
        <v>260</v>
      </c>
      <c r="R801" t="s">
        <v>261</v>
      </c>
      <c r="S801" t="s">
        <v>21</v>
      </c>
      <c r="T801">
        <v>100</v>
      </c>
      <c r="W801" t="s">
        <v>262</v>
      </c>
      <c r="X801">
        <v>-37.008299999999998</v>
      </c>
      <c r="Y801">
        <v>174.87049999999999</v>
      </c>
    </row>
    <row r="802" spans="1:26" x14ac:dyDescent="0.3">
      <c r="A802" t="s">
        <v>21</v>
      </c>
      <c r="B802" t="s">
        <v>2629</v>
      </c>
      <c r="C802" t="s">
        <v>2630</v>
      </c>
      <c r="D802" t="s">
        <v>2631</v>
      </c>
      <c r="E802">
        <v>91407</v>
      </c>
      <c r="G802" t="s">
        <v>2632</v>
      </c>
      <c r="H802" t="s">
        <v>2633</v>
      </c>
      <c r="I802" t="s">
        <v>297</v>
      </c>
      <c r="M802" t="s">
        <v>394</v>
      </c>
      <c r="N802" t="s">
        <v>276</v>
      </c>
      <c r="P802" t="s">
        <v>260</v>
      </c>
      <c r="Q802" t="s">
        <v>260</v>
      </c>
      <c r="R802" t="s">
        <v>293</v>
      </c>
      <c r="S802" t="s">
        <v>21</v>
      </c>
      <c r="T802">
        <v>100</v>
      </c>
      <c r="W802" t="s">
        <v>262</v>
      </c>
    </row>
    <row r="803" spans="1:26" x14ac:dyDescent="0.3">
      <c r="A803" t="s">
        <v>21</v>
      </c>
      <c r="B803" t="s">
        <v>2634</v>
      </c>
      <c r="C803" t="s">
        <v>270</v>
      </c>
      <c r="D803" t="s">
        <v>2635</v>
      </c>
      <c r="E803" t="s">
        <v>2635</v>
      </c>
      <c r="M803" t="s">
        <v>394</v>
      </c>
      <c r="N803" t="s">
        <v>276</v>
      </c>
      <c r="P803" t="s">
        <v>260</v>
      </c>
      <c r="Q803" t="s">
        <v>260</v>
      </c>
      <c r="R803" t="s">
        <v>283</v>
      </c>
      <c r="S803" t="s">
        <v>21</v>
      </c>
      <c r="T803">
        <v>100</v>
      </c>
      <c r="W803" t="s">
        <v>262</v>
      </c>
    </row>
    <row r="804" spans="1:26" x14ac:dyDescent="0.3">
      <c r="A804" t="s">
        <v>21</v>
      </c>
      <c r="B804" t="s">
        <v>2636</v>
      </c>
      <c r="C804" t="s">
        <v>270</v>
      </c>
      <c r="D804" t="s">
        <v>1066</v>
      </c>
      <c r="E804">
        <v>3521</v>
      </c>
      <c r="H804" t="s">
        <v>2433</v>
      </c>
      <c r="I804" t="s">
        <v>1343</v>
      </c>
      <c r="J804" t="s">
        <v>297</v>
      </c>
      <c r="K804">
        <v>2104</v>
      </c>
      <c r="L804" t="s">
        <v>276</v>
      </c>
      <c r="M804" t="s">
        <v>631</v>
      </c>
      <c r="N804" t="s">
        <v>276</v>
      </c>
      <c r="P804" t="s">
        <v>260</v>
      </c>
      <c r="Q804" t="s">
        <v>260</v>
      </c>
      <c r="R804" t="s">
        <v>261</v>
      </c>
      <c r="S804" t="s">
        <v>21</v>
      </c>
      <c r="T804">
        <v>100</v>
      </c>
      <c r="W804" t="s">
        <v>262</v>
      </c>
      <c r="X804">
        <v>-37.008299999999998</v>
      </c>
      <c r="Y804">
        <v>174.87049999999999</v>
      </c>
    </row>
    <row r="805" spans="1:26" x14ac:dyDescent="0.3">
      <c r="A805" t="s">
        <v>21</v>
      </c>
      <c r="B805" t="s">
        <v>2637</v>
      </c>
      <c r="C805" t="s">
        <v>270</v>
      </c>
      <c r="D805" t="s">
        <v>2638</v>
      </c>
      <c r="E805">
        <v>10242</v>
      </c>
      <c r="G805">
        <v>10.242000000000001</v>
      </c>
      <c r="H805" t="s">
        <v>2433</v>
      </c>
      <c r="I805" t="s">
        <v>1343</v>
      </c>
      <c r="J805" t="s">
        <v>297</v>
      </c>
      <c r="K805">
        <v>2104</v>
      </c>
      <c r="L805" t="s">
        <v>276</v>
      </c>
      <c r="M805" t="s">
        <v>631</v>
      </c>
      <c r="N805" t="s">
        <v>276</v>
      </c>
      <c r="P805" t="s">
        <v>260</v>
      </c>
      <c r="Q805" t="s">
        <v>260</v>
      </c>
      <c r="R805" t="s">
        <v>283</v>
      </c>
      <c r="S805" t="s">
        <v>21</v>
      </c>
      <c r="T805">
        <v>100</v>
      </c>
      <c r="W805" t="s">
        <v>262</v>
      </c>
      <c r="X805">
        <v>-37.008299999999998</v>
      </c>
      <c r="Y805">
        <v>174.87049999999999</v>
      </c>
    </row>
    <row r="806" spans="1:26" x14ac:dyDescent="0.3">
      <c r="A806" t="s">
        <v>21</v>
      </c>
      <c r="B806" t="s">
        <v>2639</v>
      </c>
      <c r="C806" t="s">
        <v>270</v>
      </c>
      <c r="D806" t="s">
        <v>2640</v>
      </c>
      <c r="E806">
        <v>66207</v>
      </c>
      <c r="H806" t="s">
        <v>2433</v>
      </c>
      <c r="I806" t="s">
        <v>1343</v>
      </c>
      <c r="J806" t="s">
        <v>297</v>
      </c>
      <c r="K806">
        <v>2104</v>
      </c>
      <c r="L806" t="s">
        <v>276</v>
      </c>
      <c r="M806" t="s">
        <v>631</v>
      </c>
      <c r="N806" t="s">
        <v>276</v>
      </c>
      <c r="P806" t="s">
        <v>260</v>
      </c>
      <c r="Q806" t="s">
        <v>260</v>
      </c>
      <c r="R806" t="s">
        <v>261</v>
      </c>
      <c r="S806" t="s">
        <v>21</v>
      </c>
      <c r="T806">
        <v>100</v>
      </c>
      <c r="W806" t="s">
        <v>262</v>
      </c>
      <c r="X806">
        <v>-37.008299999999998</v>
      </c>
      <c r="Y806">
        <v>174.87049999999999</v>
      </c>
    </row>
    <row r="807" spans="1:26" x14ac:dyDescent="0.3">
      <c r="A807" t="s">
        <v>21</v>
      </c>
      <c r="B807" t="s">
        <v>2641</v>
      </c>
      <c r="C807" t="s">
        <v>270</v>
      </c>
      <c r="D807" t="s">
        <v>2642</v>
      </c>
      <c r="E807" t="s">
        <v>2642</v>
      </c>
      <c r="M807" t="s">
        <v>394</v>
      </c>
      <c r="N807" t="s">
        <v>276</v>
      </c>
      <c r="P807" t="s">
        <v>260</v>
      </c>
      <c r="Q807" t="s">
        <v>260</v>
      </c>
      <c r="R807" t="s">
        <v>283</v>
      </c>
      <c r="S807" t="s">
        <v>21</v>
      </c>
      <c r="T807">
        <v>100</v>
      </c>
      <c r="W807" t="s">
        <v>262</v>
      </c>
    </row>
    <row r="808" spans="1:26" x14ac:dyDescent="0.3">
      <c r="A808" t="s">
        <v>21</v>
      </c>
      <c r="B808" t="s">
        <v>2643</v>
      </c>
      <c r="C808" t="s">
        <v>270</v>
      </c>
      <c r="D808" t="s">
        <v>2644</v>
      </c>
      <c r="E808">
        <v>10236</v>
      </c>
      <c r="G808">
        <v>10.236000000000001</v>
      </c>
      <c r="H808" t="s">
        <v>2433</v>
      </c>
      <c r="I808" t="s">
        <v>1343</v>
      </c>
      <c r="J808" t="s">
        <v>297</v>
      </c>
      <c r="K808">
        <v>2104</v>
      </c>
      <c r="L808" t="s">
        <v>276</v>
      </c>
      <c r="M808" t="s">
        <v>631</v>
      </c>
      <c r="N808" t="s">
        <v>276</v>
      </c>
      <c r="P808" t="s">
        <v>260</v>
      </c>
      <c r="Q808" t="s">
        <v>260</v>
      </c>
      <c r="R808" t="s">
        <v>283</v>
      </c>
      <c r="S808" t="s">
        <v>21</v>
      </c>
      <c r="T808">
        <v>100</v>
      </c>
      <c r="W808" t="s">
        <v>262</v>
      </c>
      <c r="X808">
        <v>-37.008299999999998</v>
      </c>
      <c r="Y808">
        <v>174.87049999999999</v>
      </c>
    </row>
    <row r="809" spans="1:26" ht="330" customHeight="1" x14ac:dyDescent="0.3">
      <c r="A809" t="s">
        <v>21</v>
      </c>
      <c r="B809" t="s">
        <v>2645</v>
      </c>
      <c r="C809" t="s">
        <v>270</v>
      </c>
      <c r="D809" t="s">
        <v>2646</v>
      </c>
      <c r="E809">
        <v>30</v>
      </c>
      <c r="G809" s="10" t="s">
        <v>2647</v>
      </c>
      <c r="H809" t="s">
        <v>2648</v>
      </c>
      <c r="I809" t="s">
        <v>2649</v>
      </c>
      <c r="J809" t="s">
        <v>335</v>
      </c>
      <c r="K809">
        <v>3140</v>
      </c>
      <c r="L809" t="s">
        <v>259</v>
      </c>
      <c r="M809" t="s">
        <v>2650</v>
      </c>
      <c r="N809" t="s">
        <v>259</v>
      </c>
      <c r="P809" t="s">
        <v>260</v>
      </c>
      <c r="Q809" t="s">
        <v>260</v>
      </c>
      <c r="R809" t="s">
        <v>283</v>
      </c>
      <c r="S809" t="s">
        <v>21</v>
      </c>
      <c r="T809">
        <v>100</v>
      </c>
      <c r="W809" t="s">
        <v>262</v>
      </c>
      <c r="X809">
        <v>-37.761484000000003</v>
      </c>
      <c r="Y809">
        <v>145.34730099999999</v>
      </c>
      <c r="Z809">
        <v>263</v>
      </c>
    </row>
    <row r="810" spans="1:26" x14ac:dyDescent="0.3">
      <c r="A810" t="s">
        <v>21</v>
      </c>
      <c r="B810" t="s">
        <v>2651</v>
      </c>
      <c r="C810" t="s">
        <v>270</v>
      </c>
      <c r="D810" t="s">
        <v>2652</v>
      </c>
      <c r="E810" t="s">
        <v>2652</v>
      </c>
      <c r="M810" t="s">
        <v>411</v>
      </c>
      <c r="N810" t="s">
        <v>259</v>
      </c>
      <c r="P810" t="s">
        <v>260</v>
      </c>
      <c r="Q810" t="s">
        <v>260</v>
      </c>
      <c r="R810" t="s">
        <v>283</v>
      </c>
      <c r="S810" t="s">
        <v>21</v>
      </c>
      <c r="T810">
        <v>100</v>
      </c>
      <c r="W810" t="s">
        <v>262</v>
      </c>
    </row>
    <row r="811" spans="1:26" x14ac:dyDescent="0.3">
      <c r="A811" t="s">
        <v>21</v>
      </c>
      <c r="B811" t="s">
        <v>2653</v>
      </c>
      <c r="C811" t="s">
        <v>270</v>
      </c>
      <c r="D811" t="s">
        <v>2646</v>
      </c>
      <c r="E811">
        <v>29</v>
      </c>
      <c r="G811" t="s">
        <v>2654</v>
      </c>
      <c r="H811" t="s">
        <v>2655</v>
      </c>
      <c r="I811" t="s">
        <v>862</v>
      </c>
      <c r="J811" t="s">
        <v>335</v>
      </c>
      <c r="K811">
        <v>3250</v>
      </c>
      <c r="L811" t="s">
        <v>259</v>
      </c>
      <c r="M811" t="s">
        <v>282</v>
      </c>
      <c r="N811" t="s">
        <v>259</v>
      </c>
      <c r="P811" t="s">
        <v>260</v>
      </c>
      <c r="Q811" t="s">
        <v>260</v>
      </c>
      <c r="R811" t="s">
        <v>283</v>
      </c>
      <c r="S811" t="s">
        <v>21</v>
      </c>
      <c r="T811">
        <v>100</v>
      </c>
      <c r="W811" t="s">
        <v>262</v>
      </c>
      <c r="X811">
        <v>-38.331448999999999</v>
      </c>
      <c r="Y811">
        <v>143.54865100000001</v>
      </c>
      <c r="Z811">
        <v>270</v>
      </c>
    </row>
    <row r="812" spans="1:26" x14ac:dyDescent="0.3">
      <c r="A812" t="s">
        <v>21</v>
      </c>
      <c r="B812" t="s">
        <v>2656</v>
      </c>
      <c r="C812" t="s">
        <v>278</v>
      </c>
      <c r="D812" t="s">
        <v>2657</v>
      </c>
      <c r="E812">
        <v>24135002</v>
      </c>
      <c r="M812" t="s">
        <v>282</v>
      </c>
      <c r="N812" t="s">
        <v>259</v>
      </c>
      <c r="P812" t="s">
        <v>260</v>
      </c>
      <c r="Q812" t="s">
        <v>260</v>
      </c>
      <c r="R812" t="s">
        <v>283</v>
      </c>
      <c r="S812" t="s">
        <v>21</v>
      </c>
      <c r="T812">
        <v>100</v>
      </c>
      <c r="U812" s="9">
        <v>45413</v>
      </c>
      <c r="W812" t="s">
        <v>262</v>
      </c>
    </row>
    <row r="813" spans="1:26" x14ac:dyDescent="0.3">
      <c r="A813" t="s">
        <v>21</v>
      </c>
      <c r="B813" t="s">
        <v>2658</v>
      </c>
      <c r="C813" t="s">
        <v>270</v>
      </c>
      <c r="D813" t="s">
        <v>2659</v>
      </c>
      <c r="E813" t="s">
        <v>2659</v>
      </c>
      <c r="M813" t="s">
        <v>411</v>
      </c>
      <c r="N813" t="s">
        <v>259</v>
      </c>
      <c r="P813" t="s">
        <v>260</v>
      </c>
      <c r="Q813" t="s">
        <v>260</v>
      </c>
      <c r="R813" t="s">
        <v>283</v>
      </c>
      <c r="S813" t="s">
        <v>21</v>
      </c>
      <c r="T813">
        <v>100</v>
      </c>
      <c r="W813" t="s">
        <v>262</v>
      </c>
    </row>
    <row r="814" spans="1:26" x14ac:dyDescent="0.3">
      <c r="A814" t="s">
        <v>21</v>
      </c>
      <c r="B814" t="s">
        <v>2660</v>
      </c>
      <c r="C814" t="s">
        <v>299</v>
      </c>
      <c r="D814" t="s">
        <v>2646</v>
      </c>
      <c r="E814" t="s">
        <v>2661</v>
      </c>
      <c r="H814" t="s">
        <v>2662</v>
      </c>
      <c r="I814" t="s">
        <v>2663</v>
      </c>
      <c r="J814" t="s">
        <v>282</v>
      </c>
      <c r="K814">
        <v>3714</v>
      </c>
      <c r="M814" t="s">
        <v>282</v>
      </c>
      <c r="N814" t="s">
        <v>259</v>
      </c>
      <c r="P814" t="s">
        <v>260</v>
      </c>
      <c r="Q814" t="s">
        <v>260</v>
      </c>
      <c r="R814" t="s">
        <v>283</v>
      </c>
      <c r="S814" t="s">
        <v>21</v>
      </c>
      <c r="T814">
        <v>100</v>
      </c>
      <c r="W814" t="s">
        <v>262</v>
      </c>
    </row>
    <row r="815" spans="1:26" x14ac:dyDescent="0.3">
      <c r="A815" t="s">
        <v>21</v>
      </c>
      <c r="B815" t="s">
        <v>2664</v>
      </c>
      <c r="C815" t="s">
        <v>299</v>
      </c>
      <c r="D815" t="s">
        <v>2646</v>
      </c>
      <c r="E815" t="s">
        <v>2665</v>
      </c>
      <c r="H815" t="s">
        <v>2666</v>
      </c>
      <c r="I815" t="s">
        <v>2667</v>
      </c>
      <c r="J815" t="s">
        <v>282</v>
      </c>
      <c r="K815">
        <v>3875</v>
      </c>
      <c r="M815" t="s">
        <v>282</v>
      </c>
      <c r="N815" t="s">
        <v>259</v>
      </c>
      <c r="P815" t="s">
        <v>260</v>
      </c>
      <c r="Q815" t="s">
        <v>260</v>
      </c>
      <c r="R815" t="s">
        <v>283</v>
      </c>
      <c r="S815" t="s">
        <v>21</v>
      </c>
      <c r="T815">
        <v>100</v>
      </c>
      <c r="W815" t="s">
        <v>262</v>
      </c>
    </row>
    <row r="816" spans="1:26" x14ac:dyDescent="0.3">
      <c r="A816" t="s">
        <v>21</v>
      </c>
      <c r="B816" t="s">
        <v>2668</v>
      </c>
      <c r="C816" t="s">
        <v>299</v>
      </c>
      <c r="D816" t="s">
        <v>2646</v>
      </c>
      <c r="E816" t="s">
        <v>2669</v>
      </c>
      <c r="H816" t="s">
        <v>2670</v>
      </c>
      <c r="I816" t="s">
        <v>2671</v>
      </c>
      <c r="J816" t="s">
        <v>282</v>
      </c>
      <c r="K816">
        <v>3722</v>
      </c>
      <c r="M816" t="s">
        <v>282</v>
      </c>
      <c r="N816" t="s">
        <v>259</v>
      </c>
      <c r="P816" t="s">
        <v>260</v>
      </c>
      <c r="Q816" t="s">
        <v>260</v>
      </c>
      <c r="R816" t="s">
        <v>283</v>
      </c>
      <c r="S816" t="s">
        <v>21</v>
      </c>
      <c r="T816">
        <v>100</v>
      </c>
      <c r="W816" t="s">
        <v>262</v>
      </c>
    </row>
    <row r="817" spans="1:26" x14ac:dyDescent="0.3">
      <c r="A817" t="s">
        <v>21</v>
      </c>
      <c r="B817" t="s">
        <v>2672</v>
      </c>
      <c r="C817" t="s">
        <v>299</v>
      </c>
      <c r="D817" t="s">
        <v>2646</v>
      </c>
      <c r="E817" t="s">
        <v>2673</v>
      </c>
      <c r="H817" t="s">
        <v>2674</v>
      </c>
      <c r="I817" t="s">
        <v>2675</v>
      </c>
      <c r="J817" t="s">
        <v>282</v>
      </c>
      <c r="K817">
        <v>3737</v>
      </c>
      <c r="M817" t="s">
        <v>282</v>
      </c>
      <c r="N817" t="s">
        <v>259</v>
      </c>
      <c r="P817" t="s">
        <v>260</v>
      </c>
      <c r="Q817" t="s">
        <v>260</v>
      </c>
      <c r="R817" t="s">
        <v>283</v>
      </c>
      <c r="S817" t="s">
        <v>21</v>
      </c>
      <c r="T817">
        <v>100</v>
      </c>
      <c r="W817" t="s">
        <v>262</v>
      </c>
    </row>
    <row r="818" spans="1:26" x14ac:dyDescent="0.3">
      <c r="A818" t="s">
        <v>21</v>
      </c>
      <c r="B818" t="s">
        <v>2676</v>
      </c>
      <c r="C818" t="s">
        <v>299</v>
      </c>
      <c r="D818" t="s">
        <v>2646</v>
      </c>
      <c r="E818" t="s">
        <v>2677</v>
      </c>
      <c r="H818" t="s">
        <v>2678</v>
      </c>
      <c r="I818" t="s">
        <v>2679</v>
      </c>
      <c r="J818" t="s">
        <v>282</v>
      </c>
      <c r="K818">
        <v>3850</v>
      </c>
      <c r="M818" t="s">
        <v>282</v>
      </c>
      <c r="N818" t="s">
        <v>259</v>
      </c>
      <c r="P818" t="s">
        <v>260</v>
      </c>
      <c r="Q818" t="s">
        <v>260</v>
      </c>
      <c r="R818" t="s">
        <v>283</v>
      </c>
      <c r="S818" t="s">
        <v>21</v>
      </c>
      <c r="T818">
        <v>100</v>
      </c>
      <c r="W818" t="s">
        <v>262</v>
      </c>
    </row>
    <row r="819" spans="1:26" x14ac:dyDescent="0.3">
      <c r="A819" t="s">
        <v>21</v>
      </c>
      <c r="B819" t="s">
        <v>2680</v>
      </c>
      <c r="C819" t="s">
        <v>299</v>
      </c>
      <c r="D819" t="s">
        <v>2646</v>
      </c>
      <c r="E819" t="s">
        <v>2681</v>
      </c>
      <c r="H819" t="s">
        <v>2682</v>
      </c>
      <c r="I819" t="s">
        <v>2683</v>
      </c>
      <c r="J819" t="s">
        <v>282</v>
      </c>
      <c r="K819">
        <v>3074</v>
      </c>
      <c r="M819" t="s">
        <v>282</v>
      </c>
      <c r="N819" t="s">
        <v>259</v>
      </c>
      <c r="P819" t="s">
        <v>260</v>
      </c>
      <c r="Q819" t="s">
        <v>260</v>
      </c>
      <c r="R819" t="s">
        <v>283</v>
      </c>
      <c r="S819" t="s">
        <v>21</v>
      </c>
      <c r="T819">
        <v>100</v>
      </c>
      <c r="W819" t="s">
        <v>262</v>
      </c>
    </row>
    <row r="820" spans="1:26" x14ac:dyDescent="0.3">
      <c r="A820" t="s">
        <v>21</v>
      </c>
      <c r="B820" t="s">
        <v>2684</v>
      </c>
      <c r="C820" t="s">
        <v>299</v>
      </c>
      <c r="D820" t="s">
        <v>2646</v>
      </c>
      <c r="E820" t="s">
        <v>2685</v>
      </c>
      <c r="H820" t="s">
        <v>2686</v>
      </c>
      <c r="I820" t="s">
        <v>2588</v>
      </c>
      <c r="J820" t="s">
        <v>282</v>
      </c>
      <c r="K820">
        <v>3844</v>
      </c>
      <c r="M820" t="s">
        <v>282</v>
      </c>
      <c r="N820" t="s">
        <v>259</v>
      </c>
      <c r="P820" t="s">
        <v>260</v>
      </c>
      <c r="Q820" t="s">
        <v>260</v>
      </c>
      <c r="R820" t="s">
        <v>283</v>
      </c>
      <c r="S820" t="s">
        <v>21</v>
      </c>
      <c r="T820">
        <v>100</v>
      </c>
      <c r="W820" t="s">
        <v>262</v>
      </c>
    </row>
    <row r="821" spans="1:26" x14ac:dyDescent="0.3">
      <c r="A821" t="s">
        <v>21</v>
      </c>
      <c r="B821" t="s">
        <v>2687</v>
      </c>
      <c r="C821" t="s">
        <v>299</v>
      </c>
      <c r="D821" t="s">
        <v>2646</v>
      </c>
      <c r="E821" t="s">
        <v>2688</v>
      </c>
      <c r="H821" t="s">
        <v>2689</v>
      </c>
      <c r="I821" t="s">
        <v>2690</v>
      </c>
      <c r="J821" t="s">
        <v>282</v>
      </c>
      <c r="K821">
        <v>3676</v>
      </c>
      <c r="M821" t="s">
        <v>282</v>
      </c>
      <c r="N821" t="s">
        <v>259</v>
      </c>
      <c r="P821" t="s">
        <v>260</v>
      </c>
      <c r="Q821" t="s">
        <v>260</v>
      </c>
      <c r="R821" t="s">
        <v>283</v>
      </c>
      <c r="S821" t="s">
        <v>21</v>
      </c>
      <c r="T821">
        <v>100</v>
      </c>
      <c r="W821" t="s">
        <v>262</v>
      </c>
    </row>
    <row r="822" spans="1:26" x14ac:dyDescent="0.3">
      <c r="A822" t="s">
        <v>21</v>
      </c>
      <c r="B822" t="s">
        <v>2691</v>
      </c>
      <c r="C822" t="s">
        <v>299</v>
      </c>
      <c r="D822" t="s">
        <v>2646</v>
      </c>
      <c r="E822" t="s">
        <v>2692</v>
      </c>
      <c r="H822" t="s">
        <v>2693</v>
      </c>
      <c r="I822" t="s">
        <v>2601</v>
      </c>
      <c r="J822" t="s">
        <v>282</v>
      </c>
      <c r="K822">
        <v>3690</v>
      </c>
      <c r="M822" t="s">
        <v>282</v>
      </c>
      <c r="N822" t="s">
        <v>259</v>
      </c>
      <c r="P822" t="s">
        <v>260</v>
      </c>
      <c r="Q822" t="s">
        <v>260</v>
      </c>
      <c r="R822" t="s">
        <v>283</v>
      </c>
      <c r="S822" t="s">
        <v>21</v>
      </c>
      <c r="T822">
        <v>100</v>
      </c>
      <c r="W822" t="s">
        <v>262</v>
      </c>
    </row>
    <row r="823" spans="1:26" x14ac:dyDescent="0.3">
      <c r="A823" t="s">
        <v>21</v>
      </c>
      <c r="B823" t="s">
        <v>2694</v>
      </c>
      <c r="C823" t="s">
        <v>299</v>
      </c>
      <c r="D823" t="s">
        <v>2646</v>
      </c>
      <c r="E823" t="s">
        <v>2695</v>
      </c>
      <c r="H823" t="s">
        <v>2696</v>
      </c>
      <c r="I823" t="s">
        <v>850</v>
      </c>
      <c r="J823" t="s">
        <v>282</v>
      </c>
      <c r="K823">
        <v>3377</v>
      </c>
      <c r="M823" t="s">
        <v>282</v>
      </c>
      <c r="N823" t="s">
        <v>259</v>
      </c>
      <c r="P823" t="s">
        <v>260</v>
      </c>
      <c r="Q823" t="s">
        <v>260</v>
      </c>
      <c r="R823" t="s">
        <v>283</v>
      </c>
      <c r="S823" t="s">
        <v>21</v>
      </c>
      <c r="T823">
        <v>100</v>
      </c>
      <c r="W823" t="s">
        <v>262</v>
      </c>
    </row>
    <row r="824" spans="1:26" x14ac:dyDescent="0.3">
      <c r="A824" t="s">
        <v>21</v>
      </c>
      <c r="B824" t="s">
        <v>2697</v>
      </c>
      <c r="C824" t="s">
        <v>299</v>
      </c>
      <c r="D824" t="s">
        <v>2646</v>
      </c>
      <c r="E824" t="s">
        <v>2698</v>
      </c>
      <c r="H824" t="s">
        <v>2699</v>
      </c>
      <c r="I824" t="s">
        <v>2700</v>
      </c>
      <c r="J824" t="s">
        <v>282</v>
      </c>
      <c r="K824">
        <v>3250</v>
      </c>
      <c r="M824" t="s">
        <v>282</v>
      </c>
      <c r="N824" t="s">
        <v>259</v>
      </c>
      <c r="P824" t="s">
        <v>260</v>
      </c>
      <c r="Q824" t="s">
        <v>260</v>
      </c>
      <c r="R824" t="s">
        <v>283</v>
      </c>
      <c r="S824" t="s">
        <v>21</v>
      </c>
      <c r="T824">
        <v>100</v>
      </c>
      <c r="W824" t="s">
        <v>262</v>
      </c>
    </row>
    <row r="825" spans="1:26" x14ac:dyDescent="0.3">
      <c r="A825" t="s">
        <v>21</v>
      </c>
      <c r="B825" t="s">
        <v>2701</v>
      </c>
      <c r="C825" t="s">
        <v>299</v>
      </c>
      <c r="D825" t="s">
        <v>2646</v>
      </c>
      <c r="E825" t="s">
        <v>2702</v>
      </c>
      <c r="H825" t="s">
        <v>2703</v>
      </c>
      <c r="I825" t="s">
        <v>2704</v>
      </c>
      <c r="J825" t="s">
        <v>282</v>
      </c>
      <c r="K825">
        <v>3219</v>
      </c>
      <c r="M825" t="s">
        <v>282</v>
      </c>
      <c r="N825" t="s">
        <v>259</v>
      </c>
      <c r="P825" t="s">
        <v>260</v>
      </c>
      <c r="Q825" t="s">
        <v>260</v>
      </c>
      <c r="R825" t="s">
        <v>283</v>
      </c>
      <c r="S825" t="s">
        <v>21</v>
      </c>
      <c r="T825">
        <v>100</v>
      </c>
      <c r="W825" t="s">
        <v>262</v>
      </c>
    </row>
    <row r="826" spans="1:26" x14ac:dyDescent="0.3">
      <c r="A826" t="s">
        <v>21</v>
      </c>
      <c r="B826" t="s">
        <v>2705</v>
      </c>
      <c r="C826" t="s">
        <v>299</v>
      </c>
      <c r="D826" t="s">
        <v>2646</v>
      </c>
      <c r="E826" t="s">
        <v>2706</v>
      </c>
      <c r="H826" t="s">
        <v>2707</v>
      </c>
      <c r="I826" t="s">
        <v>2708</v>
      </c>
      <c r="J826" t="s">
        <v>282</v>
      </c>
      <c r="K826">
        <v>3550</v>
      </c>
      <c r="M826" t="s">
        <v>282</v>
      </c>
      <c r="N826" t="s">
        <v>259</v>
      </c>
      <c r="P826" t="s">
        <v>260</v>
      </c>
      <c r="Q826" t="s">
        <v>260</v>
      </c>
      <c r="R826" t="s">
        <v>283</v>
      </c>
      <c r="S826" t="s">
        <v>21</v>
      </c>
      <c r="T826">
        <v>100</v>
      </c>
      <c r="W826" t="s">
        <v>262</v>
      </c>
    </row>
    <row r="827" spans="1:26" x14ac:dyDescent="0.3">
      <c r="A827" t="s">
        <v>21</v>
      </c>
      <c r="B827" t="s">
        <v>2709</v>
      </c>
      <c r="C827" t="s">
        <v>299</v>
      </c>
      <c r="D827" t="s">
        <v>2646</v>
      </c>
      <c r="E827" t="s">
        <v>2710</v>
      </c>
      <c r="H827" t="s">
        <v>2711</v>
      </c>
      <c r="I827" t="s">
        <v>2712</v>
      </c>
      <c r="J827" t="s">
        <v>282</v>
      </c>
      <c r="K827">
        <v>3305</v>
      </c>
      <c r="M827" t="s">
        <v>282</v>
      </c>
      <c r="N827" t="s">
        <v>259</v>
      </c>
      <c r="P827" t="s">
        <v>260</v>
      </c>
      <c r="Q827" t="s">
        <v>260</v>
      </c>
      <c r="R827" t="s">
        <v>283</v>
      </c>
      <c r="S827" t="s">
        <v>21</v>
      </c>
      <c r="T827">
        <v>100</v>
      </c>
      <c r="W827" t="s">
        <v>262</v>
      </c>
    </row>
    <row r="828" spans="1:26" x14ac:dyDescent="0.3">
      <c r="A828" t="s">
        <v>21</v>
      </c>
      <c r="B828" t="s">
        <v>2713</v>
      </c>
      <c r="C828" t="s">
        <v>299</v>
      </c>
      <c r="D828" t="s">
        <v>2646</v>
      </c>
      <c r="E828" t="s">
        <v>2714</v>
      </c>
      <c r="H828" t="s">
        <v>2715</v>
      </c>
      <c r="I828" t="s">
        <v>2712</v>
      </c>
      <c r="J828" t="s">
        <v>282</v>
      </c>
      <c r="K828">
        <v>3305</v>
      </c>
      <c r="M828" t="s">
        <v>282</v>
      </c>
      <c r="N828" t="s">
        <v>259</v>
      </c>
      <c r="P828" t="s">
        <v>260</v>
      </c>
      <c r="Q828" t="s">
        <v>260</v>
      </c>
      <c r="R828" t="s">
        <v>283</v>
      </c>
      <c r="S828" t="s">
        <v>21</v>
      </c>
      <c r="T828">
        <v>100</v>
      </c>
      <c r="W828" t="s">
        <v>262</v>
      </c>
    </row>
    <row r="829" spans="1:26" x14ac:dyDescent="0.3">
      <c r="A829" t="s">
        <v>21</v>
      </c>
      <c r="B829" t="s">
        <v>2716</v>
      </c>
      <c r="C829" t="s">
        <v>299</v>
      </c>
      <c r="D829" t="s">
        <v>2646</v>
      </c>
      <c r="E829" t="s">
        <v>2717</v>
      </c>
      <c r="H829" t="s">
        <v>2718</v>
      </c>
      <c r="I829" t="s">
        <v>2719</v>
      </c>
      <c r="J829" t="s">
        <v>282</v>
      </c>
      <c r="K829">
        <v>3171</v>
      </c>
      <c r="M829" t="s">
        <v>282</v>
      </c>
      <c r="N829" t="s">
        <v>259</v>
      </c>
      <c r="P829" t="s">
        <v>260</v>
      </c>
      <c r="Q829" t="s">
        <v>260</v>
      </c>
      <c r="R829" t="s">
        <v>283</v>
      </c>
      <c r="S829" t="s">
        <v>21</v>
      </c>
      <c r="T829">
        <v>100</v>
      </c>
      <c r="W829" t="s">
        <v>262</v>
      </c>
    </row>
    <row r="830" spans="1:26" x14ac:dyDescent="0.3">
      <c r="A830" t="s">
        <v>21</v>
      </c>
      <c r="B830" t="s">
        <v>2720</v>
      </c>
      <c r="C830" t="s">
        <v>299</v>
      </c>
      <c r="D830" t="s">
        <v>2646</v>
      </c>
      <c r="E830" t="s">
        <v>2721</v>
      </c>
      <c r="H830" t="s">
        <v>2722</v>
      </c>
      <c r="I830" t="s">
        <v>2723</v>
      </c>
      <c r="J830" t="s">
        <v>282</v>
      </c>
      <c r="K830">
        <v>3280</v>
      </c>
      <c r="M830" t="s">
        <v>282</v>
      </c>
      <c r="N830" t="s">
        <v>259</v>
      </c>
      <c r="P830" t="s">
        <v>260</v>
      </c>
      <c r="Q830" t="s">
        <v>260</v>
      </c>
      <c r="R830" t="s">
        <v>283</v>
      </c>
      <c r="S830" t="s">
        <v>21</v>
      </c>
      <c r="T830">
        <v>100</v>
      </c>
      <c r="W830" t="s">
        <v>262</v>
      </c>
    </row>
    <row r="831" spans="1:26" x14ac:dyDescent="0.3">
      <c r="A831" t="s">
        <v>21</v>
      </c>
      <c r="B831" t="s">
        <v>2724</v>
      </c>
      <c r="C831" t="s">
        <v>299</v>
      </c>
      <c r="D831" t="s">
        <v>2646</v>
      </c>
      <c r="E831" t="s">
        <v>2725</v>
      </c>
      <c r="H831" t="s">
        <v>2726</v>
      </c>
      <c r="I831" t="s">
        <v>854</v>
      </c>
      <c r="J831" t="s">
        <v>282</v>
      </c>
      <c r="K831">
        <v>3355</v>
      </c>
      <c r="M831" t="s">
        <v>282</v>
      </c>
      <c r="N831" t="s">
        <v>259</v>
      </c>
      <c r="P831" t="s">
        <v>260</v>
      </c>
      <c r="Q831" t="s">
        <v>260</v>
      </c>
      <c r="R831" t="s">
        <v>283</v>
      </c>
      <c r="S831" t="s">
        <v>21</v>
      </c>
      <c r="T831">
        <v>100</v>
      </c>
      <c r="W831" t="s">
        <v>262</v>
      </c>
    </row>
    <row r="832" spans="1:26" x14ac:dyDescent="0.3">
      <c r="A832" t="s">
        <v>21</v>
      </c>
      <c r="B832" t="s">
        <v>2727</v>
      </c>
      <c r="C832" t="s">
        <v>299</v>
      </c>
      <c r="D832" t="s">
        <v>2728</v>
      </c>
      <c r="E832">
        <v>12</v>
      </c>
      <c r="H832" t="s">
        <v>2729</v>
      </c>
      <c r="I832" t="s">
        <v>2727</v>
      </c>
      <c r="J832" t="s">
        <v>258</v>
      </c>
      <c r="K832">
        <v>7011</v>
      </c>
      <c r="L832" t="s">
        <v>259</v>
      </c>
      <c r="M832" t="s">
        <v>257</v>
      </c>
      <c r="N832" t="s">
        <v>259</v>
      </c>
      <c r="P832" t="s">
        <v>260</v>
      </c>
      <c r="Q832" t="s">
        <v>260</v>
      </c>
      <c r="R832" t="s">
        <v>261</v>
      </c>
      <c r="S832" t="s">
        <v>21</v>
      </c>
      <c r="T832">
        <v>100</v>
      </c>
      <c r="W832" t="s">
        <v>262</v>
      </c>
      <c r="X832">
        <v>-42.765999999999998</v>
      </c>
      <c r="Y832">
        <v>147.24600000000001</v>
      </c>
      <c r="Z832">
        <v>310</v>
      </c>
    </row>
    <row r="833" spans="1:26" x14ac:dyDescent="0.3">
      <c r="A833" t="s">
        <v>21</v>
      </c>
      <c r="B833" t="s">
        <v>2730</v>
      </c>
      <c r="C833" t="s">
        <v>270</v>
      </c>
      <c r="D833" t="s">
        <v>1908</v>
      </c>
      <c r="E833">
        <v>56150</v>
      </c>
      <c r="H833" t="s">
        <v>2433</v>
      </c>
      <c r="I833" t="s">
        <v>1343</v>
      </c>
      <c r="J833" t="s">
        <v>297</v>
      </c>
      <c r="K833">
        <v>2104</v>
      </c>
      <c r="L833" t="s">
        <v>276</v>
      </c>
      <c r="M833" t="s">
        <v>631</v>
      </c>
      <c r="N833" t="s">
        <v>276</v>
      </c>
      <c r="P833" t="s">
        <v>260</v>
      </c>
      <c r="Q833" t="s">
        <v>260</v>
      </c>
      <c r="R833" t="s">
        <v>283</v>
      </c>
      <c r="S833" t="s">
        <v>21</v>
      </c>
      <c r="T833">
        <v>100</v>
      </c>
      <c r="W833" t="s">
        <v>262</v>
      </c>
      <c r="X833">
        <v>-37.008299999999998</v>
      </c>
      <c r="Y833">
        <v>174.87049999999999</v>
      </c>
    </row>
    <row r="834" spans="1:26" x14ac:dyDescent="0.3">
      <c r="A834" t="s">
        <v>21</v>
      </c>
      <c r="B834" t="s">
        <v>2731</v>
      </c>
      <c r="C834" t="s">
        <v>270</v>
      </c>
      <c r="D834" t="s">
        <v>2732</v>
      </c>
      <c r="E834" t="s">
        <v>2732</v>
      </c>
      <c r="M834" t="s">
        <v>394</v>
      </c>
      <c r="N834" t="s">
        <v>276</v>
      </c>
      <c r="P834" t="s">
        <v>260</v>
      </c>
      <c r="Q834" t="s">
        <v>260</v>
      </c>
      <c r="R834" t="s">
        <v>283</v>
      </c>
      <c r="S834" t="s">
        <v>21</v>
      </c>
      <c r="T834">
        <v>100</v>
      </c>
      <c r="W834" t="s">
        <v>262</v>
      </c>
    </row>
    <row r="835" spans="1:26" x14ac:dyDescent="0.3">
      <c r="A835" t="s">
        <v>21</v>
      </c>
      <c r="B835" t="s">
        <v>2733</v>
      </c>
      <c r="C835" t="s">
        <v>270</v>
      </c>
      <c r="D835" t="s">
        <v>2734</v>
      </c>
      <c r="E835">
        <v>2000004851</v>
      </c>
      <c r="H835" t="s">
        <v>2433</v>
      </c>
      <c r="I835" t="s">
        <v>1343</v>
      </c>
      <c r="J835" t="s">
        <v>297</v>
      </c>
      <c r="K835">
        <v>2104</v>
      </c>
      <c r="L835" t="s">
        <v>276</v>
      </c>
      <c r="M835" t="s">
        <v>631</v>
      </c>
      <c r="N835" t="s">
        <v>276</v>
      </c>
      <c r="P835" t="s">
        <v>260</v>
      </c>
      <c r="Q835" t="s">
        <v>260</v>
      </c>
      <c r="R835" t="s">
        <v>268</v>
      </c>
      <c r="S835" t="s">
        <v>21</v>
      </c>
      <c r="T835">
        <v>100</v>
      </c>
      <c r="W835" t="s">
        <v>262</v>
      </c>
      <c r="X835">
        <v>-37.008299999999998</v>
      </c>
      <c r="Y835">
        <v>174.87049999999999</v>
      </c>
    </row>
    <row r="836" spans="1:26" x14ac:dyDescent="0.3">
      <c r="A836" t="s">
        <v>21</v>
      </c>
      <c r="B836" t="s">
        <v>2735</v>
      </c>
      <c r="C836" t="s">
        <v>270</v>
      </c>
      <c r="D836" t="s">
        <v>2736</v>
      </c>
      <c r="E836" t="s">
        <v>2737</v>
      </c>
      <c r="H836" t="s">
        <v>2433</v>
      </c>
      <c r="I836" t="s">
        <v>1343</v>
      </c>
      <c r="J836" t="s">
        <v>297</v>
      </c>
      <c r="K836">
        <v>2104</v>
      </c>
      <c r="L836" t="s">
        <v>276</v>
      </c>
      <c r="M836" t="s">
        <v>631</v>
      </c>
      <c r="N836" t="s">
        <v>276</v>
      </c>
      <c r="P836" t="s">
        <v>260</v>
      </c>
      <c r="Q836" t="s">
        <v>260</v>
      </c>
      <c r="R836" t="s">
        <v>261</v>
      </c>
      <c r="S836" t="s">
        <v>21</v>
      </c>
      <c r="T836">
        <v>100</v>
      </c>
      <c r="W836" t="s">
        <v>262</v>
      </c>
      <c r="X836">
        <v>-37.008299999999998</v>
      </c>
      <c r="Y836">
        <v>174.87049999999999</v>
      </c>
    </row>
    <row r="837" spans="1:26" x14ac:dyDescent="0.3">
      <c r="A837" t="s">
        <v>21</v>
      </c>
      <c r="B837" t="s">
        <v>2738</v>
      </c>
      <c r="C837" t="s">
        <v>270</v>
      </c>
      <c r="D837" t="s">
        <v>2739</v>
      </c>
      <c r="E837" t="s">
        <v>2740</v>
      </c>
      <c r="F837">
        <v>1064181</v>
      </c>
      <c r="H837" t="s">
        <v>2433</v>
      </c>
      <c r="I837" t="s">
        <v>1343</v>
      </c>
      <c r="J837" t="s">
        <v>297</v>
      </c>
      <c r="K837">
        <v>2104</v>
      </c>
      <c r="L837" t="s">
        <v>276</v>
      </c>
      <c r="M837" t="s">
        <v>631</v>
      </c>
      <c r="N837" t="s">
        <v>276</v>
      </c>
      <c r="P837" t="s">
        <v>260</v>
      </c>
      <c r="Q837" t="s">
        <v>260</v>
      </c>
      <c r="R837" t="s">
        <v>283</v>
      </c>
      <c r="S837" t="s">
        <v>21</v>
      </c>
      <c r="T837">
        <v>100</v>
      </c>
      <c r="W837" t="s">
        <v>262</v>
      </c>
      <c r="X837">
        <v>-37.008299999999998</v>
      </c>
      <c r="Y837">
        <v>174.87049999999999</v>
      </c>
    </row>
    <row r="838" spans="1:26" x14ac:dyDescent="0.3">
      <c r="A838" t="s">
        <v>21</v>
      </c>
      <c r="B838" t="s">
        <v>2741</v>
      </c>
      <c r="C838" t="s">
        <v>270</v>
      </c>
      <c r="D838" t="s">
        <v>2742</v>
      </c>
      <c r="E838" t="s">
        <v>2743</v>
      </c>
      <c r="H838" t="s">
        <v>2433</v>
      </c>
      <c r="I838" t="s">
        <v>1343</v>
      </c>
      <c r="J838" t="s">
        <v>297</v>
      </c>
      <c r="K838">
        <v>2104</v>
      </c>
      <c r="L838" t="s">
        <v>276</v>
      </c>
      <c r="M838" t="s">
        <v>631</v>
      </c>
      <c r="N838" t="s">
        <v>276</v>
      </c>
      <c r="P838" t="s">
        <v>260</v>
      </c>
      <c r="Q838" t="s">
        <v>260</v>
      </c>
      <c r="R838" t="s">
        <v>283</v>
      </c>
      <c r="S838" t="s">
        <v>21</v>
      </c>
      <c r="T838">
        <v>100</v>
      </c>
      <c r="W838" t="s">
        <v>262</v>
      </c>
      <c r="X838">
        <v>-37.008299999999998</v>
      </c>
      <c r="Y838">
        <v>174.87049999999999</v>
      </c>
    </row>
    <row r="839" spans="1:26" x14ac:dyDescent="0.3">
      <c r="A839" t="s">
        <v>21</v>
      </c>
      <c r="B839" t="s">
        <v>2744</v>
      </c>
      <c r="C839" t="s">
        <v>270</v>
      </c>
      <c r="D839" t="s">
        <v>2745</v>
      </c>
      <c r="E839" t="s">
        <v>2745</v>
      </c>
      <c r="M839" t="s">
        <v>394</v>
      </c>
      <c r="N839" t="s">
        <v>276</v>
      </c>
      <c r="P839" t="s">
        <v>260</v>
      </c>
      <c r="Q839" t="s">
        <v>260</v>
      </c>
      <c r="R839" t="s">
        <v>283</v>
      </c>
      <c r="S839" t="s">
        <v>21</v>
      </c>
      <c r="T839">
        <v>100</v>
      </c>
      <c r="W839" t="s">
        <v>262</v>
      </c>
    </row>
    <row r="840" spans="1:26" x14ac:dyDescent="0.3">
      <c r="A840" t="s">
        <v>21</v>
      </c>
      <c r="B840" t="s">
        <v>2746</v>
      </c>
      <c r="C840" t="s">
        <v>270</v>
      </c>
      <c r="D840" t="s">
        <v>633</v>
      </c>
      <c r="E840">
        <v>55674</v>
      </c>
      <c r="H840" t="s">
        <v>635</v>
      </c>
      <c r="I840" t="s">
        <v>636</v>
      </c>
      <c r="J840" t="s">
        <v>636</v>
      </c>
      <c r="K840">
        <v>9230</v>
      </c>
      <c r="L840" t="s">
        <v>276</v>
      </c>
      <c r="M840" t="s">
        <v>636</v>
      </c>
      <c r="N840" t="s">
        <v>276</v>
      </c>
      <c r="P840" t="s">
        <v>260</v>
      </c>
      <c r="Q840" t="s">
        <v>260</v>
      </c>
      <c r="R840" t="s">
        <v>261</v>
      </c>
      <c r="S840" t="s">
        <v>21</v>
      </c>
      <c r="T840">
        <v>100</v>
      </c>
      <c r="W840" t="s">
        <v>262</v>
      </c>
      <c r="X840">
        <v>-46.232900000000001</v>
      </c>
      <c r="Y840">
        <v>169.75309999999999</v>
      </c>
    </row>
    <row r="841" spans="1:26" x14ac:dyDescent="0.3">
      <c r="A841" t="s">
        <v>21</v>
      </c>
      <c r="B841" t="s">
        <v>2747</v>
      </c>
      <c r="C841" t="s">
        <v>299</v>
      </c>
      <c r="D841" t="s">
        <v>2748</v>
      </c>
      <c r="E841" t="s">
        <v>2748</v>
      </c>
      <c r="F841">
        <v>184</v>
      </c>
      <c r="G841" t="s">
        <v>2749</v>
      </c>
      <c r="M841" t="s">
        <v>282</v>
      </c>
      <c r="N841" t="s">
        <v>259</v>
      </c>
      <c r="P841" t="s">
        <v>260</v>
      </c>
      <c r="Q841" t="s">
        <v>260</v>
      </c>
      <c r="R841" t="s">
        <v>261</v>
      </c>
      <c r="S841" t="s">
        <v>21</v>
      </c>
      <c r="T841">
        <v>100</v>
      </c>
      <c r="W841" t="s">
        <v>262</v>
      </c>
    </row>
    <row r="842" spans="1:26" x14ac:dyDescent="0.3">
      <c r="A842" t="s">
        <v>21</v>
      </c>
      <c r="B842" t="s">
        <v>2750</v>
      </c>
      <c r="C842" t="s">
        <v>270</v>
      </c>
      <c r="D842" t="s">
        <v>2751</v>
      </c>
      <c r="E842">
        <v>551106</v>
      </c>
      <c r="H842" t="s">
        <v>2433</v>
      </c>
      <c r="I842" t="s">
        <v>1343</v>
      </c>
      <c r="J842" t="s">
        <v>297</v>
      </c>
      <c r="K842">
        <v>2104</v>
      </c>
      <c r="L842" t="s">
        <v>276</v>
      </c>
      <c r="M842" t="s">
        <v>631</v>
      </c>
      <c r="N842" t="s">
        <v>276</v>
      </c>
      <c r="P842" t="s">
        <v>260</v>
      </c>
      <c r="Q842" t="s">
        <v>260</v>
      </c>
      <c r="R842" t="s">
        <v>261</v>
      </c>
      <c r="S842" t="s">
        <v>21</v>
      </c>
      <c r="T842">
        <v>100</v>
      </c>
      <c r="W842" t="s">
        <v>262</v>
      </c>
      <c r="X842">
        <v>-37.008299999999998</v>
      </c>
      <c r="Y842">
        <v>174.87049999999999</v>
      </c>
    </row>
    <row r="843" spans="1:26" x14ac:dyDescent="0.3">
      <c r="A843" t="s">
        <v>21</v>
      </c>
      <c r="B843" t="s">
        <v>2752</v>
      </c>
      <c r="C843" t="s">
        <v>448</v>
      </c>
      <c r="D843" t="s">
        <v>2753</v>
      </c>
      <c r="E843">
        <v>21</v>
      </c>
      <c r="H843" t="s">
        <v>2754</v>
      </c>
      <c r="I843" t="s">
        <v>2752</v>
      </c>
      <c r="J843" t="s">
        <v>335</v>
      </c>
      <c r="K843">
        <v>3671</v>
      </c>
      <c r="L843" t="s">
        <v>259</v>
      </c>
      <c r="M843" t="s">
        <v>282</v>
      </c>
      <c r="N843" t="s">
        <v>259</v>
      </c>
      <c r="P843" t="s">
        <v>260</v>
      </c>
      <c r="Q843" t="s">
        <v>260</v>
      </c>
      <c r="R843" t="s">
        <v>261</v>
      </c>
      <c r="S843" t="s">
        <v>21</v>
      </c>
      <c r="T843">
        <v>100</v>
      </c>
      <c r="W843" t="s">
        <v>262</v>
      </c>
      <c r="X843">
        <v>-36.554000000000002</v>
      </c>
      <c r="Y843">
        <v>145.96700000000001</v>
      </c>
      <c r="Z843">
        <v>310</v>
      </c>
    </row>
    <row r="844" spans="1:26" x14ac:dyDescent="0.3">
      <c r="A844" t="s">
        <v>21</v>
      </c>
      <c r="B844" t="s">
        <v>2755</v>
      </c>
      <c r="C844" t="s">
        <v>270</v>
      </c>
      <c r="D844" t="s">
        <v>2756</v>
      </c>
      <c r="E844" t="s">
        <v>2756</v>
      </c>
      <c r="M844" t="s">
        <v>411</v>
      </c>
      <c r="N844" t="s">
        <v>259</v>
      </c>
      <c r="P844" t="s">
        <v>260</v>
      </c>
      <c r="Q844" t="s">
        <v>260</v>
      </c>
      <c r="R844" t="s">
        <v>283</v>
      </c>
      <c r="S844" t="s">
        <v>21</v>
      </c>
      <c r="T844">
        <v>100</v>
      </c>
      <c r="W844" t="s">
        <v>262</v>
      </c>
    </row>
    <row r="845" spans="1:26" x14ac:dyDescent="0.3">
      <c r="A845" t="s">
        <v>21</v>
      </c>
      <c r="B845" t="s">
        <v>2757</v>
      </c>
      <c r="C845" t="s">
        <v>270</v>
      </c>
      <c r="D845" t="s">
        <v>2758</v>
      </c>
      <c r="E845">
        <v>55906</v>
      </c>
      <c r="H845" t="s">
        <v>2433</v>
      </c>
      <c r="I845" t="s">
        <v>1343</v>
      </c>
      <c r="J845" t="s">
        <v>297</v>
      </c>
      <c r="K845">
        <v>2104</v>
      </c>
      <c r="L845" t="s">
        <v>276</v>
      </c>
      <c r="M845" t="s">
        <v>631</v>
      </c>
      <c r="N845" t="s">
        <v>276</v>
      </c>
      <c r="P845" t="s">
        <v>260</v>
      </c>
      <c r="Q845" t="s">
        <v>260</v>
      </c>
      <c r="R845" t="s">
        <v>261</v>
      </c>
      <c r="S845" t="s">
        <v>21</v>
      </c>
      <c r="T845">
        <v>100</v>
      </c>
      <c r="W845" t="s">
        <v>262</v>
      </c>
      <c r="X845">
        <v>-37.008299999999998</v>
      </c>
      <c r="Y845">
        <v>174.87049999999999</v>
      </c>
    </row>
    <row r="846" spans="1:26" x14ac:dyDescent="0.3">
      <c r="A846" t="s">
        <v>21</v>
      </c>
      <c r="B846" t="s">
        <v>2759</v>
      </c>
      <c r="C846" t="s">
        <v>270</v>
      </c>
      <c r="D846" t="s">
        <v>2760</v>
      </c>
      <c r="E846">
        <v>67200</v>
      </c>
      <c r="H846" t="s">
        <v>2433</v>
      </c>
      <c r="I846" t="s">
        <v>1343</v>
      </c>
      <c r="J846" t="s">
        <v>297</v>
      </c>
      <c r="K846">
        <v>2104</v>
      </c>
      <c r="L846" t="s">
        <v>276</v>
      </c>
      <c r="M846" t="s">
        <v>631</v>
      </c>
      <c r="N846" t="s">
        <v>276</v>
      </c>
      <c r="P846" t="s">
        <v>260</v>
      </c>
      <c r="Q846" t="s">
        <v>260</v>
      </c>
      <c r="R846" t="s">
        <v>261</v>
      </c>
      <c r="S846" t="s">
        <v>21</v>
      </c>
      <c r="T846">
        <v>100</v>
      </c>
      <c r="W846" t="s">
        <v>262</v>
      </c>
      <c r="X846">
        <v>-37.008299999999998</v>
      </c>
      <c r="Y846">
        <v>174.87049999999999</v>
      </c>
    </row>
    <row r="847" spans="1:26" x14ac:dyDescent="0.3">
      <c r="A847" t="s">
        <v>21</v>
      </c>
      <c r="B847" t="s">
        <v>2761</v>
      </c>
      <c r="C847" t="s">
        <v>2762</v>
      </c>
      <c r="D847" t="s">
        <v>414</v>
      </c>
      <c r="E847">
        <v>3042</v>
      </c>
      <c r="F847">
        <v>900606</v>
      </c>
      <c r="H847" t="s">
        <v>2763</v>
      </c>
      <c r="I847" t="s">
        <v>417</v>
      </c>
      <c r="J847" t="s">
        <v>417</v>
      </c>
      <c r="K847">
        <v>9814</v>
      </c>
      <c r="L847" t="s">
        <v>276</v>
      </c>
      <c r="M847" t="s">
        <v>417</v>
      </c>
      <c r="N847" t="s">
        <v>276</v>
      </c>
      <c r="P847" t="s">
        <v>260</v>
      </c>
      <c r="Q847" t="s">
        <v>260</v>
      </c>
      <c r="R847" t="s">
        <v>261</v>
      </c>
      <c r="S847" t="s">
        <v>21</v>
      </c>
      <c r="T847">
        <v>100</v>
      </c>
      <c r="W847" t="s">
        <v>262</v>
      </c>
      <c r="X847">
        <v>-46.597999999999999</v>
      </c>
      <c r="Y847">
        <v>168.34030000000001</v>
      </c>
    </row>
    <row r="848" spans="1:26" x14ac:dyDescent="0.3">
      <c r="A848" t="s">
        <v>21</v>
      </c>
      <c r="B848" t="s">
        <v>2764</v>
      </c>
      <c r="C848" t="s">
        <v>2762</v>
      </c>
      <c r="D848" t="s">
        <v>422</v>
      </c>
      <c r="E848">
        <v>3041</v>
      </c>
      <c r="H848" t="s">
        <v>2765</v>
      </c>
      <c r="I848" t="s">
        <v>424</v>
      </c>
      <c r="J848" t="s">
        <v>424</v>
      </c>
      <c r="K848">
        <v>8082</v>
      </c>
      <c r="L848" t="s">
        <v>276</v>
      </c>
      <c r="M848" t="s">
        <v>390</v>
      </c>
      <c r="N848" t="s">
        <v>276</v>
      </c>
      <c r="P848" t="s">
        <v>260</v>
      </c>
      <c r="Q848" t="s">
        <v>260</v>
      </c>
      <c r="R848" t="s">
        <v>261</v>
      </c>
      <c r="S848" t="s">
        <v>21</v>
      </c>
      <c r="T848">
        <v>100</v>
      </c>
      <c r="W848" t="s">
        <v>262</v>
      </c>
      <c r="X848">
        <v>-43.608600000000003</v>
      </c>
      <c r="Y848">
        <v>172.7072</v>
      </c>
    </row>
    <row r="849" spans="1:26" x14ac:dyDescent="0.3">
      <c r="A849" t="s">
        <v>21</v>
      </c>
      <c r="B849" t="s">
        <v>2766</v>
      </c>
      <c r="C849" t="s">
        <v>2762</v>
      </c>
      <c r="D849" t="s">
        <v>427</v>
      </c>
      <c r="E849">
        <v>3040</v>
      </c>
      <c r="H849" t="s">
        <v>2767</v>
      </c>
      <c r="I849" t="s">
        <v>2412</v>
      </c>
      <c r="J849" t="s">
        <v>429</v>
      </c>
      <c r="K849">
        <v>3116</v>
      </c>
      <c r="L849" t="s">
        <v>276</v>
      </c>
      <c r="M849" t="s">
        <v>429</v>
      </c>
      <c r="N849" t="s">
        <v>276</v>
      </c>
      <c r="P849" t="s">
        <v>260</v>
      </c>
      <c r="Q849" t="s">
        <v>260</v>
      </c>
      <c r="R849" t="s">
        <v>261</v>
      </c>
      <c r="S849" t="s">
        <v>21</v>
      </c>
      <c r="T849">
        <v>100</v>
      </c>
      <c r="W849" t="s">
        <v>262</v>
      </c>
      <c r="X849">
        <v>-37.663699999999999</v>
      </c>
      <c r="Y849">
        <v>176.18459999999999</v>
      </c>
    </row>
    <row r="850" spans="1:26" x14ac:dyDescent="0.3">
      <c r="A850" t="s">
        <v>21</v>
      </c>
      <c r="B850" t="s">
        <v>2768</v>
      </c>
      <c r="C850" t="s">
        <v>2762</v>
      </c>
      <c r="D850" t="s">
        <v>432</v>
      </c>
      <c r="E850">
        <v>3045</v>
      </c>
      <c r="H850" t="s">
        <v>2769</v>
      </c>
      <c r="I850" t="s">
        <v>2770</v>
      </c>
      <c r="J850" t="s">
        <v>398</v>
      </c>
      <c r="K850">
        <v>4310</v>
      </c>
      <c r="L850" t="s">
        <v>276</v>
      </c>
      <c r="M850" t="s">
        <v>398</v>
      </c>
      <c r="N850" t="s">
        <v>276</v>
      </c>
      <c r="P850" t="s">
        <v>260</v>
      </c>
      <c r="Q850" t="s">
        <v>260</v>
      </c>
      <c r="R850" t="s">
        <v>261</v>
      </c>
      <c r="S850" t="s">
        <v>21</v>
      </c>
      <c r="T850">
        <v>100</v>
      </c>
      <c r="W850" t="s">
        <v>262</v>
      </c>
      <c r="X850">
        <v>-39.0578</v>
      </c>
      <c r="Y850">
        <v>174.0292</v>
      </c>
    </row>
    <row r="851" spans="1:26" ht="195" customHeight="1" x14ac:dyDescent="0.3">
      <c r="A851" t="s">
        <v>21</v>
      </c>
      <c r="B851" t="s">
        <v>2771</v>
      </c>
      <c r="C851" t="s">
        <v>528</v>
      </c>
      <c r="D851" t="s">
        <v>2772</v>
      </c>
      <c r="E851">
        <v>361</v>
      </c>
      <c r="G851" s="10" t="s">
        <v>2773</v>
      </c>
      <c r="H851" t="s">
        <v>2774</v>
      </c>
      <c r="I851" t="s">
        <v>2775</v>
      </c>
      <c r="J851" t="s">
        <v>318</v>
      </c>
      <c r="K851">
        <v>4008</v>
      </c>
      <c r="L851" t="s">
        <v>259</v>
      </c>
      <c r="M851" t="s">
        <v>302</v>
      </c>
      <c r="N851" t="s">
        <v>259</v>
      </c>
      <c r="P851" t="s">
        <v>260</v>
      </c>
      <c r="Q851" t="s">
        <v>260</v>
      </c>
      <c r="R851" t="s">
        <v>261</v>
      </c>
      <c r="S851" t="s">
        <v>21</v>
      </c>
      <c r="T851">
        <v>100</v>
      </c>
      <c r="W851" t="s">
        <v>262</v>
      </c>
      <c r="X851">
        <v>-27.414473999999998</v>
      </c>
      <c r="Y851">
        <v>153.091364</v>
      </c>
      <c r="Z851">
        <v>692</v>
      </c>
    </row>
    <row r="852" spans="1:26" ht="285" customHeight="1" x14ac:dyDescent="0.3">
      <c r="A852" t="s">
        <v>21</v>
      </c>
      <c r="B852" t="s">
        <v>2776</v>
      </c>
      <c r="C852" t="s">
        <v>2777</v>
      </c>
      <c r="D852" t="s">
        <v>2778</v>
      </c>
      <c r="E852">
        <v>91388</v>
      </c>
      <c r="G852" s="10" t="s">
        <v>2779</v>
      </c>
      <c r="H852" t="s">
        <v>2780</v>
      </c>
      <c r="I852" t="s">
        <v>640</v>
      </c>
      <c r="J852" t="s">
        <v>641</v>
      </c>
      <c r="K852">
        <v>7201</v>
      </c>
      <c r="M852" t="s">
        <v>641</v>
      </c>
      <c r="N852" t="s">
        <v>276</v>
      </c>
      <c r="P852" t="s">
        <v>260</v>
      </c>
      <c r="Q852" t="s">
        <v>260</v>
      </c>
      <c r="R852" t="s">
        <v>283</v>
      </c>
      <c r="S852" t="s">
        <v>21</v>
      </c>
      <c r="T852">
        <v>100</v>
      </c>
      <c r="W852" t="s">
        <v>262</v>
      </c>
    </row>
    <row r="853" spans="1:26" x14ac:dyDescent="0.3">
      <c r="A853" t="s">
        <v>21</v>
      </c>
      <c r="B853" t="s">
        <v>2781</v>
      </c>
      <c r="C853" t="s">
        <v>270</v>
      </c>
      <c r="D853" t="s">
        <v>2782</v>
      </c>
      <c r="E853">
        <v>10180</v>
      </c>
      <c r="G853">
        <v>10.18</v>
      </c>
      <c r="H853" t="s">
        <v>2433</v>
      </c>
      <c r="I853" t="s">
        <v>1343</v>
      </c>
      <c r="J853" t="s">
        <v>297</v>
      </c>
      <c r="K853">
        <v>2104</v>
      </c>
      <c r="L853" t="s">
        <v>276</v>
      </c>
      <c r="M853" t="s">
        <v>631</v>
      </c>
      <c r="N853" t="s">
        <v>276</v>
      </c>
      <c r="P853" t="s">
        <v>260</v>
      </c>
      <c r="Q853" t="s">
        <v>260</v>
      </c>
      <c r="R853" t="s">
        <v>283</v>
      </c>
      <c r="S853" t="s">
        <v>21</v>
      </c>
      <c r="T853">
        <v>100</v>
      </c>
      <c r="W853" t="s">
        <v>262</v>
      </c>
      <c r="X853">
        <v>-37.008299999999998</v>
      </c>
      <c r="Y853">
        <v>174.87049999999999</v>
      </c>
    </row>
    <row r="854" spans="1:26" x14ac:dyDescent="0.3">
      <c r="A854" t="s">
        <v>21</v>
      </c>
      <c r="B854" t="s">
        <v>2783</v>
      </c>
      <c r="C854" t="s">
        <v>270</v>
      </c>
      <c r="D854" t="s">
        <v>2784</v>
      </c>
      <c r="E854">
        <v>561281</v>
      </c>
      <c r="M854" t="s">
        <v>297</v>
      </c>
      <c r="N854" t="s">
        <v>276</v>
      </c>
      <c r="P854" t="s">
        <v>260</v>
      </c>
      <c r="Q854" t="s">
        <v>260</v>
      </c>
      <c r="R854" t="s">
        <v>283</v>
      </c>
      <c r="S854" t="s">
        <v>21</v>
      </c>
      <c r="T854">
        <v>100</v>
      </c>
      <c r="W854" t="s">
        <v>262</v>
      </c>
    </row>
    <row r="855" spans="1:26" x14ac:dyDescent="0.3">
      <c r="A855" t="s">
        <v>21</v>
      </c>
      <c r="B855" t="s">
        <v>2785</v>
      </c>
      <c r="C855" t="s">
        <v>2786</v>
      </c>
      <c r="D855" t="s">
        <v>1932</v>
      </c>
      <c r="E855" t="s">
        <v>1932</v>
      </c>
      <c r="M855" t="s">
        <v>429</v>
      </c>
      <c r="N855" t="s">
        <v>276</v>
      </c>
      <c r="P855" t="s">
        <v>260</v>
      </c>
      <c r="Q855" t="s">
        <v>260</v>
      </c>
      <c r="R855" t="s">
        <v>261</v>
      </c>
      <c r="S855" t="s">
        <v>21</v>
      </c>
      <c r="T855">
        <v>100</v>
      </c>
      <c r="W855" t="s">
        <v>262</v>
      </c>
    </row>
    <row r="856" spans="1:26" x14ac:dyDescent="0.3">
      <c r="A856" t="s">
        <v>21</v>
      </c>
      <c r="B856" t="s">
        <v>2787</v>
      </c>
      <c r="C856" t="s">
        <v>270</v>
      </c>
      <c r="D856" t="s">
        <v>2788</v>
      </c>
      <c r="E856">
        <v>55935</v>
      </c>
      <c r="M856" t="s">
        <v>631</v>
      </c>
      <c r="N856" t="s">
        <v>276</v>
      </c>
      <c r="P856" t="s">
        <v>260</v>
      </c>
      <c r="Q856" t="s">
        <v>260</v>
      </c>
      <c r="R856" t="s">
        <v>261</v>
      </c>
      <c r="S856" t="s">
        <v>21</v>
      </c>
      <c r="T856">
        <v>100</v>
      </c>
      <c r="W856" t="s">
        <v>262</v>
      </c>
    </row>
    <row r="857" spans="1:26" x14ac:dyDescent="0.3">
      <c r="A857" t="s">
        <v>21</v>
      </c>
      <c r="B857" t="s">
        <v>2789</v>
      </c>
      <c r="C857" t="s">
        <v>270</v>
      </c>
      <c r="D857" t="s">
        <v>2790</v>
      </c>
      <c r="E857">
        <v>66202</v>
      </c>
      <c r="H857" t="s">
        <v>2433</v>
      </c>
      <c r="I857" t="s">
        <v>1343</v>
      </c>
      <c r="J857" t="s">
        <v>297</v>
      </c>
      <c r="K857">
        <v>2104</v>
      </c>
      <c r="L857" t="s">
        <v>276</v>
      </c>
      <c r="M857" t="s">
        <v>631</v>
      </c>
      <c r="N857" t="s">
        <v>276</v>
      </c>
      <c r="P857" t="s">
        <v>260</v>
      </c>
      <c r="Q857" t="s">
        <v>260</v>
      </c>
      <c r="R857" t="s">
        <v>261</v>
      </c>
      <c r="S857" t="s">
        <v>21</v>
      </c>
      <c r="T857">
        <v>100</v>
      </c>
      <c r="W857" t="s">
        <v>262</v>
      </c>
      <c r="X857">
        <v>-37.008299999999998</v>
      </c>
      <c r="Y857">
        <v>174.87049999999999</v>
      </c>
    </row>
    <row r="858" spans="1:26" x14ac:dyDescent="0.3">
      <c r="A858" t="s">
        <v>21</v>
      </c>
      <c r="B858" t="s">
        <v>2791</v>
      </c>
      <c r="C858" t="s">
        <v>270</v>
      </c>
      <c r="D858" t="s">
        <v>2792</v>
      </c>
      <c r="E858">
        <v>2000005073</v>
      </c>
      <c r="H858" t="s">
        <v>2433</v>
      </c>
      <c r="I858" t="s">
        <v>1343</v>
      </c>
      <c r="J858" t="s">
        <v>297</v>
      </c>
      <c r="K858">
        <v>2104</v>
      </c>
      <c r="L858" t="s">
        <v>276</v>
      </c>
      <c r="M858" t="s">
        <v>631</v>
      </c>
      <c r="N858" t="s">
        <v>276</v>
      </c>
      <c r="P858" t="s">
        <v>260</v>
      </c>
      <c r="Q858" t="s">
        <v>260</v>
      </c>
      <c r="R858" t="s">
        <v>268</v>
      </c>
      <c r="S858" t="s">
        <v>21</v>
      </c>
      <c r="T858">
        <v>100</v>
      </c>
      <c r="W858" t="s">
        <v>262</v>
      </c>
      <c r="X858">
        <v>-37.008299999999998</v>
      </c>
      <c r="Y858">
        <v>174.87049999999999</v>
      </c>
    </row>
    <row r="859" spans="1:26" x14ac:dyDescent="0.3">
      <c r="A859" t="s">
        <v>21</v>
      </c>
      <c r="B859" t="s">
        <v>2793</v>
      </c>
      <c r="C859" t="s">
        <v>270</v>
      </c>
      <c r="D859" t="s">
        <v>2794</v>
      </c>
      <c r="E859">
        <v>2000005079</v>
      </c>
      <c r="H859" t="s">
        <v>2433</v>
      </c>
      <c r="I859" t="s">
        <v>1343</v>
      </c>
      <c r="J859" t="s">
        <v>297</v>
      </c>
      <c r="K859">
        <v>2104</v>
      </c>
      <c r="L859" t="s">
        <v>276</v>
      </c>
      <c r="M859" t="s">
        <v>631</v>
      </c>
      <c r="N859" t="s">
        <v>276</v>
      </c>
      <c r="P859" t="s">
        <v>260</v>
      </c>
      <c r="Q859" t="s">
        <v>260</v>
      </c>
      <c r="R859" t="s">
        <v>268</v>
      </c>
      <c r="S859" t="s">
        <v>21</v>
      </c>
      <c r="T859">
        <v>100</v>
      </c>
      <c r="W859" t="s">
        <v>262</v>
      </c>
      <c r="X859">
        <v>-37.008299999999998</v>
      </c>
      <c r="Y859">
        <v>174.87049999999999</v>
      </c>
    </row>
    <row r="860" spans="1:26" x14ac:dyDescent="0.3">
      <c r="A860" t="s">
        <v>21</v>
      </c>
      <c r="B860" t="s">
        <v>2795</v>
      </c>
      <c r="C860" t="s">
        <v>270</v>
      </c>
      <c r="D860" t="s">
        <v>2796</v>
      </c>
      <c r="E860">
        <v>2000005081</v>
      </c>
      <c r="H860" t="s">
        <v>2433</v>
      </c>
      <c r="I860" t="s">
        <v>1343</v>
      </c>
      <c r="J860" t="s">
        <v>297</v>
      </c>
      <c r="K860">
        <v>2104</v>
      </c>
      <c r="L860" t="s">
        <v>276</v>
      </c>
      <c r="M860" t="s">
        <v>631</v>
      </c>
      <c r="N860" t="s">
        <v>276</v>
      </c>
      <c r="P860" t="s">
        <v>260</v>
      </c>
      <c r="Q860" t="s">
        <v>260</v>
      </c>
      <c r="R860" t="s">
        <v>268</v>
      </c>
      <c r="S860" t="s">
        <v>21</v>
      </c>
      <c r="T860">
        <v>100</v>
      </c>
      <c r="W860" t="s">
        <v>262</v>
      </c>
      <c r="X860">
        <v>-37.008299999999998</v>
      </c>
      <c r="Y860">
        <v>174.87049999999999</v>
      </c>
    </row>
    <row r="861" spans="1:26" x14ac:dyDescent="0.3">
      <c r="A861" t="s">
        <v>21</v>
      </c>
      <c r="B861" t="s">
        <v>2797</v>
      </c>
      <c r="C861" t="s">
        <v>270</v>
      </c>
      <c r="D861" t="s">
        <v>2798</v>
      </c>
      <c r="E861">
        <v>2000005087</v>
      </c>
      <c r="H861" t="s">
        <v>2433</v>
      </c>
      <c r="I861" t="s">
        <v>1343</v>
      </c>
      <c r="J861" t="s">
        <v>297</v>
      </c>
      <c r="K861">
        <v>2104</v>
      </c>
      <c r="L861" t="s">
        <v>276</v>
      </c>
      <c r="M861" t="s">
        <v>631</v>
      </c>
      <c r="N861" t="s">
        <v>276</v>
      </c>
      <c r="P861" t="s">
        <v>260</v>
      </c>
      <c r="Q861" t="s">
        <v>260</v>
      </c>
      <c r="R861" t="s">
        <v>268</v>
      </c>
      <c r="S861" t="s">
        <v>21</v>
      </c>
      <c r="T861">
        <v>100</v>
      </c>
      <c r="W861" t="s">
        <v>262</v>
      </c>
      <c r="X861">
        <v>-37.008299999999998</v>
      </c>
      <c r="Y861">
        <v>174.87049999999999</v>
      </c>
    </row>
    <row r="862" spans="1:26" x14ac:dyDescent="0.3">
      <c r="A862" t="s">
        <v>21</v>
      </c>
      <c r="B862" t="s">
        <v>2799</v>
      </c>
      <c r="C862" t="s">
        <v>270</v>
      </c>
      <c r="D862" t="s">
        <v>2800</v>
      </c>
      <c r="E862">
        <v>2000005074</v>
      </c>
      <c r="H862" t="s">
        <v>2433</v>
      </c>
      <c r="I862" t="s">
        <v>1343</v>
      </c>
      <c r="J862" t="s">
        <v>297</v>
      </c>
      <c r="K862">
        <v>2104</v>
      </c>
      <c r="L862" t="s">
        <v>276</v>
      </c>
      <c r="M862" t="s">
        <v>631</v>
      </c>
      <c r="N862" t="s">
        <v>276</v>
      </c>
      <c r="P862" t="s">
        <v>260</v>
      </c>
      <c r="Q862" t="s">
        <v>260</v>
      </c>
      <c r="R862" t="s">
        <v>268</v>
      </c>
      <c r="S862" t="s">
        <v>21</v>
      </c>
      <c r="T862">
        <v>100</v>
      </c>
      <c r="W862" t="s">
        <v>262</v>
      </c>
      <c r="X862">
        <v>-37.008299999999998</v>
      </c>
      <c r="Y862">
        <v>174.87049999999999</v>
      </c>
    </row>
    <row r="863" spans="1:26" x14ac:dyDescent="0.3">
      <c r="A863" t="s">
        <v>21</v>
      </c>
      <c r="B863" t="s">
        <v>2801</v>
      </c>
      <c r="C863" t="s">
        <v>270</v>
      </c>
      <c r="D863" t="s">
        <v>2802</v>
      </c>
      <c r="E863" t="s">
        <v>2803</v>
      </c>
      <c r="H863" t="s">
        <v>2433</v>
      </c>
      <c r="I863" t="s">
        <v>1343</v>
      </c>
      <c r="J863" t="s">
        <v>297</v>
      </c>
      <c r="K863">
        <v>2104</v>
      </c>
      <c r="L863" t="s">
        <v>276</v>
      </c>
      <c r="M863" t="s">
        <v>631</v>
      </c>
      <c r="N863" t="s">
        <v>276</v>
      </c>
      <c r="P863" t="s">
        <v>260</v>
      </c>
      <c r="Q863" t="s">
        <v>260</v>
      </c>
      <c r="R863" t="s">
        <v>261</v>
      </c>
      <c r="S863" t="s">
        <v>21</v>
      </c>
      <c r="T863">
        <v>100</v>
      </c>
      <c r="W863" t="s">
        <v>262</v>
      </c>
      <c r="X863">
        <v>-37.008299999999998</v>
      </c>
      <c r="Y863">
        <v>174.87049999999999</v>
      </c>
    </row>
    <row r="864" spans="1:26" x14ac:dyDescent="0.3">
      <c r="A864" t="s">
        <v>21</v>
      </c>
      <c r="B864" t="s">
        <v>2804</v>
      </c>
      <c r="C864" t="s">
        <v>270</v>
      </c>
      <c r="D864" t="s">
        <v>2805</v>
      </c>
      <c r="E864">
        <v>10088</v>
      </c>
      <c r="M864" t="s">
        <v>297</v>
      </c>
      <c r="N864" t="s">
        <v>276</v>
      </c>
      <c r="P864" t="s">
        <v>260</v>
      </c>
      <c r="Q864" t="s">
        <v>260</v>
      </c>
      <c r="R864" t="s">
        <v>283</v>
      </c>
      <c r="S864" t="s">
        <v>21</v>
      </c>
      <c r="T864">
        <v>100</v>
      </c>
      <c r="W864" t="s">
        <v>262</v>
      </c>
    </row>
    <row r="865" spans="1:28" x14ac:dyDescent="0.3">
      <c r="A865" t="s">
        <v>21</v>
      </c>
      <c r="B865" t="s">
        <v>2806</v>
      </c>
      <c r="C865" t="s">
        <v>2807</v>
      </c>
      <c r="D865" t="s">
        <v>2808</v>
      </c>
      <c r="E865" t="s">
        <v>2809</v>
      </c>
      <c r="F865">
        <v>32</v>
      </c>
      <c r="H865" t="s">
        <v>2810</v>
      </c>
      <c r="I865" t="s">
        <v>2811</v>
      </c>
      <c r="J865" t="s">
        <v>555</v>
      </c>
      <c r="K865">
        <v>6230</v>
      </c>
      <c r="L865" t="s">
        <v>259</v>
      </c>
      <c r="M865" t="s">
        <v>503</v>
      </c>
      <c r="N865" t="s">
        <v>259</v>
      </c>
      <c r="P865" t="s">
        <v>260</v>
      </c>
      <c r="Q865" t="s">
        <v>260</v>
      </c>
      <c r="R865" t="s">
        <v>283</v>
      </c>
      <c r="S865" t="s">
        <v>21</v>
      </c>
      <c r="T865">
        <v>100</v>
      </c>
      <c r="W865" t="s">
        <v>262</v>
      </c>
      <c r="X865">
        <v>-33.363948999999998</v>
      </c>
      <c r="Y865">
        <v>115.680149</v>
      </c>
      <c r="Z865">
        <v>692</v>
      </c>
      <c r="AB865" s="9">
        <v>45466</v>
      </c>
    </row>
    <row r="866" spans="1:28" x14ac:dyDescent="0.3">
      <c r="A866" t="s">
        <v>21</v>
      </c>
      <c r="B866" t="s">
        <v>2812</v>
      </c>
      <c r="C866" t="s">
        <v>270</v>
      </c>
      <c r="D866" t="s">
        <v>2813</v>
      </c>
      <c r="E866">
        <v>2000004650</v>
      </c>
      <c r="H866" t="s">
        <v>2814</v>
      </c>
      <c r="I866" t="s">
        <v>1343</v>
      </c>
      <c r="J866" t="s">
        <v>2815</v>
      </c>
      <c r="K866">
        <v>7677</v>
      </c>
      <c r="L866" t="s">
        <v>276</v>
      </c>
      <c r="M866" t="s">
        <v>631</v>
      </c>
      <c r="N866" t="s">
        <v>276</v>
      </c>
      <c r="P866" t="s">
        <v>260</v>
      </c>
      <c r="Q866" t="s">
        <v>260</v>
      </c>
      <c r="R866" t="s">
        <v>268</v>
      </c>
      <c r="S866" t="s">
        <v>21</v>
      </c>
      <c r="T866">
        <v>100</v>
      </c>
      <c r="W866" t="s">
        <v>262</v>
      </c>
      <c r="X866">
        <v>-37.008299999999998</v>
      </c>
      <c r="Y866">
        <v>174.87049999999999</v>
      </c>
    </row>
    <row r="867" spans="1:28" x14ac:dyDescent="0.3">
      <c r="A867" t="s">
        <v>21</v>
      </c>
      <c r="B867" t="s">
        <v>2816</v>
      </c>
      <c r="C867" t="s">
        <v>270</v>
      </c>
      <c r="D867" t="s">
        <v>2817</v>
      </c>
      <c r="E867" t="s">
        <v>2817</v>
      </c>
      <c r="M867" t="s">
        <v>394</v>
      </c>
      <c r="N867" t="s">
        <v>276</v>
      </c>
      <c r="P867" t="s">
        <v>260</v>
      </c>
      <c r="Q867" t="s">
        <v>260</v>
      </c>
      <c r="R867" t="s">
        <v>283</v>
      </c>
      <c r="S867" t="s">
        <v>21</v>
      </c>
      <c r="T867">
        <v>100</v>
      </c>
      <c r="W867" t="s">
        <v>262</v>
      </c>
    </row>
    <row r="868" spans="1:28" x14ac:dyDescent="0.3">
      <c r="A868" t="s">
        <v>21</v>
      </c>
      <c r="B868" t="s">
        <v>2818</v>
      </c>
      <c r="C868" t="s">
        <v>278</v>
      </c>
      <c r="D868" t="s">
        <v>2819</v>
      </c>
      <c r="E868">
        <v>10125</v>
      </c>
      <c r="M868" t="s">
        <v>297</v>
      </c>
      <c r="N868" t="s">
        <v>276</v>
      </c>
      <c r="P868" t="s">
        <v>260</v>
      </c>
      <c r="Q868" t="s">
        <v>260</v>
      </c>
      <c r="R868" t="s">
        <v>268</v>
      </c>
      <c r="S868" t="s">
        <v>21</v>
      </c>
      <c r="T868">
        <v>100</v>
      </c>
      <c r="W868" t="s">
        <v>262</v>
      </c>
    </row>
    <row r="869" spans="1:28" x14ac:dyDescent="0.3">
      <c r="A869" t="s">
        <v>21</v>
      </c>
      <c r="B869" t="s">
        <v>2820</v>
      </c>
      <c r="C869" t="s">
        <v>270</v>
      </c>
      <c r="D869" t="s">
        <v>2821</v>
      </c>
      <c r="E869">
        <v>551970</v>
      </c>
      <c r="M869" t="s">
        <v>631</v>
      </c>
      <c r="N869" t="s">
        <v>276</v>
      </c>
      <c r="P869" t="s">
        <v>260</v>
      </c>
      <c r="Q869" t="s">
        <v>260</v>
      </c>
      <c r="R869" t="s">
        <v>261</v>
      </c>
      <c r="S869" t="s">
        <v>21</v>
      </c>
      <c r="T869">
        <v>100</v>
      </c>
      <c r="W869" t="s">
        <v>262</v>
      </c>
    </row>
    <row r="870" spans="1:28" x14ac:dyDescent="0.3">
      <c r="A870" t="s">
        <v>21</v>
      </c>
      <c r="B870" t="s">
        <v>2822</v>
      </c>
      <c r="C870" t="s">
        <v>270</v>
      </c>
      <c r="D870" t="s">
        <v>2823</v>
      </c>
      <c r="E870" t="s">
        <v>2824</v>
      </c>
      <c r="H870" t="s">
        <v>2825</v>
      </c>
      <c r="I870" t="s">
        <v>2826</v>
      </c>
      <c r="J870" t="s">
        <v>403</v>
      </c>
      <c r="K870">
        <v>6011</v>
      </c>
      <c r="L870" t="s">
        <v>276</v>
      </c>
      <c r="M870" t="s">
        <v>403</v>
      </c>
      <c r="N870" t="s">
        <v>276</v>
      </c>
      <c r="P870" t="s">
        <v>260</v>
      </c>
      <c r="Q870" t="s">
        <v>260</v>
      </c>
      <c r="R870" t="s">
        <v>261</v>
      </c>
      <c r="S870" t="s">
        <v>21</v>
      </c>
      <c r="T870">
        <v>100</v>
      </c>
      <c r="W870" t="s">
        <v>262</v>
      </c>
      <c r="X870">
        <v>-41.276699999999998</v>
      </c>
      <c r="Y870">
        <v>174.77850000000001</v>
      </c>
    </row>
    <row r="871" spans="1:28" x14ac:dyDescent="0.3">
      <c r="A871" t="s">
        <v>21</v>
      </c>
      <c r="B871" t="s">
        <v>512</v>
      </c>
      <c r="C871" t="s">
        <v>264</v>
      </c>
      <c r="D871" t="s">
        <v>2827</v>
      </c>
      <c r="E871" t="s">
        <v>2828</v>
      </c>
      <c r="F871" t="s">
        <v>2829</v>
      </c>
      <c r="G871" t="s">
        <v>2829</v>
      </c>
      <c r="M871" t="s">
        <v>503</v>
      </c>
      <c r="N871" t="s">
        <v>259</v>
      </c>
      <c r="P871" t="s">
        <v>260</v>
      </c>
      <c r="Q871" t="s">
        <v>260</v>
      </c>
      <c r="R871" t="s">
        <v>293</v>
      </c>
      <c r="S871" t="s">
        <v>21</v>
      </c>
      <c r="T871">
        <v>100</v>
      </c>
      <c r="W871" t="s">
        <v>262</v>
      </c>
    </row>
    <row r="872" spans="1:28" x14ac:dyDescent="0.3">
      <c r="A872" t="s">
        <v>21</v>
      </c>
      <c r="B872" t="s">
        <v>2830</v>
      </c>
      <c r="C872" t="s">
        <v>299</v>
      </c>
      <c r="D872" t="s">
        <v>2831</v>
      </c>
      <c r="E872">
        <v>2005</v>
      </c>
      <c r="F872">
        <v>37</v>
      </c>
      <c r="H872" t="s">
        <v>554</v>
      </c>
      <c r="I872" t="s">
        <v>512</v>
      </c>
      <c r="J872" t="s">
        <v>555</v>
      </c>
      <c r="K872">
        <v>6155</v>
      </c>
      <c r="L872" t="s">
        <v>259</v>
      </c>
      <c r="M872" t="s">
        <v>503</v>
      </c>
      <c r="N872" t="s">
        <v>259</v>
      </c>
      <c r="P872" t="s">
        <v>260</v>
      </c>
      <c r="Q872" t="s">
        <v>260</v>
      </c>
      <c r="R872" t="s">
        <v>313</v>
      </c>
      <c r="S872" t="s">
        <v>21</v>
      </c>
      <c r="T872">
        <v>100</v>
      </c>
      <c r="V872" s="9">
        <v>45107</v>
      </c>
      <c r="W872" t="s">
        <v>262</v>
      </c>
      <c r="X872">
        <v>-32.070399999999999</v>
      </c>
      <c r="Y872">
        <v>115.912018</v>
      </c>
      <c r="Z872">
        <v>692</v>
      </c>
    </row>
    <row r="873" spans="1:28" x14ac:dyDescent="0.3">
      <c r="A873" t="s">
        <v>21</v>
      </c>
      <c r="B873" t="s">
        <v>2832</v>
      </c>
      <c r="C873" t="s">
        <v>2833</v>
      </c>
      <c r="D873" t="s">
        <v>2834</v>
      </c>
      <c r="E873">
        <v>39</v>
      </c>
      <c r="H873" t="s">
        <v>2835</v>
      </c>
      <c r="I873" t="s">
        <v>2836</v>
      </c>
      <c r="J873" t="s">
        <v>555</v>
      </c>
      <c r="K873">
        <v>6107</v>
      </c>
      <c r="L873" t="s">
        <v>259</v>
      </c>
      <c r="M873" t="s">
        <v>503</v>
      </c>
      <c r="N873" t="s">
        <v>259</v>
      </c>
      <c r="P873" t="s">
        <v>260</v>
      </c>
      <c r="Q873" t="s">
        <v>260</v>
      </c>
      <c r="R873" t="s">
        <v>261</v>
      </c>
      <c r="S873" t="s">
        <v>21</v>
      </c>
      <c r="T873">
        <v>100</v>
      </c>
      <c r="W873" t="s">
        <v>262</v>
      </c>
      <c r="X873">
        <v>-32.023000000000003</v>
      </c>
      <c r="Y873">
        <v>115.949</v>
      </c>
      <c r="Z873">
        <v>170</v>
      </c>
    </row>
    <row r="874" spans="1:28" x14ac:dyDescent="0.3">
      <c r="A874" t="s">
        <v>21</v>
      </c>
      <c r="B874" t="s">
        <v>2837</v>
      </c>
      <c r="C874" t="s">
        <v>270</v>
      </c>
      <c r="D874" t="s">
        <v>2838</v>
      </c>
      <c r="E874">
        <v>54942</v>
      </c>
      <c r="G874" t="s">
        <v>2839</v>
      </c>
      <c r="M874" t="s">
        <v>425</v>
      </c>
      <c r="N874" t="s">
        <v>276</v>
      </c>
      <c r="P874" t="s">
        <v>260</v>
      </c>
      <c r="Q874" t="s">
        <v>260</v>
      </c>
      <c r="R874" t="s">
        <v>261</v>
      </c>
      <c r="S874" t="s">
        <v>21</v>
      </c>
      <c r="T874">
        <v>100</v>
      </c>
      <c r="W874" t="s">
        <v>262</v>
      </c>
    </row>
    <row r="875" spans="1:28" x14ac:dyDescent="0.3">
      <c r="A875" t="s">
        <v>21</v>
      </c>
      <c r="B875" t="s">
        <v>2840</v>
      </c>
      <c r="C875" t="s">
        <v>270</v>
      </c>
      <c r="D875" t="s">
        <v>2841</v>
      </c>
      <c r="E875">
        <v>66200</v>
      </c>
      <c r="H875" t="s">
        <v>2433</v>
      </c>
      <c r="I875" t="s">
        <v>1343</v>
      </c>
      <c r="J875" t="s">
        <v>297</v>
      </c>
      <c r="K875">
        <v>2104</v>
      </c>
      <c r="L875" t="s">
        <v>276</v>
      </c>
      <c r="M875" t="s">
        <v>631</v>
      </c>
      <c r="N875" t="s">
        <v>276</v>
      </c>
      <c r="P875" t="s">
        <v>260</v>
      </c>
      <c r="Q875" t="s">
        <v>260</v>
      </c>
      <c r="R875" t="s">
        <v>261</v>
      </c>
      <c r="S875" t="s">
        <v>21</v>
      </c>
      <c r="T875">
        <v>100</v>
      </c>
      <c r="W875" t="s">
        <v>262</v>
      </c>
      <c r="X875">
        <v>-37.008299999999998</v>
      </c>
      <c r="Y875">
        <v>174.87049999999999</v>
      </c>
    </row>
    <row r="876" spans="1:28" x14ac:dyDescent="0.3">
      <c r="A876" t="s">
        <v>21</v>
      </c>
      <c r="B876" t="s">
        <v>2842</v>
      </c>
      <c r="C876" t="s">
        <v>270</v>
      </c>
      <c r="D876" t="s">
        <v>2843</v>
      </c>
      <c r="E876">
        <v>554217</v>
      </c>
      <c r="M876" t="s">
        <v>425</v>
      </c>
      <c r="N876" t="s">
        <v>276</v>
      </c>
      <c r="P876" t="s">
        <v>260</v>
      </c>
      <c r="Q876" t="s">
        <v>260</v>
      </c>
      <c r="R876" t="s">
        <v>268</v>
      </c>
      <c r="S876" t="s">
        <v>21</v>
      </c>
      <c r="T876">
        <v>100</v>
      </c>
      <c r="W876" t="s">
        <v>262</v>
      </c>
    </row>
    <row r="877" spans="1:28" x14ac:dyDescent="0.3">
      <c r="A877" t="s">
        <v>21</v>
      </c>
      <c r="B877" t="s">
        <v>2844</v>
      </c>
      <c r="C877" t="s">
        <v>270</v>
      </c>
      <c r="D877" t="s">
        <v>2845</v>
      </c>
      <c r="E877">
        <v>2000004522</v>
      </c>
      <c r="H877" t="s">
        <v>2433</v>
      </c>
      <c r="I877" t="s">
        <v>1343</v>
      </c>
      <c r="J877" t="s">
        <v>297</v>
      </c>
      <c r="K877">
        <v>2104</v>
      </c>
      <c r="L877" t="s">
        <v>276</v>
      </c>
      <c r="M877" t="s">
        <v>631</v>
      </c>
      <c r="N877" t="s">
        <v>276</v>
      </c>
      <c r="P877" t="s">
        <v>260</v>
      </c>
      <c r="Q877" t="s">
        <v>260</v>
      </c>
      <c r="R877" t="s">
        <v>268</v>
      </c>
      <c r="S877" t="s">
        <v>21</v>
      </c>
      <c r="T877">
        <v>100</v>
      </c>
      <c r="W877" t="s">
        <v>262</v>
      </c>
      <c r="X877">
        <v>-37.008299999999998</v>
      </c>
      <c r="Y877">
        <v>174.87049999999999</v>
      </c>
    </row>
    <row r="878" spans="1:28" x14ac:dyDescent="0.3">
      <c r="A878" t="s">
        <v>21</v>
      </c>
      <c r="B878" t="s">
        <v>2846</v>
      </c>
      <c r="C878" t="s">
        <v>299</v>
      </c>
      <c r="D878" t="s">
        <v>2847</v>
      </c>
      <c r="E878">
        <v>3004</v>
      </c>
      <c r="F878">
        <v>42</v>
      </c>
      <c r="H878" t="s">
        <v>2848</v>
      </c>
      <c r="I878" t="s">
        <v>2849</v>
      </c>
      <c r="J878" t="s">
        <v>366</v>
      </c>
      <c r="K878">
        <v>2285</v>
      </c>
      <c r="L878" t="s">
        <v>259</v>
      </c>
      <c r="M878" t="s">
        <v>312</v>
      </c>
      <c r="N878" t="s">
        <v>259</v>
      </c>
      <c r="P878" t="s">
        <v>260</v>
      </c>
      <c r="Q878" t="s">
        <v>260</v>
      </c>
      <c r="R878" t="s">
        <v>513</v>
      </c>
      <c r="S878" t="s">
        <v>21</v>
      </c>
      <c r="T878">
        <v>100</v>
      </c>
      <c r="W878" t="s">
        <v>262</v>
      </c>
      <c r="X878">
        <v>-32.93</v>
      </c>
      <c r="Y878">
        <v>151.648</v>
      </c>
      <c r="Z878">
        <v>239</v>
      </c>
    </row>
    <row r="879" spans="1:28" x14ac:dyDescent="0.3">
      <c r="A879" t="s">
        <v>21</v>
      </c>
      <c r="B879" t="s">
        <v>2850</v>
      </c>
      <c r="C879" t="s">
        <v>270</v>
      </c>
      <c r="D879" t="s">
        <v>2851</v>
      </c>
      <c r="E879" t="s">
        <v>2852</v>
      </c>
      <c r="M879" t="s">
        <v>631</v>
      </c>
      <c r="N879" t="s">
        <v>276</v>
      </c>
      <c r="P879" t="s">
        <v>260</v>
      </c>
      <c r="Q879" t="s">
        <v>260</v>
      </c>
      <c r="R879" t="s">
        <v>261</v>
      </c>
      <c r="S879" t="s">
        <v>21</v>
      </c>
      <c r="T879">
        <v>100</v>
      </c>
      <c r="W879" t="s">
        <v>262</v>
      </c>
    </row>
    <row r="880" spans="1:28" x14ac:dyDescent="0.3">
      <c r="A880" t="s">
        <v>21</v>
      </c>
      <c r="B880" t="s">
        <v>2853</v>
      </c>
      <c r="C880" t="s">
        <v>270</v>
      </c>
      <c r="D880" t="s">
        <v>2854</v>
      </c>
      <c r="E880">
        <v>2000005088</v>
      </c>
      <c r="M880" t="s">
        <v>631</v>
      </c>
      <c r="N880" t="s">
        <v>276</v>
      </c>
      <c r="P880" t="s">
        <v>260</v>
      </c>
      <c r="Q880" t="s">
        <v>260</v>
      </c>
      <c r="R880" t="s">
        <v>268</v>
      </c>
      <c r="S880" t="s">
        <v>21</v>
      </c>
      <c r="T880">
        <v>100</v>
      </c>
      <c r="W880" t="s">
        <v>262</v>
      </c>
    </row>
    <row r="881" spans="1:25" x14ac:dyDescent="0.3">
      <c r="A881" t="s">
        <v>21</v>
      </c>
      <c r="B881" t="s">
        <v>2855</v>
      </c>
      <c r="C881" t="s">
        <v>270</v>
      </c>
      <c r="D881" t="s">
        <v>2856</v>
      </c>
      <c r="E881" t="s">
        <v>2857</v>
      </c>
      <c r="H881" t="s">
        <v>2858</v>
      </c>
      <c r="I881" t="s">
        <v>2859</v>
      </c>
      <c r="J881" t="s">
        <v>390</v>
      </c>
      <c r="K881">
        <v>8042</v>
      </c>
      <c r="L881" t="s">
        <v>276</v>
      </c>
      <c r="M881" t="s">
        <v>390</v>
      </c>
      <c r="N881" t="s">
        <v>276</v>
      </c>
      <c r="P881" t="s">
        <v>260</v>
      </c>
      <c r="Q881" t="s">
        <v>260</v>
      </c>
      <c r="R881" t="s">
        <v>283</v>
      </c>
      <c r="S881" t="s">
        <v>21</v>
      </c>
      <c r="T881">
        <v>100</v>
      </c>
      <c r="W881" t="s">
        <v>262</v>
      </c>
      <c r="X881">
        <v>-43.539000000000001</v>
      </c>
      <c r="Y881">
        <v>172.55879999999999</v>
      </c>
    </row>
    <row r="882" spans="1:25" x14ac:dyDescent="0.3">
      <c r="A882" t="s">
        <v>21</v>
      </c>
      <c r="B882" t="s">
        <v>2860</v>
      </c>
      <c r="C882" t="s">
        <v>299</v>
      </c>
      <c r="D882" t="s">
        <v>2861</v>
      </c>
      <c r="H882" t="s">
        <v>2862</v>
      </c>
      <c r="I882" t="s">
        <v>2860</v>
      </c>
      <c r="J882" t="s">
        <v>305</v>
      </c>
      <c r="K882">
        <v>5690</v>
      </c>
      <c r="L882" t="s">
        <v>259</v>
      </c>
      <c r="M882" t="s">
        <v>312</v>
      </c>
      <c r="N882" t="s">
        <v>259</v>
      </c>
      <c r="P882" t="s">
        <v>260</v>
      </c>
      <c r="Q882" t="s">
        <v>260</v>
      </c>
      <c r="R882" t="s">
        <v>261</v>
      </c>
      <c r="S882" t="s">
        <v>21</v>
      </c>
      <c r="T882">
        <v>100</v>
      </c>
      <c r="W882" t="s">
        <v>262</v>
      </c>
    </row>
    <row r="883" spans="1:25" x14ac:dyDescent="0.3">
      <c r="A883" t="s">
        <v>21</v>
      </c>
      <c r="B883" t="s">
        <v>2863</v>
      </c>
      <c r="C883" t="s">
        <v>270</v>
      </c>
      <c r="D883" t="s">
        <v>2864</v>
      </c>
      <c r="E883">
        <v>91999</v>
      </c>
      <c r="H883" t="s">
        <v>2433</v>
      </c>
      <c r="I883" t="s">
        <v>1343</v>
      </c>
      <c r="J883" t="s">
        <v>297</v>
      </c>
      <c r="K883">
        <v>2104</v>
      </c>
      <c r="L883" t="s">
        <v>276</v>
      </c>
      <c r="M883" t="s">
        <v>631</v>
      </c>
      <c r="N883" t="s">
        <v>276</v>
      </c>
      <c r="P883" t="s">
        <v>260</v>
      </c>
      <c r="Q883" t="s">
        <v>260</v>
      </c>
      <c r="R883" t="s">
        <v>293</v>
      </c>
      <c r="S883" t="s">
        <v>21</v>
      </c>
      <c r="T883">
        <v>100</v>
      </c>
      <c r="W883" t="s">
        <v>262</v>
      </c>
      <c r="X883">
        <v>-37.008299999999998</v>
      </c>
      <c r="Y883">
        <v>174.87049999999999</v>
      </c>
    </row>
    <row r="884" spans="1:25" x14ac:dyDescent="0.3">
      <c r="A884" t="s">
        <v>21</v>
      </c>
      <c r="B884" t="s">
        <v>2865</v>
      </c>
      <c r="C884" t="s">
        <v>270</v>
      </c>
      <c r="D884" t="s">
        <v>2866</v>
      </c>
      <c r="E884">
        <v>10133</v>
      </c>
      <c r="G884">
        <v>10.132999999999999</v>
      </c>
      <c r="H884" t="s">
        <v>2433</v>
      </c>
      <c r="I884" t="s">
        <v>1343</v>
      </c>
      <c r="J884" t="s">
        <v>297</v>
      </c>
      <c r="K884">
        <v>2104</v>
      </c>
      <c r="L884" t="s">
        <v>276</v>
      </c>
      <c r="M884" t="s">
        <v>631</v>
      </c>
      <c r="N884" t="s">
        <v>276</v>
      </c>
      <c r="P884" t="s">
        <v>260</v>
      </c>
      <c r="Q884" t="s">
        <v>260</v>
      </c>
      <c r="R884" t="s">
        <v>268</v>
      </c>
      <c r="S884" t="s">
        <v>21</v>
      </c>
      <c r="T884">
        <v>100</v>
      </c>
      <c r="W884" t="s">
        <v>262</v>
      </c>
      <c r="X884">
        <v>-37.008299999999998</v>
      </c>
      <c r="Y884">
        <v>174.87049999999999</v>
      </c>
    </row>
    <row r="885" spans="1:25" x14ac:dyDescent="0.3">
      <c r="A885" t="s">
        <v>21</v>
      </c>
      <c r="B885" t="s">
        <v>2867</v>
      </c>
      <c r="C885" t="s">
        <v>270</v>
      </c>
      <c r="D885" t="s">
        <v>2868</v>
      </c>
      <c r="E885">
        <v>2000005065</v>
      </c>
      <c r="H885" t="s">
        <v>2433</v>
      </c>
      <c r="I885" t="s">
        <v>1343</v>
      </c>
      <c r="J885" t="s">
        <v>297</v>
      </c>
      <c r="K885">
        <v>2104</v>
      </c>
      <c r="L885" t="s">
        <v>276</v>
      </c>
      <c r="M885" t="s">
        <v>631</v>
      </c>
      <c r="N885" t="s">
        <v>276</v>
      </c>
      <c r="P885" t="s">
        <v>260</v>
      </c>
      <c r="Q885" t="s">
        <v>260</v>
      </c>
      <c r="R885" t="s">
        <v>268</v>
      </c>
      <c r="S885" t="s">
        <v>21</v>
      </c>
      <c r="T885">
        <v>100</v>
      </c>
      <c r="W885" t="s">
        <v>262</v>
      </c>
      <c r="X885">
        <v>-37.008299999999998</v>
      </c>
      <c r="Y885">
        <v>174.87049999999999</v>
      </c>
    </row>
    <row r="886" spans="1:25" x14ac:dyDescent="0.3">
      <c r="A886" t="s">
        <v>21</v>
      </c>
      <c r="B886" t="s">
        <v>2869</v>
      </c>
      <c r="C886" t="s">
        <v>270</v>
      </c>
      <c r="D886" t="s">
        <v>2870</v>
      </c>
      <c r="E886">
        <v>55197</v>
      </c>
      <c r="H886" t="s">
        <v>2433</v>
      </c>
      <c r="I886" t="s">
        <v>1343</v>
      </c>
      <c r="J886" t="s">
        <v>297</v>
      </c>
      <c r="K886">
        <v>2104</v>
      </c>
      <c r="L886" t="s">
        <v>276</v>
      </c>
      <c r="M886" t="s">
        <v>631</v>
      </c>
      <c r="N886" t="s">
        <v>276</v>
      </c>
      <c r="P886" t="s">
        <v>260</v>
      </c>
      <c r="Q886" t="s">
        <v>260</v>
      </c>
      <c r="R886" t="s">
        <v>261</v>
      </c>
      <c r="S886" t="s">
        <v>21</v>
      </c>
      <c r="T886">
        <v>100</v>
      </c>
      <c r="W886" t="s">
        <v>262</v>
      </c>
      <c r="X886">
        <v>-37.008299999999998</v>
      </c>
      <c r="Y886">
        <v>174.87049999999999</v>
      </c>
    </row>
    <row r="887" spans="1:25" x14ac:dyDescent="0.3">
      <c r="A887" t="s">
        <v>21</v>
      </c>
      <c r="B887" t="s">
        <v>2871</v>
      </c>
      <c r="C887" t="s">
        <v>270</v>
      </c>
      <c r="D887" t="s">
        <v>2872</v>
      </c>
      <c r="E887">
        <v>10124</v>
      </c>
      <c r="G887">
        <v>10.124000000000001</v>
      </c>
      <c r="H887" t="s">
        <v>2433</v>
      </c>
      <c r="I887" t="s">
        <v>1343</v>
      </c>
      <c r="J887" t="s">
        <v>297</v>
      </c>
      <c r="K887">
        <v>2104</v>
      </c>
      <c r="L887" t="s">
        <v>276</v>
      </c>
      <c r="M887" t="s">
        <v>631</v>
      </c>
      <c r="N887" t="s">
        <v>276</v>
      </c>
      <c r="P887" t="s">
        <v>260</v>
      </c>
      <c r="Q887" t="s">
        <v>260</v>
      </c>
      <c r="R887" t="s">
        <v>283</v>
      </c>
      <c r="S887" t="s">
        <v>21</v>
      </c>
      <c r="T887">
        <v>100</v>
      </c>
      <c r="W887" t="s">
        <v>262</v>
      </c>
      <c r="X887">
        <v>-37.008299999999998</v>
      </c>
      <c r="Y887">
        <v>174.87049999999999</v>
      </c>
    </row>
    <row r="888" spans="1:25" x14ac:dyDescent="0.3">
      <c r="A888" t="s">
        <v>21</v>
      </c>
      <c r="B888" t="s">
        <v>2873</v>
      </c>
      <c r="C888" t="s">
        <v>270</v>
      </c>
      <c r="D888" t="s">
        <v>2874</v>
      </c>
      <c r="E888">
        <v>10134</v>
      </c>
      <c r="G888">
        <v>10.134</v>
      </c>
      <c r="H888" t="s">
        <v>2433</v>
      </c>
      <c r="I888" t="s">
        <v>1343</v>
      </c>
      <c r="J888" t="s">
        <v>297</v>
      </c>
      <c r="K888">
        <v>2104</v>
      </c>
      <c r="L888" t="s">
        <v>276</v>
      </c>
      <c r="M888" t="s">
        <v>631</v>
      </c>
      <c r="N888" t="s">
        <v>276</v>
      </c>
      <c r="P888" t="s">
        <v>260</v>
      </c>
      <c r="Q888" t="s">
        <v>260</v>
      </c>
      <c r="R888" t="s">
        <v>268</v>
      </c>
      <c r="S888" t="s">
        <v>21</v>
      </c>
      <c r="T888">
        <v>100</v>
      </c>
      <c r="W888" t="s">
        <v>262</v>
      </c>
      <c r="X888">
        <v>-37.008299999999998</v>
      </c>
      <c r="Y888">
        <v>174.87049999999999</v>
      </c>
    </row>
    <row r="889" spans="1:25" x14ac:dyDescent="0.3">
      <c r="A889" t="s">
        <v>21</v>
      </c>
      <c r="B889" t="s">
        <v>2875</v>
      </c>
      <c r="C889" t="s">
        <v>270</v>
      </c>
      <c r="D889" t="s">
        <v>2876</v>
      </c>
      <c r="E889" t="s">
        <v>2877</v>
      </c>
      <c r="H889" t="s">
        <v>2433</v>
      </c>
      <c r="I889" t="s">
        <v>1343</v>
      </c>
      <c r="J889" t="s">
        <v>297</v>
      </c>
      <c r="K889">
        <v>2104</v>
      </c>
      <c r="L889" t="s">
        <v>276</v>
      </c>
      <c r="M889" t="s">
        <v>631</v>
      </c>
      <c r="N889" t="s">
        <v>276</v>
      </c>
      <c r="P889" t="s">
        <v>260</v>
      </c>
      <c r="Q889" t="s">
        <v>260</v>
      </c>
      <c r="R889" t="s">
        <v>261</v>
      </c>
      <c r="S889" t="s">
        <v>21</v>
      </c>
      <c r="T889">
        <v>100</v>
      </c>
      <c r="W889" t="s">
        <v>262</v>
      </c>
      <c r="X889">
        <v>-37.008299999999998</v>
      </c>
      <c r="Y889">
        <v>174.87049999999999</v>
      </c>
    </row>
    <row r="890" spans="1:25" x14ac:dyDescent="0.3">
      <c r="A890" t="s">
        <v>21</v>
      </c>
      <c r="B890" t="s">
        <v>2878</v>
      </c>
      <c r="C890" t="s">
        <v>270</v>
      </c>
      <c r="D890" t="s">
        <v>2879</v>
      </c>
      <c r="E890" t="s">
        <v>2880</v>
      </c>
      <c r="M890" t="s">
        <v>631</v>
      </c>
      <c r="N890" t="s">
        <v>276</v>
      </c>
      <c r="P890" t="s">
        <v>260</v>
      </c>
      <c r="Q890" t="s">
        <v>260</v>
      </c>
      <c r="R890" t="s">
        <v>261</v>
      </c>
      <c r="S890" t="s">
        <v>21</v>
      </c>
      <c r="T890">
        <v>100</v>
      </c>
      <c r="W890" t="s">
        <v>262</v>
      </c>
    </row>
    <row r="891" spans="1:25" x14ac:dyDescent="0.3">
      <c r="A891" t="s">
        <v>21</v>
      </c>
      <c r="B891" t="s">
        <v>2881</v>
      </c>
      <c r="C891" t="s">
        <v>356</v>
      </c>
      <c r="D891" t="s">
        <v>2882</v>
      </c>
      <c r="E891">
        <v>8103</v>
      </c>
      <c r="H891" t="s">
        <v>2883</v>
      </c>
      <c r="I891" t="s">
        <v>2884</v>
      </c>
      <c r="J891" t="s">
        <v>390</v>
      </c>
      <c r="K891">
        <v>8051</v>
      </c>
      <c r="L891" t="s">
        <v>276</v>
      </c>
      <c r="M891" t="s">
        <v>631</v>
      </c>
      <c r="N891" t="s">
        <v>276</v>
      </c>
      <c r="P891" t="s">
        <v>260</v>
      </c>
      <c r="Q891" t="s">
        <v>260</v>
      </c>
      <c r="R891" t="s">
        <v>261</v>
      </c>
      <c r="S891" t="s">
        <v>21</v>
      </c>
      <c r="T891">
        <v>100</v>
      </c>
      <c r="W891" t="s">
        <v>262</v>
      </c>
      <c r="X891">
        <v>-37.008299999999998</v>
      </c>
      <c r="Y891">
        <v>174.87049999999999</v>
      </c>
    </row>
    <row r="892" spans="1:25" x14ac:dyDescent="0.3">
      <c r="A892" t="s">
        <v>21</v>
      </c>
      <c r="B892" t="s">
        <v>2885</v>
      </c>
      <c r="C892" t="s">
        <v>270</v>
      </c>
      <c r="D892" t="s">
        <v>2886</v>
      </c>
      <c r="E892" t="s">
        <v>2886</v>
      </c>
      <c r="M892" t="s">
        <v>411</v>
      </c>
      <c r="N892" t="s">
        <v>259</v>
      </c>
      <c r="P892" t="s">
        <v>260</v>
      </c>
      <c r="Q892" t="s">
        <v>260</v>
      </c>
      <c r="R892" t="s">
        <v>283</v>
      </c>
      <c r="S892" t="s">
        <v>21</v>
      </c>
      <c r="T892">
        <v>100</v>
      </c>
      <c r="W892" t="s">
        <v>262</v>
      </c>
    </row>
    <row r="893" spans="1:25" x14ac:dyDescent="0.3">
      <c r="A893" t="s">
        <v>21</v>
      </c>
      <c r="B893" t="s">
        <v>2887</v>
      </c>
      <c r="C893" t="s">
        <v>270</v>
      </c>
      <c r="D893" t="s">
        <v>2888</v>
      </c>
      <c r="E893">
        <v>55390</v>
      </c>
      <c r="H893" t="s">
        <v>2433</v>
      </c>
      <c r="I893" t="s">
        <v>1343</v>
      </c>
      <c r="J893" t="s">
        <v>297</v>
      </c>
      <c r="K893">
        <v>2104</v>
      </c>
      <c r="L893" t="s">
        <v>276</v>
      </c>
      <c r="M893" t="s">
        <v>631</v>
      </c>
      <c r="N893" t="s">
        <v>276</v>
      </c>
      <c r="P893" t="s">
        <v>260</v>
      </c>
      <c r="Q893" t="s">
        <v>260</v>
      </c>
      <c r="R893" t="s">
        <v>261</v>
      </c>
      <c r="S893" t="s">
        <v>21</v>
      </c>
      <c r="T893">
        <v>100</v>
      </c>
      <c r="W893" t="s">
        <v>262</v>
      </c>
      <c r="X893">
        <v>-37.008299999999998</v>
      </c>
      <c r="Y893">
        <v>174.87049999999999</v>
      </c>
    </row>
    <row r="894" spans="1:25" x14ac:dyDescent="0.3">
      <c r="A894" t="s">
        <v>21</v>
      </c>
      <c r="B894" t="s">
        <v>2889</v>
      </c>
      <c r="C894" t="s">
        <v>270</v>
      </c>
      <c r="D894" t="s">
        <v>2890</v>
      </c>
      <c r="E894">
        <v>10034</v>
      </c>
      <c r="G894">
        <v>10.034000000000001</v>
      </c>
      <c r="H894" t="s">
        <v>2433</v>
      </c>
      <c r="I894" t="s">
        <v>1343</v>
      </c>
      <c r="J894" t="s">
        <v>297</v>
      </c>
      <c r="K894">
        <v>2104</v>
      </c>
      <c r="L894" t="s">
        <v>276</v>
      </c>
      <c r="M894" t="s">
        <v>631</v>
      </c>
      <c r="N894" t="s">
        <v>276</v>
      </c>
      <c r="P894" t="s">
        <v>260</v>
      </c>
      <c r="Q894" t="s">
        <v>260</v>
      </c>
      <c r="R894" t="s">
        <v>283</v>
      </c>
      <c r="S894" t="s">
        <v>21</v>
      </c>
      <c r="T894">
        <v>100</v>
      </c>
      <c r="W894" t="s">
        <v>262</v>
      </c>
      <c r="X894">
        <v>-37.008299999999998</v>
      </c>
      <c r="Y894">
        <v>174.87049999999999</v>
      </c>
    </row>
    <row r="895" spans="1:25" x14ac:dyDescent="0.3">
      <c r="A895" t="s">
        <v>21</v>
      </c>
      <c r="B895" t="s">
        <v>2891</v>
      </c>
      <c r="C895" t="s">
        <v>270</v>
      </c>
      <c r="D895" t="s">
        <v>2892</v>
      </c>
      <c r="E895">
        <v>10246</v>
      </c>
      <c r="G895">
        <v>10.246</v>
      </c>
      <c r="H895" t="s">
        <v>2433</v>
      </c>
      <c r="I895" t="s">
        <v>1343</v>
      </c>
      <c r="J895" t="s">
        <v>297</v>
      </c>
      <c r="K895">
        <v>2104</v>
      </c>
      <c r="L895" t="s">
        <v>276</v>
      </c>
      <c r="M895" t="s">
        <v>631</v>
      </c>
      <c r="N895" t="s">
        <v>276</v>
      </c>
      <c r="P895" t="s">
        <v>260</v>
      </c>
      <c r="Q895" t="s">
        <v>260</v>
      </c>
      <c r="R895" t="s">
        <v>283</v>
      </c>
      <c r="S895" t="s">
        <v>21</v>
      </c>
      <c r="T895">
        <v>100</v>
      </c>
      <c r="W895" t="s">
        <v>262</v>
      </c>
      <c r="X895">
        <v>-37.008299999999998</v>
      </c>
      <c r="Y895">
        <v>174.87049999999999</v>
      </c>
    </row>
    <row r="896" spans="1:25" x14ac:dyDescent="0.3">
      <c r="A896" t="s">
        <v>21</v>
      </c>
      <c r="B896" t="s">
        <v>2893</v>
      </c>
      <c r="C896" t="s">
        <v>2894</v>
      </c>
      <c r="D896" t="s">
        <v>2895</v>
      </c>
      <c r="E896">
        <v>91408</v>
      </c>
      <c r="G896" t="s">
        <v>2896</v>
      </c>
      <c r="M896" t="s">
        <v>390</v>
      </c>
      <c r="N896" t="s">
        <v>276</v>
      </c>
      <c r="P896" t="s">
        <v>260</v>
      </c>
      <c r="Q896" t="s">
        <v>260</v>
      </c>
      <c r="R896" t="s">
        <v>293</v>
      </c>
      <c r="S896" t="s">
        <v>21</v>
      </c>
      <c r="T896">
        <v>100</v>
      </c>
      <c r="W896" t="s">
        <v>262</v>
      </c>
    </row>
    <row r="897" spans="1:25" ht="270" customHeight="1" x14ac:dyDescent="0.3">
      <c r="A897" t="s">
        <v>21</v>
      </c>
      <c r="B897" t="s">
        <v>2897</v>
      </c>
      <c r="C897" t="s">
        <v>2898</v>
      </c>
      <c r="D897" t="s">
        <v>2899</v>
      </c>
      <c r="E897">
        <v>91393</v>
      </c>
      <c r="G897" s="10" t="s">
        <v>2900</v>
      </c>
      <c r="M897" t="s">
        <v>390</v>
      </c>
      <c r="N897" t="s">
        <v>276</v>
      </c>
      <c r="P897" t="s">
        <v>260</v>
      </c>
      <c r="Q897" t="s">
        <v>260</v>
      </c>
      <c r="R897" t="s">
        <v>261</v>
      </c>
      <c r="S897" t="s">
        <v>21</v>
      </c>
      <c r="T897">
        <v>100</v>
      </c>
      <c r="W897" t="s">
        <v>262</v>
      </c>
    </row>
    <row r="898" spans="1:25" x14ac:dyDescent="0.3">
      <c r="A898" t="s">
        <v>21</v>
      </c>
      <c r="B898" t="s">
        <v>2901</v>
      </c>
      <c r="C898" t="s">
        <v>264</v>
      </c>
      <c r="D898" t="s">
        <v>2902</v>
      </c>
      <c r="E898">
        <v>91423</v>
      </c>
      <c r="H898" t="s">
        <v>2903</v>
      </c>
      <c r="I898" t="s">
        <v>2904</v>
      </c>
      <c r="J898" t="s">
        <v>390</v>
      </c>
      <c r="K898">
        <v>8042</v>
      </c>
      <c r="M898" t="s">
        <v>390</v>
      </c>
      <c r="N898" t="s">
        <v>276</v>
      </c>
      <c r="P898" t="s">
        <v>260</v>
      </c>
      <c r="Q898" t="s">
        <v>260</v>
      </c>
      <c r="R898" t="s">
        <v>293</v>
      </c>
      <c r="S898" t="s">
        <v>21</v>
      </c>
      <c r="T898">
        <v>100</v>
      </c>
      <c r="W898" t="s">
        <v>262</v>
      </c>
    </row>
    <row r="899" spans="1:25" x14ac:dyDescent="0.3">
      <c r="A899" t="s">
        <v>21</v>
      </c>
      <c r="B899" t="s">
        <v>2905</v>
      </c>
      <c r="C899" t="s">
        <v>270</v>
      </c>
      <c r="D899" t="s">
        <v>2906</v>
      </c>
      <c r="E899">
        <v>10232</v>
      </c>
      <c r="G899">
        <v>10.231999999999999</v>
      </c>
      <c r="H899" t="s">
        <v>2433</v>
      </c>
      <c r="I899" t="s">
        <v>1343</v>
      </c>
      <c r="J899" t="s">
        <v>297</v>
      </c>
      <c r="K899">
        <v>2104</v>
      </c>
      <c r="L899" t="s">
        <v>276</v>
      </c>
      <c r="M899" t="s">
        <v>631</v>
      </c>
      <c r="N899" t="s">
        <v>276</v>
      </c>
      <c r="P899" t="s">
        <v>260</v>
      </c>
      <c r="Q899" t="s">
        <v>260</v>
      </c>
      <c r="R899" t="s">
        <v>283</v>
      </c>
      <c r="S899" t="s">
        <v>21</v>
      </c>
      <c r="T899">
        <v>100</v>
      </c>
      <c r="W899" t="s">
        <v>262</v>
      </c>
      <c r="X899">
        <v>-37.008299999999998</v>
      </c>
      <c r="Y899">
        <v>174.87049999999999</v>
      </c>
    </row>
    <row r="900" spans="1:25" x14ac:dyDescent="0.3">
      <c r="A900" t="s">
        <v>21</v>
      </c>
      <c r="B900" t="s">
        <v>2907</v>
      </c>
      <c r="C900" t="s">
        <v>270</v>
      </c>
      <c r="D900" t="s">
        <v>2908</v>
      </c>
      <c r="E900">
        <v>10188</v>
      </c>
      <c r="G900">
        <v>10.188000000000001</v>
      </c>
      <c r="H900" t="s">
        <v>2433</v>
      </c>
      <c r="I900" t="s">
        <v>1343</v>
      </c>
      <c r="J900" t="s">
        <v>297</v>
      </c>
      <c r="K900">
        <v>2104</v>
      </c>
      <c r="L900" t="s">
        <v>276</v>
      </c>
      <c r="M900" t="s">
        <v>631</v>
      </c>
      <c r="N900" t="s">
        <v>276</v>
      </c>
      <c r="P900" t="s">
        <v>260</v>
      </c>
      <c r="Q900" t="s">
        <v>260</v>
      </c>
      <c r="R900" t="s">
        <v>283</v>
      </c>
      <c r="S900" t="s">
        <v>21</v>
      </c>
      <c r="T900">
        <v>100</v>
      </c>
      <c r="W900" t="s">
        <v>262</v>
      </c>
      <c r="X900">
        <v>-37.008299999999998</v>
      </c>
      <c r="Y900">
        <v>174.87049999999999</v>
      </c>
    </row>
    <row r="901" spans="1:25" x14ac:dyDescent="0.3">
      <c r="A901" t="s">
        <v>21</v>
      </c>
      <c r="B901" t="s">
        <v>2909</v>
      </c>
      <c r="C901" t="s">
        <v>270</v>
      </c>
      <c r="D901" t="s">
        <v>643</v>
      </c>
      <c r="E901">
        <v>55650</v>
      </c>
      <c r="H901" t="s">
        <v>2910</v>
      </c>
      <c r="I901" t="s">
        <v>2911</v>
      </c>
      <c r="J901" t="s">
        <v>390</v>
      </c>
      <c r="K901">
        <v>8051</v>
      </c>
      <c r="L901" t="s">
        <v>276</v>
      </c>
      <c r="M901" t="s">
        <v>390</v>
      </c>
      <c r="N901" t="s">
        <v>276</v>
      </c>
      <c r="P901" t="s">
        <v>260</v>
      </c>
      <c r="Q901" t="s">
        <v>260</v>
      </c>
      <c r="R901" t="s">
        <v>261</v>
      </c>
      <c r="S901" t="s">
        <v>21</v>
      </c>
      <c r="T901">
        <v>100</v>
      </c>
      <c r="W901" t="s">
        <v>262</v>
      </c>
      <c r="X901">
        <v>-43.476100000000002</v>
      </c>
      <c r="Y901">
        <v>172.51609999999999</v>
      </c>
    </row>
    <row r="902" spans="1:25" x14ac:dyDescent="0.3">
      <c r="A902" t="s">
        <v>21</v>
      </c>
      <c r="B902" t="s">
        <v>2912</v>
      </c>
      <c r="C902" t="s">
        <v>270</v>
      </c>
      <c r="D902" t="s">
        <v>2913</v>
      </c>
      <c r="E902">
        <v>10181</v>
      </c>
      <c r="G902">
        <v>10.180999999999999</v>
      </c>
      <c r="H902" t="s">
        <v>2433</v>
      </c>
      <c r="I902" t="s">
        <v>1343</v>
      </c>
      <c r="J902" t="s">
        <v>297</v>
      </c>
      <c r="K902">
        <v>2104</v>
      </c>
      <c r="L902" t="s">
        <v>276</v>
      </c>
      <c r="M902" t="s">
        <v>631</v>
      </c>
      <c r="N902" t="s">
        <v>276</v>
      </c>
      <c r="P902" t="s">
        <v>260</v>
      </c>
      <c r="Q902" t="s">
        <v>260</v>
      </c>
      <c r="R902" t="s">
        <v>283</v>
      </c>
      <c r="S902" t="s">
        <v>21</v>
      </c>
      <c r="T902">
        <v>100</v>
      </c>
      <c r="W902" t="s">
        <v>262</v>
      </c>
      <c r="X902">
        <v>-37.008299999999998</v>
      </c>
      <c r="Y902">
        <v>174.87049999999999</v>
      </c>
    </row>
    <row r="903" spans="1:25" x14ac:dyDescent="0.3">
      <c r="A903" t="s">
        <v>21</v>
      </c>
      <c r="B903" t="s">
        <v>2914</v>
      </c>
      <c r="C903" t="s">
        <v>270</v>
      </c>
      <c r="D903" t="s">
        <v>2915</v>
      </c>
      <c r="E903" t="s">
        <v>2915</v>
      </c>
      <c r="M903" t="s">
        <v>394</v>
      </c>
      <c r="N903" t="s">
        <v>276</v>
      </c>
      <c r="P903" t="s">
        <v>260</v>
      </c>
      <c r="Q903" t="s">
        <v>260</v>
      </c>
      <c r="R903" t="s">
        <v>283</v>
      </c>
      <c r="S903" t="s">
        <v>21</v>
      </c>
      <c r="T903">
        <v>100</v>
      </c>
      <c r="W903" t="s">
        <v>262</v>
      </c>
    </row>
    <row r="904" spans="1:25" x14ac:dyDescent="0.3">
      <c r="A904" t="s">
        <v>21</v>
      </c>
      <c r="B904" t="s">
        <v>2916</v>
      </c>
      <c r="C904" t="s">
        <v>270</v>
      </c>
      <c r="D904" t="s">
        <v>1069</v>
      </c>
      <c r="E904">
        <v>3523</v>
      </c>
      <c r="H904" t="s">
        <v>2433</v>
      </c>
      <c r="I904" t="s">
        <v>1343</v>
      </c>
      <c r="J904" t="s">
        <v>297</v>
      </c>
      <c r="K904">
        <v>2104</v>
      </c>
      <c r="L904" t="s">
        <v>276</v>
      </c>
      <c r="M904" t="s">
        <v>631</v>
      </c>
      <c r="N904" t="s">
        <v>276</v>
      </c>
      <c r="P904" t="s">
        <v>260</v>
      </c>
      <c r="Q904" t="s">
        <v>260</v>
      </c>
      <c r="R904" t="s">
        <v>261</v>
      </c>
      <c r="S904" t="s">
        <v>21</v>
      </c>
      <c r="T904">
        <v>100</v>
      </c>
      <c r="W904" t="s">
        <v>262</v>
      </c>
      <c r="X904">
        <v>-37.008299999999998</v>
      </c>
      <c r="Y904">
        <v>174.87049999999999</v>
      </c>
    </row>
    <row r="905" spans="1:25" x14ac:dyDescent="0.3">
      <c r="A905" t="s">
        <v>21</v>
      </c>
      <c r="B905" t="s">
        <v>2917</v>
      </c>
      <c r="C905" t="s">
        <v>270</v>
      </c>
      <c r="D905" t="s">
        <v>2918</v>
      </c>
      <c r="E905">
        <v>2000004704</v>
      </c>
      <c r="H905" t="s">
        <v>2433</v>
      </c>
      <c r="I905" t="s">
        <v>1343</v>
      </c>
      <c r="J905" t="s">
        <v>297</v>
      </c>
      <c r="K905">
        <v>2104</v>
      </c>
      <c r="L905" t="s">
        <v>276</v>
      </c>
      <c r="M905" t="s">
        <v>631</v>
      </c>
      <c r="N905" t="s">
        <v>276</v>
      </c>
      <c r="P905" t="s">
        <v>260</v>
      </c>
      <c r="Q905" t="s">
        <v>260</v>
      </c>
      <c r="R905" t="s">
        <v>268</v>
      </c>
      <c r="S905" t="s">
        <v>21</v>
      </c>
      <c r="T905">
        <v>100</v>
      </c>
      <c r="W905" t="s">
        <v>262</v>
      </c>
      <c r="X905">
        <v>-37.008299999999998</v>
      </c>
      <c r="Y905">
        <v>174.87049999999999</v>
      </c>
    </row>
    <row r="906" spans="1:25" x14ac:dyDescent="0.3">
      <c r="A906" t="s">
        <v>21</v>
      </c>
      <c r="B906" t="s">
        <v>2919</v>
      </c>
      <c r="C906" t="s">
        <v>270</v>
      </c>
      <c r="D906" t="s">
        <v>2920</v>
      </c>
      <c r="E906">
        <v>10248</v>
      </c>
      <c r="G906">
        <v>10.247999999999999</v>
      </c>
      <c r="H906" t="s">
        <v>2433</v>
      </c>
      <c r="I906" t="s">
        <v>1343</v>
      </c>
      <c r="J906" t="s">
        <v>297</v>
      </c>
      <c r="K906">
        <v>2104</v>
      </c>
      <c r="L906" t="s">
        <v>276</v>
      </c>
      <c r="M906" t="s">
        <v>631</v>
      </c>
      <c r="N906" t="s">
        <v>276</v>
      </c>
      <c r="P906" t="s">
        <v>260</v>
      </c>
      <c r="Q906" t="s">
        <v>260</v>
      </c>
      <c r="R906" t="s">
        <v>283</v>
      </c>
      <c r="S906" t="s">
        <v>21</v>
      </c>
      <c r="T906">
        <v>100</v>
      </c>
      <c r="W906" t="s">
        <v>262</v>
      </c>
      <c r="X906">
        <v>-37.008299999999998</v>
      </c>
      <c r="Y906">
        <v>174.87049999999999</v>
      </c>
    </row>
    <row r="907" spans="1:25" x14ac:dyDescent="0.3">
      <c r="A907" t="s">
        <v>21</v>
      </c>
      <c r="B907" t="s">
        <v>2921</v>
      </c>
      <c r="C907" t="s">
        <v>270</v>
      </c>
      <c r="D907" t="s">
        <v>2922</v>
      </c>
      <c r="E907" t="s">
        <v>2922</v>
      </c>
      <c r="F907" t="s">
        <v>2922</v>
      </c>
      <c r="M907" t="s">
        <v>411</v>
      </c>
      <c r="N907" t="s">
        <v>259</v>
      </c>
      <c r="P907" t="s">
        <v>260</v>
      </c>
      <c r="Q907" t="s">
        <v>260</v>
      </c>
      <c r="R907" t="s">
        <v>283</v>
      </c>
      <c r="S907" t="s">
        <v>21</v>
      </c>
      <c r="T907">
        <v>100</v>
      </c>
      <c r="W907" t="s">
        <v>262</v>
      </c>
    </row>
    <row r="908" spans="1:25" x14ac:dyDescent="0.3">
      <c r="A908" t="s">
        <v>21</v>
      </c>
      <c r="B908" t="s">
        <v>2923</v>
      </c>
      <c r="C908" t="s">
        <v>270</v>
      </c>
      <c r="D908" t="s">
        <v>2924</v>
      </c>
      <c r="E908">
        <v>2000004652</v>
      </c>
      <c r="M908" t="s">
        <v>631</v>
      </c>
      <c r="N908" t="s">
        <v>276</v>
      </c>
      <c r="P908" t="s">
        <v>260</v>
      </c>
      <c r="Q908" t="s">
        <v>260</v>
      </c>
      <c r="R908" t="s">
        <v>268</v>
      </c>
      <c r="S908" t="s">
        <v>21</v>
      </c>
      <c r="T908">
        <v>100</v>
      </c>
      <c r="W908" t="s">
        <v>262</v>
      </c>
    </row>
    <row r="909" spans="1:25" x14ac:dyDescent="0.3">
      <c r="A909" t="s">
        <v>21</v>
      </c>
      <c r="B909" t="s">
        <v>2925</v>
      </c>
      <c r="C909" t="s">
        <v>270</v>
      </c>
      <c r="D909" t="s">
        <v>2926</v>
      </c>
      <c r="E909">
        <v>10182</v>
      </c>
      <c r="G909">
        <v>10.182</v>
      </c>
      <c r="H909" t="s">
        <v>2433</v>
      </c>
      <c r="I909" t="s">
        <v>1343</v>
      </c>
      <c r="J909" t="s">
        <v>297</v>
      </c>
      <c r="K909">
        <v>2104</v>
      </c>
      <c r="L909" t="s">
        <v>276</v>
      </c>
      <c r="M909" t="s">
        <v>631</v>
      </c>
      <c r="N909" t="s">
        <v>276</v>
      </c>
      <c r="P909" t="s">
        <v>260</v>
      </c>
      <c r="Q909" t="s">
        <v>260</v>
      </c>
      <c r="R909" t="s">
        <v>283</v>
      </c>
      <c r="S909" t="s">
        <v>21</v>
      </c>
      <c r="T909">
        <v>100</v>
      </c>
      <c r="W909" t="s">
        <v>262</v>
      </c>
      <c r="X909">
        <v>-37.008299999999998</v>
      </c>
      <c r="Y909">
        <v>174.87049999999999</v>
      </c>
    </row>
    <row r="910" spans="1:25" x14ac:dyDescent="0.3">
      <c r="A910" t="s">
        <v>21</v>
      </c>
      <c r="B910" t="s">
        <v>2927</v>
      </c>
      <c r="C910" t="s">
        <v>299</v>
      </c>
      <c r="D910" t="s">
        <v>2928</v>
      </c>
      <c r="E910" t="s">
        <v>2928</v>
      </c>
      <c r="M910" t="s">
        <v>282</v>
      </c>
      <c r="N910" t="s">
        <v>259</v>
      </c>
      <c r="P910" t="s">
        <v>260</v>
      </c>
      <c r="Q910" t="s">
        <v>260</v>
      </c>
      <c r="R910" t="s">
        <v>261</v>
      </c>
      <c r="S910" t="s">
        <v>21</v>
      </c>
      <c r="T910">
        <v>100</v>
      </c>
      <c r="W910" t="s">
        <v>262</v>
      </c>
    </row>
    <row r="911" spans="1:25" x14ac:dyDescent="0.3">
      <c r="A911" t="s">
        <v>21</v>
      </c>
      <c r="B911" t="s">
        <v>2929</v>
      </c>
      <c r="C911" t="s">
        <v>270</v>
      </c>
      <c r="D911" t="s">
        <v>2930</v>
      </c>
      <c r="E911">
        <v>553348</v>
      </c>
      <c r="F911">
        <v>553348</v>
      </c>
      <c r="M911" t="s">
        <v>297</v>
      </c>
      <c r="N911" t="s">
        <v>276</v>
      </c>
      <c r="P911" t="s">
        <v>260</v>
      </c>
      <c r="Q911" t="s">
        <v>260</v>
      </c>
      <c r="R911" t="s">
        <v>261</v>
      </c>
      <c r="S911" t="s">
        <v>21</v>
      </c>
      <c r="T911">
        <v>100</v>
      </c>
      <c r="W911" t="s">
        <v>262</v>
      </c>
    </row>
    <row r="912" spans="1:25" x14ac:dyDescent="0.3">
      <c r="A912" t="s">
        <v>21</v>
      </c>
      <c r="B912" t="s">
        <v>2931</v>
      </c>
      <c r="C912" t="s">
        <v>270</v>
      </c>
      <c r="M912" t="s">
        <v>312</v>
      </c>
      <c r="N912" t="s">
        <v>259</v>
      </c>
      <c r="P912" t="s">
        <v>260</v>
      </c>
      <c r="Q912" t="s">
        <v>260</v>
      </c>
      <c r="R912" t="s">
        <v>313</v>
      </c>
      <c r="S912" t="s">
        <v>21</v>
      </c>
      <c r="T912">
        <v>100</v>
      </c>
      <c r="W912" t="s">
        <v>262</v>
      </c>
    </row>
    <row r="913" spans="1:28" x14ac:dyDescent="0.3">
      <c r="A913" t="s">
        <v>21</v>
      </c>
      <c r="B913" t="s">
        <v>2932</v>
      </c>
      <c r="C913" t="s">
        <v>253</v>
      </c>
      <c r="D913" t="s">
        <v>2933</v>
      </c>
      <c r="E913">
        <v>300208</v>
      </c>
      <c r="G913" t="s">
        <v>2934</v>
      </c>
      <c r="M913" t="s">
        <v>2935</v>
      </c>
      <c r="N913" t="s">
        <v>2936</v>
      </c>
      <c r="P913" t="s">
        <v>260</v>
      </c>
      <c r="Q913" t="s">
        <v>260</v>
      </c>
      <c r="R913" t="s">
        <v>261</v>
      </c>
      <c r="S913" t="s">
        <v>21</v>
      </c>
      <c r="T913">
        <v>100</v>
      </c>
      <c r="W913" t="s">
        <v>262</v>
      </c>
      <c r="AB913" s="9">
        <v>45870</v>
      </c>
    </row>
    <row r="914" spans="1:28" x14ac:dyDescent="0.3">
      <c r="A914" t="s">
        <v>21</v>
      </c>
      <c r="B914" t="s">
        <v>2937</v>
      </c>
      <c r="C914" t="s">
        <v>270</v>
      </c>
      <c r="D914" t="s">
        <v>2938</v>
      </c>
      <c r="E914">
        <v>550728</v>
      </c>
      <c r="M914" t="s">
        <v>297</v>
      </c>
      <c r="N914" t="s">
        <v>276</v>
      </c>
      <c r="P914" t="s">
        <v>260</v>
      </c>
      <c r="Q914" t="s">
        <v>260</v>
      </c>
      <c r="R914" t="s">
        <v>261</v>
      </c>
      <c r="S914" t="s">
        <v>21</v>
      </c>
      <c r="T914">
        <v>100</v>
      </c>
      <c r="W914" t="s">
        <v>262</v>
      </c>
    </row>
    <row r="915" spans="1:28" x14ac:dyDescent="0.3">
      <c r="A915" t="s">
        <v>21</v>
      </c>
      <c r="B915" t="s">
        <v>2939</v>
      </c>
      <c r="C915" t="s">
        <v>560</v>
      </c>
      <c r="D915" t="s">
        <v>2940</v>
      </c>
      <c r="E915">
        <v>8011</v>
      </c>
      <c r="G915" t="s">
        <v>2941</v>
      </c>
      <c r="H915" t="s">
        <v>551</v>
      </c>
      <c r="I915" t="s">
        <v>526</v>
      </c>
      <c r="J915" t="s">
        <v>335</v>
      </c>
      <c r="K915">
        <v>3000</v>
      </c>
      <c r="L915" t="s">
        <v>259</v>
      </c>
      <c r="M915" t="s">
        <v>282</v>
      </c>
      <c r="N915" t="s">
        <v>259</v>
      </c>
      <c r="P915" t="s">
        <v>260</v>
      </c>
      <c r="Q915" t="s">
        <v>260</v>
      </c>
      <c r="R915" t="s">
        <v>261</v>
      </c>
      <c r="S915" t="s">
        <v>21</v>
      </c>
      <c r="T915">
        <v>100</v>
      </c>
      <c r="W915" t="s">
        <v>262</v>
      </c>
      <c r="X915">
        <v>-37.819000000000003</v>
      </c>
      <c r="Y915">
        <v>144.95599999999999</v>
      </c>
      <c r="Z915">
        <v>692</v>
      </c>
      <c r="AA915" s="9">
        <v>42877</v>
      </c>
    </row>
    <row r="916" spans="1:28" x14ac:dyDescent="0.3">
      <c r="A916" t="s">
        <v>21</v>
      </c>
      <c r="B916" t="s">
        <v>2630</v>
      </c>
      <c r="C916" t="s">
        <v>270</v>
      </c>
      <c r="D916" t="s">
        <v>2942</v>
      </c>
      <c r="E916">
        <v>63930</v>
      </c>
      <c r="M916" t="s">
        <v>297</v>
      </c>
      <c r="N916" t="s">
        <v>276</v>
      </c>
      <c r="P916" t="s">
        <v>260</v>
      </c>
      <c r="Q916" t="s">
        <v>260</v>
      </c>
      <c r="R916" t="s">
        <v>283</v>
      </c>
      <c r="S916" t="s">
        <v>21</v>
      </c>
      <c r="T916">
        <v>100</v>
      </c>
      <c r="W916" t="s">
        <v>262</v>
      </c>
    </row>
    <row r="917" spans="1:28" x14ac:dyDescent="0.3">
      <c r="A917" t="s">
        <v>21</v>
      </c>
      <c r="B917" t="s">
        <v>2943</v>
      </c>
      <c r="C917" t="s">
        <v>270</v>
      </c>
      <c r="D917" t="s">
        <v>655</v>
      </c>
      <c r="E917">
        <v>55908</v>
      </c>
      <c r="M917" t="s">
        <v>631</v>
      </c>
      <c r="N917" t="s">
        <v>276</v>
      </c>
      <c r="P917" t="s">
        <v>260</v>
      </c>
      <c r="Q917" t="s">
        <v>260</v>
      </c>
      <c r="R917" t="s">
        <v>261</v>
      </c>
      <c r="S917" t="s">
        <v>21</v>
      </c>
      <c r="T917">
        <v>100</v>
      </c>
      <c r="W917" t="s">
        <v>262</v>
      </c>
    </row>
    <row r="918" spans="1:28" x14ac:dyDescent="0.3">
      <c r="A918" t="s">
        <v>21</v>
      </c>
      <c r="B918" t="s">
        <v>2944</v>
      </c>
      <c r="C918" t="s">
        <v>270</v>
      </c>
      <c r="D918" t="s">
        <v>2945</v>
      </c>
      <c r="E918">
        <v>56904</v>
      </c>
      <c r="M918" t="s">
        <v>297</v>
      </c>
      <c r="N918" t="s">
        <v>276</v>
      </c>
      <c r="P918" t="s">
        <v>260</v>
      </c>
      <c r="Q918" t="s">
        <v>260</v>
      </c>
      <c r="R918" t="s">
        <v>283</v>
      </c>
      <c r="S918" t="s">
        <v>21</v>
      </c>
      <c r="T918">
        <v>100</v>
      </c>
      <c r="W918" t="s">
        <v>262</v>
      </c>
    </row>
    <row r="919" spans="1:28" x14ac:dyDescent="0.3">
      <c r="A919" t="s">
        <v>21</v>
      </c>
      <c r="B919" t="s">
        <v>2946</v>
      </c>
      <c r="C919" t="s">
        <v>270</v>
      </c>
      <c r="D919" t="s">
        <v>2947</v>
      </c>
      <c r="E919" t="s">
        <v>2947</v>
      </c>
      <c r="M919" t="s">
        <v>411</v>
      </c>
      <c r="N919" t="s">
        <v>259</v>
      </c>
      <c r="P919" t="s">
        <v>260</v>
      </c>
      <c r="Q919" t="s">
        <v>260</v>
      </c>
      <c r="R919" t="s">
        <v>283</v>
      </c>
      <c r="S919" t="s">
        <v>21</v>
      </c>
      <c r="T919">
        <v>100</v>
      </c>
      <c r="W919" t="s">
        <v>262</v>
      </c>
    </row>
    <row r="920" spans="1:28" x14ac:dyDescent="0.3">
      <c r="A920" t="s">
        <v>21</v>
      </c>
      <c r="B920" t="s">
        <v>2948</v>
      </c>
      <c r="C920" t="s">
        <v>270</v>
      </c>
      <c r="D920" t="s">
        <v>1910</v>
      </c>
      <c r="E920">
        <v>9032</v>
      </c>
      <c r="H920" t="s">
        <v>2433</v>
      </c>
      <c r="I920" t="s">
        <v>1343</v>
      </c>
      <c r="J920" t="s">
        <v>297</v>
      </c>
      <c r="K920">
        <v>2104</v>
      </c>
      <c r="L920" t="s">
        <v>276</v>
      </c>
      <c r="M920" t="s">
        <v>631</v>
      </c>
      <c r="N920" t="s">
        <v>276</v>
      </c>
      <c r="P920" t="s">
        <v>260</v>
      </c>
      <c r="Q920" t="s">
        <v>260</v>
      </c>
      <c r="R920" t="s">
        <v>293</v>
      </c>
      <c r="S920" t="s">
        <v>21</v>
      </c>
      <c r="T920">
        <v>100</v>
      </c>
      <c r="W920" t="s">
        <v>262</v>
      </c>
      <c r="X920">
        <v>-37.008299999999998</v>
      </c>
      <c r="Y920">
        <v>174.87049999999999</v>
      </c>
    </row>
    <row r="921" spans="1:28" x14ac:dyDescent="0.3">
      <c r="A921" t="s">
        <v>21</v>
      </c>
      <c r="B921" t="s">
        <v>2949</v>
      </c>
      <c r="C921" t="s">
        <v>270</v>
      </c>
      <c r="D921" t="s">
        <v>2950</v>
      </c>
      <c r="E921">
        <v>10129</v>
      </c>
      <c r="G921">
        <v>10.129</v>
      </c>
      <c r="H921" t="s">
        <v>2433</v>
      </c>
      <c r="I921" t="s">
        <v>1343</v>
      </c>
      <c r="J921" t="s">
        <v>297</v>
      </c>
      <c r="K921">
        <v>2104</v>
      </c>
      <c r="L921" t="s">
        <v>276</v>
      </c>
      <c r="M921" t="s">
        <v>631</v>
      </c>
      <c r="N921" t="s">
        <v>276</v>
      </c>
      <c r="P921" t="s">
        <v>260</v>
      </c>
      <c r="Q921" t="s">
        <v>260</v>
      </c>
      <c r="R921" t="s">
        <v>268</v>
      </c>
      <c r="S921" t="s">
        <v>21</v>
      </c>
      <c r="T921">
        <v>100</v>
      </c>
      <c r="W921" t="s">
        <v>262</v>
      </c>
      <c r="X921">
        <v>-37.008299999999998</v>
      </c>
      <c r="Y921">
        <v>174.87049999999999</v>
      </c>
    </row>
    <row r="922" spans="1:28" x14ac:dyDescent="0.3">
      <c r="A922" t="s">
        <v>21</v>
      </c>
      <c r="B922" t="s">
        <v>2951</v>
      </c>
      <c r="C922" t="s">
        <v>270</v>
      </c>
      <c r="D922" t="s">
        <v>2952</v>
      </c>
      <c r="E922" t="s">
        <v>2952</v>
      </c>
      <c r="M922" t="s">
        <v>394</v>
      </c>
      <c r="N922" t="s">
        <v>276</v>
      </c>
      <c r="P922" t="s">
        <v>260</v>
      </c>
      <c r="Q922" t="s">
        <v>260</v>
      </c>
      <c r="R922" t="s">
        <v>283</v>
      </c>
      <c r="S922" t="s">
        <v>21</v>
      </c>
      <c r="T922">
        <v>100</v>
      </c>
      <c r="W922" t="s">
        <v>262</v>
      </c>
    </row>
    <row r="923" spans="1:28" x14ac:dyDescent="0.3">
      <c r="A923" t="s">
        <v>21</v>
      </c>
      <c r="B923" t="s">
        <v>2953</v>
      </c>
      <c r="C923" t="s">
        <v>270</v>
      </c>
      <c r="D923" t="s">
        <v>2954</v>
      </c>
      <c r="E923" t="s">
        <v>2954</v>
      </c>
      <c r="M923" t="s">
        <v>394</v>
      </c>
      <c r="N923" t="s">
        <v>276</v>
      </c>
      <c r="P923" t="s">
        <v>260</v>
      </c>
      <c r="Q923" t="s">
        <v>260</v>
      </c>
      <c r="R923" t="s">
        <v>283</v>
      </c>
      <c r="S923" t="s">
        <v>21</v>
      </c>
      <c r="T923">
        <v>100</v>
      </c>
      <c r="W923" t="s">
        <v>262</v>
      </c>
    </row>
    <row r="924" spans="1:28" x14ac:dyDescent="0.3">
      <c r="A924" t="s">
        <v>21</v>
      </c>
      <c r="B924" t="s">
        <v>2955</v>
      </c>
      <c r="C924" t="s">
        <v>270</v>
      </c>
      <c r="D924" t="s">
        <v>2956</v>
      </c>
      <c r="E924" t="s">
        <v>2956</v>
      </c>
      <c r="F924" t="s">
        <v>2956</v>
      </c>
      <c r="M924" t="s">
        <v>297</v>
      </c>
      <c r="N924" t="s">
        <v>276</v>
      </c>
      <c r="P924" t="s">
        <v>260</v>
      </c>
      <c r="Q924" t="s">
        <v>260</v>
      </c>
      <c r="R924" t="s">
        <v>283</v>
      </c>
      <c r="S924" t="s">
        <v>21</v>
      </c>
      <c r="T924">
        <v>100</v>
      </c>
      <c r="W924" t="s">
        <v>262</v>
      </c>
    </row>
    <row r="925" spans="1:28" x14ac:dyDescent="0.3">
      <c r="A925" t="s">
        <v>21</v>
      </c>
      <c r="B925" t="s">
        <v>2957</v>
      </c>
      <c r="C925" t="s">
        <v>270</v>
      </c>
      <c r="D925" t="s">
        <v>2958</v>
      </c>
      <c r="E925" t="s">
        <v>2958</v>
      </c>
      <c r="M925" t="s">
        <v>394</v>
      </c>
      <c r="N925" t="s">
        <v>276</v>
      </c>
      <c r="P925" t="s">
        <v>260</v>
      </c>
      <c r="Q925" t="s">
        <v>260</v>
      </c>
      <c r="R925" t="s">
        <v>283</v>
      </c>
      <c r="S925" t="s">
        <v>21</v>
      </c>
      <c r="T925">
        <v>100</v>
      </c>
      <c r="W925" t="s">
        <v>262</v>
      </c>
    </row>
    <row r="926" spans="1:28" x14ac:dyDescent="0.3">
      <c r="A926" t="s">
        <v>21</v>
      </c>
      <c r="B926" t="s">
        <v>2959</v>
      </c>
      <c r="C926" t="s">
        <v>270</v>
      </c>
      <c r="D926" t="s">
        <v>2960</v>
      </c>
      <c r="E926" t="s">
        <v>2960</v>
      </c>
      <c r="M926" t="s">
        <v>394</v>
      </c>
      <c r="N926" t="s">
        <v>276</v>
      </c>
      <c r="P926" t="s">
        <v>260</v>
      </c>
      <c r="Q926" t="s">
        <v>260</v>
      </c>
      <c r="R926" t="s">
        <v>283</v>
      </c>
      <c r="S926" t="s">
        <v>21</v>
      </c>
      <c r="T926">
        <v>100</v>
      </c>
      <c r="W926" t="s">
        <v>262</v>
      </c>
    </row>
    <row r="927" spans="1:28" x14ac:dyDescent="0.3">
      <c r="A927" t="s">
        <v>21</v>
      </c>
      <c r="B927" t="s">
        <v>2961</v>
      </c>
      <c r="C927" t="s">
        <v>270</v>
      </c>
      <c r="D927" t="s">
        <v>2962</v>
      </c>
      <c r="E927" t="s">
        <v>2962</v>
      </c>
      <c r="F927" t="s">
        <v>2962</v>
      </c>
      <c r="M927" t="s">
        <v>297</v>
      </c>
      <c r="N927" t="s">
        <v>276</v>
      </c>
      <c r="P927" t="s">
        <v>260</v>
      </c>
      <c r="Q927" t="s">
        <v>260</v>
      </c>
      <c r="R927" t="s">
        <v>283</v>
      </c>
      <c r="S927" t="s">
        <v>21</v>
      </c>
      <c r="T927">
        <v>100</v>
      </c>
      <c r="W927" t="s">
        <v>262</v>
      </c>
    </row>
    <row r="928" spans="1:28" x14ac:dyDescent="0.3">
      <c r="A928" t="s">
        <v>21</v>
      </c>
      <c r="B928" t="s">
        <v>2963</v>
      </c>
      <c r="C928" t="s">
        <v>270</v>
      </c>
      <c r="D928" t="s">
        <v>2964</v>
      </c>
      <c r="E928" t="s">
        <v>2964</v>
      </c>
      <c r="M928" t="s">
        <v>394</v>
      </c>
      <c r="N928" t="s">
        <v>276</v>
      </c>
      <c r="P928" t="s">
        <v>260</v>
      </c>
      <c r="Q928" t="s">
        <v>260</v>
      </c>
      <c r="R928" t="s">
        <v>283</v>
      </c>
      <c r="S928" t="s">
        <v>21</v>
      </c>
      <c r="T928">
        <v>100</v>
      </c>
      <c r="W928" t="s">
        <v>262</v>
      </c>
    </row>
    <row r="929" spans="1:25" x14ac:dyDescent="0.3">
      <c r="A929" t="s">
        <v>21</v>
      </c>
      <c r="B929" t="s">
        <v>2965</v>
      </c>
      <c r="C929" t="s">
        <v>270</v>
      </c>
      <c r="D929" t="s">
        <v>2966</v>
      </c>
      <c r="E929" t="s">
        <v>2966</v>
      </c>
      <c r="M929" t="s">
        <v>394</v>
      </c>
      <c r="N929" t="s">
        <v>276</v>
      </c>
      <c r="P929" t="s">
        <v>260</v>
      </c>
      <c r="Q929" t="s">
        <v>260</v>
      </c>
      <c r="R929" t="s">
        <v>283</v>
      </c>
      <c r="S929" t="s">
        <v>21</v>
      </c>
      <c r="T929">
        <v>100</v>
      </c>
      <c r="W929" t="s">
        <v>262</v>
      </c>
    </row>
    <row r="930" spans="1:25" x14ac:dyDescent="0.3">
      <c r="A930" t="s">
        <v>21</v>
      </c>
      <c r="B930" t="s">
        <v>2967</v>
      </c>
      <c r="C930" t="s">
        <v>270</v>
      </c>
      <c r="D930" t="s">
        <v>2968</v>
      </c>
      <c r="E930" t="s">
        <v>2968</v>
      </c>
      <c r="F930" t="s">
        <v>2968</v>
      </c>
      <c r="M930" t="s">
        <v>297</v>
      </c>
      <c r="N930" t="s">
        <v>276</v>
      </c>
      <c r="P930" t="s">
        <v>260</v>
      </c>
      <c r="Q930" t="s">
        <v>260</v>
      </c>
      <c r="R930" t="s">
        <v>283</v>
      </c>
      <c r="S930" t="s">
        <v>21</v>
      </c>
      <c r="T930">
        <v>100</v>
      </c>
      <c r="W930" t="s">
        <v>262</v>
      </c>
    </row>
    <row r="931" spans="1:25" x14ac:dyDescent="0.3">
      <c r="A931" t="s">
        <v>21</v>
      </c>
      <c r="B931" t="s">
        <v>2969</v>
      </c>
      <c r="C931" t="s">
        <v>270</v>
      </c>
      <c r="D931" t="s">
        <v>2970</v>
      </c>
      <c r="E931" t="s">
        <v>2970</v>
      </c>
      <c r="M931" t="s">
        <v>394</v>
      </c>
      <c r="N931" t="s">
        <v>276</v>
      </c>
      <c r="P931" t="s">
        <v>260</v>
      </c>
      <c r="Q931" t="s">
        <v>260</v>
      </c>
      <c r="R931" t="s">
        <v>283</v>
      </c>
      <c r="S931" t="s">
        <v>21</v>
      </c>
      <c r="T931">
        <v>100</v>
      </c>
      <c r="W931" t="s">
        <v>262</v>
      </c>
    </row>
    <row r="932" spans="1:25" x14ac:dyDescent="0.3">
      <c r="A932" t="s">
        <v>21</v>
      </c>
      <c r="B932" t="s">
        <v>2971</v>
      </c>
      <c r="C932" t="s">
        <v>270</v>
      </c>
      <c r="D932" t="s">
        <v>2972</v>
      </c>
      <c r="E932" t="s">
        <v>2972</v>
      </c>
      <c r="M932" t="s">
        <v>394</v>
      </c>
      <c r="N932" t="s">
        <v>276</v>
      </c>
      <c r="P932" t="s">
        <v>260</v>
      </c>
      <c r="Q932" t="s">
        <v>260</v>
      </c>
      <c r="R932" t="s">
        <v>283</v>
      </c>
      <c r="S932" t="s">
        <v>21</v>
      </c>
      <c r="T932">
        <v>100</v>
      </c>
      <c r="W932" t="s">
        <v>262</v>
      </c>
    </row>
    <row r="933" spans="1:25" x14ac:dyDescent="0.3">
      <c r="A933" t="s">
        <v>21</v>
      </c>
      <c r="B933" t="s">
        <v>2973</v>
      </c>
      <c r="C933" t="s">
        <v>270</v>
      </c>
      <c r="D933" t="s">
        <v>2974</v>
      </c>
      <c r="E933" t="s">
        <v>2974</v>
      </c>
      <c r="M933" t="s">
        <v>394</v>
      </c>
      <c r="N933" t="s">
        <v>276</v>
      </c>
      <c r="P933" t="s">
        <v>260</v>
      </c>
      <c r="Q933" t="s">
        <v>260</v>
      </c>
      <c r="R933" t="s">
        <v>283</v>
      </c>
      <c r="S933" t="s">
        <v>21</v>
      </c>
      <c r="T933">
        <v>100</v>
      </c>
      <c r="W933" t="s">
        <v>262</v>
      </c>
    </row>
    <row r="934" spans="1:25" x14ac:dyDescent="0.3">
      <c r="A934" t="s">
        <v>21</v>
      </c>
      <c r="B934" t="s">
        <v>2975</v>
      </c>
      <c r="C934" t="s">
        <v>270</v>
      </c>
      <c r="D934" t="s">
        <v>2976</v>
      </c>
      <c r="E934">
        <v>8882</v>
      </c>
      <c r="M934" t="s">
        <v>631</v>
      </c>
      <c r="N934" t="s">
        <v>276</v>
      </c>
      <c r="P934" t="s">
        <v>260</v>
      </c>
      <c r="Q934" t="s">
        <v>260</v>
      </c>
      <c r="R934" t="s">
        <v>261</v>
      </c>
      <c r="S934" t="s">
        <v>21</v>
      </c>
      <c r="T934">
        <v>100</v>
      </c>
      <c r="W934" t="s">
        <v>262</v>
      </c>
    </row>
    <row r="935" spans="1:25" x14ac:dyDescent="0.3">
      <c r="A935" t="s">
        <v>21</v>
      </c>
      <c r="B935" t="s">
        <v>2977</v>
      </c>
      <c r="C935" t="s">
        <v>270</v>
      </c>
      <c r="D935" t="s">
        <v>2978</v>
      </c>
      <c r="E935">
        <v>8135</v>
      </c>
      <c r="G935" t="s">
        <v>2979</v>
      </c>
      <c r="M935" t="s">
        <v>297</v>
      </c>
      <c r="N935" t="s">
        <v>276</v>
      </c>
      <c r="P935" t="s">
        <v>260</v>
      </c>
      <c r="Q935" t="s">
        <v>260</v>
      </c>
      <c r="R935" t="s">
        <v>261</v>
      </c>
      <c r="S935" t="s">
        <v>21</v>
      </c>
      <c r="T935">
        <v>100</v>
      </c>
      <c r="W935" t="s">
        <v>262</v>
      </c>
    </row>
    <row r="936" spans="1:25" x14ac:dyDescent="0.3">
      <c r="A936" t="s">
        <v>21</v>
      </c>
      <c r="B936" t="s">
        <v>2980</v>
      </c>
      <c r="C936" t="s">
        <v>270</v>
      </c>
      <c r="D936" t="s">
        <v>2981</v>
      </c>
      <c r="E936">
        <v>8881</v>
      </c>
      <c r="G936" t="s">
        <v>2982</v>
      </c>
      <c r="M936" t="s">
        <v>631</v>
      </c>
      <c r="N936" t="s">
        <v>276</v>
      </c>
      <c r="P936" t="s">
        <v>260</v>
      </c>
      <c r="Q936" t="s">
        <v>260</v>
      </c>
      <c r="R936" t="s">
        <v>261</v>
      </c>
      <c r="S936" t="s">
        <v>21</v>
      </c>
      <c r="T936">
        <v>100</v>
      </c>
      <c r="W936" t="s">
        <v>262</v>
      </c>
    </row>
    <row r="937" spans="1:25" x14ac:dyDescent="0.3">
      <c r="A937" t="s">
        <v>21</v>
      </c>
      <c r="B937" t="s">
        <v>2983</v>
      </c>
      <c r="C937" t="s">
        <v>299</v>
      </c>
      <c r="D937" t="s">
        <v>2976</v>
      </c>
      <c r="E937" t="s">
        <v>2976</v>
      </c>
      <c r="M937" t="s">
        <v>394</v>
      </c>
      <c r="N937" t="s">
        <v>276</v>
      </c>
      <c r="P937" t="s">
        <v>260</v>
      </c>
      <c r="Q937" t="s">
        <v>260</v>
      </c>
      <c r="R937" t="s">
        <v>261</v>
      </c>
      <c r="S937" t="s">
        <v>21</v>
      </c>
      <c r="T937">
        <v>100</v>
      </c>
      <c r="W937" t="s">
        <v>262</v>
      </c>
    </row>
    <row r="938" spans="1:25" x14ac:dyDescent="0.3">
      <c r="A938" t="s">
        <v>21</v>
      </c>
      <c r="B938" t="s">
        <v>2984</v>
      </c>
      <c r="C938" t="s">
        <v>270</v>
      </c>
      <c r="D938" t="s">
        <v>2985</v>
      </c>
      <c r="E938">
        <v>55377</v>
      </c>
      <c r="F938">
        <v>55377</v>
      </c>
      <c r="M938" t="s">
        <v>275</v>
      </c>
      <c r="N938" t="s">
        <v>276</v>
      </c>
      <c r="P938" t="s">
        <v>260</v>
      </c>
      <c r="Q938" t="s">
        <v>260</v>
      </c>
      <c r="R938" t="s">
        <v>261</v>
      </c>
      <c r="S938" t="s">
        <v>21</v>
      </c>
      <c r="T938">
        <v>100</v>
      </c>
      <c r="W938" t="s">
        <v>262</v>
      </c>
    </row>
    <row r="939" spans="1:25" x14ac:dyDescent="0.3">
      <c r="A939" t="s">
        <v>21</v>
      </c>
      <c r="B939" t="s">
        <v>2986</v>
      </c>
      <c r="C939" t="s">
        <v>270</v>
      </c>
      <c r="D939" t="s">
        <v>2987</v>
      </c>
      <c r="E939">
        <v>55173</v>
      </c>
      <c r="M939" t="s">
        <v>631</v>
      </c>
      <c r="N939" t="s">
        <v>276</v>
      </c>
      <c r="P939" t="s">
        <v>260</v>
      </c>
      <c r="Q939" t="s">
        <v>260</v>
      </c>
      <c r="R939" t="s">
        <v>261</v>
      </c>
      <c r="S939" t="s">
        <v>21</v>
      </c>
      <c r="T939">
        <v>100</v>
      </c>
      <c r="W939" t="s">
        <v>262</v>
      </c>
    </row>
    <row r="940" spans="1:25" x14ac:dyDescent="0.3">
      <c r="A940" t="s">
        <v>21</v>
      </c>
      <c r="B940" t="s">
        <v>2988</v>
      </c>
      <c r="C940" t="s">
        <v>270</v>
      </c>
      <c r="D940" t="s">
        <v>2989</v>
      </c>
      <c r="E940">
        <v>55310</v>
      </c>
      <c r="H940" t="s">
        <v>2433</v>
      </c>
      <c r="I940" t="s">
        <v>1343</v>
      </c>
      <c r="J940" t="s">
        <v>297</v>
      </c>
      <c r="K940">
        <v>2104</v>
      </c>
      <c r="L940" t="s">
        <v>276</v>
      </c>
      <c r="M940" t="s">
        <v>631</v>
      </c>
      <c r="N940" t="s">
        <v>276</v>
      </c>
      <c r="P940" t="s">
        <v>260</v>
      </c>
      <c r="Q940" t="s">
        <v>260</v>
      </c>
      <c r="R940" t="s">
        <v>261</v>
      </c>
      <c r="S940" t="s">
        <v>21</v>
      </c>
      <c r="T940">
        <v>100</v>
      </c>
      <c r="W940" t="s">
        <v>262</v>
      </c>
      <c r="X940">
        <v>-37.008299999999998</v>
      </c>
      <c r="Y940">
        <v>174.87049999999999</v>
      </c>
    </row>
    <row r="941" spans="1:25" x14ac:dyDescent="0.3">
      <c r="A941" t="s">
        <v>21</v>
      </c>
      <c r="B941" t="s">
        <v>2990</v>
      </c>
      <c r="C941" t="s">
        <v>270</v>
      </c>
      <c r="D941" t="s">
        <v>2991</v>
      </c>
      <c r="E941">
        <v>55185</v>
      </c>
      <c r="H941" t="s">
        <v>2433</v>
      </c>
      <c r="I941" t="s">
        <v>1343</v>
      </c>
      <c r="J941" t="s">
        <v>297</v>
      </c>
      <c r="K941">
        <v>2104</v>
      </c>
      <c r="L941" t="s">
        <v>276</v>
      </c>
      <c r="M941" t="s">
        <v>631</v>
      </c>
      <c r="N941" t="s">
        <v>276</v>
      </c>
      <c r="P941" t="s">
        <v>260</v>
      </c>
      <c r="Q941" t="s">
        <v>260</v>
      </c>
      <c r="R941" t="s">
        <v>261</v>
      </c>
      <c r="S941" t="s">
        <v>21</v>
      </c>
      <c r="T941">
        <v>100</v>
      </c>
      <c r="W941" t="s">
        <v>262</v>
      </c>
      <c r="X941">
        <v>-37.008299999999998</v>
      </c>
      <c r="Y941">
        <v>174.87049999999999</v>
      </c>
    </row>
    <row r="942" spans="1:25" x14ac:dyDescent="0.3">
      <c r="A942" t="s">
        <v>21</v>
      </c>
      <c r="B942" t="s">
        <v>2992</v>
      </c>
      <c r="C942" t="s">
        <v>270</v>
      </c>
      <c r="D942" t="s">
        <v>2993</v>
      </c>
      <c r="E942" t="s">
        <v>2993</v>
      </c>
      <c r="M942" t="s">
        <v>411</v>
      </c>
      <c r="N942" t="s">
        <v>259</v>
      </c>
      <c r="P942" t="s">
        <v>260</v>
      </c>
      <c r="Q942" t="s">
        <v>260</v>
      </c>
      <c r="R942" t="s">
        <v>283</v>
      </c>
      <c r="S942" t="s">
        <v>21</v>
      </c>
      <c r="T942">
        <v>100</v>
      </c>
      <c r="W942" t="s">
        <v>262</v>
      </c>
    </row>
    <row r="943" spans="1:25" x14ac:dyDescent="0.3">
      <c r="A943" t="s">
        <v>21</v>
      </c>
      <c r="B943" t="s">
        <v>2994</v>
      </c>
      <c r="C943" t="s">
        <v>270</v>
      </c>
      <c r="D943" t="s">
        <v>2995</v>
      </c>
      <c r="E943">
        <v>56790</v>
      </c>
      <c r="M943" t="s">
        <v>297</v>
      </c>
      <c r="N943" t="s">
        <v>276</v>
      </c>
      <c r="P943" t="s">
        <v>260</v>
      </c>
      <c r="Q943" t="s">
        <v>260</v>
      </c>
      <c r="R943" t="s">
        <v>283</v>
      </c>
      <c r="S943" t="s">
        <v>21</v>
      </c>
      <c r="T943">
        <v>100</v>
      </c>
      <c r="W943" t="s">
        <v>262</v>
      </c>
    </row>
    <row r="944" spans="1:25" x14ac:dyDescent="0.3">
      <c r="A944" t="s">
        <v>21</v>
      </c>
      <c r="B944" t="s">
        <v>2996</v>
      </c>
      <c r="C944" t="s">
        <v>270</v>
      </c>
      <c r="D944" t="s">
        <v>2997</v>
      </c>
      <c r="E944" t="s">
        <v>2997</v>
      </c>
      <c r="M944" t="s">
        <v>394</v>
      </c>
      <c r="N944" t="s">
        <v>276</v>
      </c>
      <c r="P944" t="s">
        <v>260</v>
      </c>
      <c r="Q944" t="s">
        <v>260</v>
      </c>
      <c r="R944" t="s">
        <v>283</v>
      </c>
      <c r="S944" t="s">
        <v>21</v>
      </c>
      <c r="T944">
        <v>100</v>
      </c>
      <c r="W944" t="s">
        <v>262</v>
      </c>
    </row>
    <row r="945" spans="1:28" x14ac:dyDescent="0.3">
      <c r="A945" t="s">
        <v>21</v>
      </c>
      <c r="B945" t="s">
        <v>2998</v>
      </c>
      <c r="C945" t="s">
        <v>270</v>
      </c>
      <c r="D945" t="s">
        <v>2999</v>
      </c>
      <c r="E945">
        <v>8140</v>
      </c>
      <c r="H945" t="s">
        <v>2433</v>
      </c>
      <c r="I945" t="s">
        <v>1343</v>
      </c>
      <c r="J945" t="s">
        <v>297</v>
      </c>
      <c r="K945">
        <v>2104</v>
      </c>
      <c r="L945" t="s">
        <v>276</v>
      </c>
      <c r="M945" t="s">
        <v>631</v>
      </c>
      <c r="N945" t="s">
        <v>276</v>
      </c>
      <c r="P945" t="s">
        <v>260</v>
      </c>
      <c r="Q945" t="s">
        <v>260</v>
      </c>
      <c r="R945" t="s">
        <v>261</v>
      </c>
      <c r="S945" t="s">
        <v>21</v>
      </c>
      <c r="T945">
        <v>100</v>
      </c>
      <c r="W945" t="s">
        <v>262</v>
      </c>
      <c r="X945">
        <v>-37.008299999999998</v>
      </c>
      <c r="Y945">
        <v>174.87049999999999</v>
      </c>
    </row>
    <row r="946" spans="1:28" x14ac:dyDescent="0.3">
      <c r="A946" t="s">
        <v>21</v>
      </c>
      <c r="B946" t="s">
        <v>3000</v>
      </c>
      <c r="C946" t="s">
        <v>270</v>
      </c>
      <c r="D946" t="s">
        <v>1944</v>
      </c>
      <c r="E946">
        <v>8104</v>
      </c>
      <c r="H946" t="s">
        <v>2433</v>
      </c>
      <c r="I946" t="s">
        <v>1343</v>
      </c>
      <c r="J946" t="s">
        <v>297</v>
      </c>
      <c r="K946">
        <v>2104</v>
      </c>
      <c r="L946" t="s">
        <v>276</v>
      </c>
      <c r="M946" t="s">
        <v>631</v>
      </c>
      <c r="N946" t="s">
        <v>276</v>
      </c>
      <c r="P946" t="s">
        <v>260</v>
      </c>
      <c r="Q946" t="s">
        <v>260</v>
      </c>
      <c r="R946" t="s">
        <v>261</v>
      </c>
      <c r="S946" t="s">
        <v>21</v>
      </c>
      <c r="T946">
        <v>100</v>
      </c>
      <c r="W946" t="s">
        <v>262</v>
      </c>
      <c r="X946">
        <v>-37.008299999999998</v>
      </c>
      <c r="Y946">
        <v>174.87049999999999</v>
      </c>
    </row>
    <row r="947" spans="1:28" x14ac:dyDescent="0.3">
      <c r="A947" t="s">
        <v>21</v>
      </c>
      <c r="B947" t="s">
        <v>3001</v>
      </c>
      <c r="C947" t="s">
        <v>270</v>
      </c>
      <c r="D947" t="s">
        <v>3002</v>
      </c>
      <c r="E947">
        <v>8880</v>
      </c>
      <c r="M947" t="s">
        <v>631</v>
      </c>
      <c r="N947" t="s">
        <v>276</v>
      </c>
      <c r="P947" t="s">
        <v>260</v>
      </c>
      <c r="Q947" t="s">
        <v>260</v>
      </c>
      <c r="R947" t="s">
        <v>261</v>
      </c>
      <c r="S947" t="s">
        <v>21</v>
      </c>
      <c r="T947">
        <v>100</v>
      </c>
      <c r="W947" t="s">
        <v>262</v>
      </c>
    </row>
    <row r="948" spans="1:28" x14ac:dyDescent="0.3">
      <c r="A948" t="s">
        <v>21</v>
      </c>
      <c r="B948" t="s">
        <v>3003</v>
      </c>
      <c r="C948" t="s">
        <v>270</v>
      </c>
      <c r="D948" t="s">
        <v>1037</v>
      </c>
      <c r="E948">
        <v>8840</v>
      </c>
      <c r="H948" t="s">
        <v>2433</v>
      </c>
      <c r="I948" t="s">
        <v>1343</v>
      </c>
      <c r="J948" t="s">
        <v>297</v>
      </c>
      <c r="K948">
        <v>2104</v>
      </c>
      <c r="L948" t="s">
        <v>276</v>
      </c>
      <c r="M948" t="s">
        <v>631</v>
      </c>
      <c r="N948" t="s">
        <v>276</v>
      </c>
      <c r="P948" t="s">
        <v>260</v>
      </c>
      <c r="Q948" t="s">
        <v>260</v>
      </c>
      <c r="R948" t="s">
        <v>261</v>
      </c>
      <c r="S948" t="s">
        <v>21</v>
      </c>
      <c r="T948">
        <v>100</v>
      </c>
      <c r="W948" t="s">
        <v>262</v>
      </c>
      <c r="X948">
        <v>-37.008299999999998</v>
      </c>
      <c r="Y948">
        <v>174.87049999999999</v>
      </c>
    </row>
    <row r="949" spans="1:28" x14ac:dyDescent="0.3">
      <c r="A949" t="s">
        <v>21</v>
      </c>
      <c r="B949" t="s">
        <v>3004</v>
      </c>
      <c r="C949" t="s">
        <v>270</v>
      </c>
      <c r="D949" t="s">
        <v>3005</v>
      </c>
      <c r="E949">
        <v>55397</v>
      </c>
      <c r="H949" t="s">
        <v>2433</v>
      </c>
      <c r="I949" t="s">
        <v>1343</v>
      </c>
      <c r="J949" t="s">
        <v>297</v>
      </c>
      <c r="K949">
        <v>2104</v>
      </c>
      <c r="L949" t="s">
        <v>276</v>
      </c>
      <c r="M949" t="s">
        <v>631</v>
      </c>
      <c r="N949" t="s">
        <v>276</v>
      </c>
      <c r="P949" t="s">
        <v>260</v>
      </c>
      <c r="Q949" t="s">
        <v>260</v>
      </c>
      <c r="R949" t="s">
        <v>261</v>
      </c>
      <c r="S949" t="s">
        <v>21</v>
      </c>
      <c r="T949">
        <v>100</v>
      </c>
      <c r="W949" t="s">
        <v>262</v>
      </c>
      <c r="X949">
        <v>-37.008299999999998</v>
      </c>
      <c r="Y949">
        <v>174.87049999999999</v>
      </c>
    </row>
    <row r="950" spans="1:28" x14ac:dyDescent="0.3">
      <c r="A950" t="s">
        <v>21</v>
      </c>
      <c r="B950" t="s">
        <v>3006</v>
      </c>
      <c r="C950" t="s">
        <v>299</v>
      </c>
      <c r="D950" t="s">
        <v>3007</v>
      </c>
      <c r="E950">
        <v>17021040</v>
      </c>
      <c r="G950" t="s">
        <v>3008</v>
      </c>
      <c r="H950" t="s">
        <v>3009</v>
      </c>
      <c r="I950" t="s">
        <v>3010</v>
      </c>
      <c r="J950" t="s">
        <v>307</v>
      </c>
      <c r="K950">
        <v>5723</v>
      </c>
      <c r="M950" t="s">
        <v>307</v>
      </c>
      <c r="N950" t="s">
        <v>259</v>
      </c>
      <c r="P950" t="s">
        <v>260</v>
      </c>
      <c r="Q950" t="s">
        <v>260</v>
      </c>
      <c r="R950" t="s">
        <v>261</v>
      </c>
      <c r="S950" t="s">
        <v>21</v>
      </c>
      <c r="T950">
        <v>100</v>
      </c>
      <c r="W950" t="s">
        <v>262</v>
      </c>
    </row>
    <row r="951" spans="1:28" x14ac:dyDescent="0.3">
      <c r="A951" t="s">
        <v>21</v>
      </c>
      <c r="B951" t="s">
        <v>3011</v>
      </c>
      <c r="C951" t="s">
        <v>264</v>
      </c>
      <c r="D951" t="s">
        <v>265</v>
      </c>
      <c r="E951">
        <v>2001</v>
      </c>
      <c r="F951">
        <v>2001</v>
      </c>
      <c r="G951" t="s">
        <v>266</v>
      </c>
      <c r="M951" t="s">
        <v>267</v>
      </c>
      <c r="N951" t="s">
        <v>259</v>
      </c>
      <c r="P951" t="s">
        <v>260</v>
      </c>
      <c r="Q951" t="s">
        <v>260</v>
      </c>
      <c r="R951" t="s">
        <v>268</v>
      </c>
      <c r="S951" t="s">
        <v>21</v>
      </c>
      <c r="T951">
        <v>100</v>
      </c>
      <c r="U951" s="9">
        <v>43405</v>
      </c>
      <c r="V951" s="9">
        <v>44500</v>
      </c>
      <c r="W951" t="s">
        <v>262</v>
      </c>
      <c r="X951">
        <v>-35.273000000000003</v>
      </c>
      <c r="Y951">
        <v>149.13300000000001</v>
      </c>
      <c r="Z951">
        <v>760</v>
      </c>
      <c r="AA951" s="9">
        <v>42583</v>
      </c>
      <c r="AB951" s="9">
        <v>44901</v>
      </c>
    </row>
    <row r="952" spans="1:28" x14ac:dyDescent="0.3">
      <c r="A952" t="s">
        <v>21</v>
      </c>
      <c r="B952" t="s">
        <v>3011</v>
      </c>
      <c r="C952" t="s">
        <v>264</v>
      </c>
      <c r="D952" t="s">
        <v>265</v>
      </c>
      <c r="E952">
        <v>2001</v>
      </c>
      <c r="F952">
        <v>2001</v>
      </c>
      <c r="G952" t="s">
        <v>266</v>
      </c>
      <c r="M952" t="s">
        <v>267</v>
      </c>
      <c r="N952" t="s">
        <v>259</v>
      </c>
      <c r="P952" t="s">
        <v>260</v>
      </c>
      <c r="Q952" t="s">
        <v>260</v>
      </c>
      <c r="R952" t="s">
        <v>268</v>
      </c>
      <c r="S952" t="s">
        <v>21</v>
      </c>
      <c r="T952">
        <v>100</v>
      </c>
      <c r="U952" s="9">
        <v>43405</v>
      </c>
      <c r="V952" s="9">
        <v>44500</v>
      </c>
      <c r="W952" t="s">
        <v>262</v>
      </c>
      <c r="X952">
        <v>-35.273000000000003</v>
      </c>
      <c r="Y952">
        <v>149.13300000000001</v>
      </c>
      <c r="Z952">
        <v>760</v>
      </c>
      <c r="AA952" s="9">
        <v>42583</v>
      </c>
      <c r="AB952" s="9">
        <v>44901</v>
      </c>
    </row>
    <row r="953" spans="1:28" x14ac:dyDescent="0.3">
      <c r="A953" t="s">
        <v>21</v>
      </c>
      <c r="B953" t="s">
        <v>3012</v>
      </c>
      <c r="C953" t="s">
        <v>270</v>
      </c>
      <c r="D953" t="s">
        <v>3013</v>
      </c>
      <c r="E953" t="s">
        <v>3014</v>
      </c>
      <c r="H953" t="s">
        <v>2433</v>
      </c>
      <c r="I953" t="s">
        <v>1343</v>
      </c>
      <c r="J953" t="s">
        <v>297</v>
      </c>
      <c r="K953">
        <v>2104</v>
      </c>
      <c r="L953" t="s">
        <v>276</v>
      </c>
      <c r="M953" t="s">
        <v>631</v>
      </c>
      <c r="N953" t="s">
        <v>276</v>
      </c>
      <c r="P953" t="s">
        <v>260</v>
      </c>
      <c r="Q953" t="s">
        <v>260</v>
      </c>
      <c r="R953" t="s">
        <v>283</v>
      </c>
      <c r="S953" t="s">
        <v>21</v>
      </c>
      <c r="T953">
        <v>100</v>
      </c>
      <c r="W953" t="s">
        <v>262</v>
      </c>
      <c r="X953">
        <v>-37.008299999999998</v>
      </c>
      <c r="Y953">
        <v>174.87049999999999</v>
      </c>
    </row>
    <row r="954" spans="1:28" x14ac:dyDescent="0.3">
      <c r="A954" t="s">
        <v>21</v>
      </c>
      <c r="B954" t="s">
        <v>3015</v>
      </c>
      <c r="C954" t="s">
        <v>264</v>
      </c>
      <c r="D954" t="s">
        <v>1523</v>
      </c>
      <c r="E954" t="s">
        <v>1523</v>
      </c>
      <c r="H954" t="s">
        <v>3016</v>
      </c>
      <c r="I954" t="s">
        <v>3017</v>
      </c>
      <c r="J954" t="s">
        <v>318</v>
      </c>
      <c r="K954">
        <v>4870</v>
      </c>
      <c r="M954" t="s">
        <v>302</v>
      </c>
      <c r="N954" t="s">
        <v>259</v>
      </c>
      <c r="P954" t="s">
        <v>260</v>
      </c>
      <c r="Q954" t="s">
        <v>260</v>
      </c>
      <c r="R954" t="s">
        <v>293</v>
      </c>
      <c r="S954" t="s">
        <v>21</v>
      </c>
      <c r="T954">
        <v>100</v>
      </c>
      <c r="W954" t="s">
        <v>262</v>
      </c>
      <c r="X954">
        <v>-16.942655999999999</v>
      </c>
      <c r="Y954">
        <v>145.77201099999999</v>
      </c>
      <c r="Z954">
        <v>729</v>
      </c>
    </row>
    <row r="955" spans="1:28" x14ac:dyDescent="0.3">
      <c r="A955" t="s">
        <v>21</v>
      </c>
      <c r="B955" t="s">
        <v>3018</v>
      </c>
      <c r="C955" t="s">
        <v>289</v>
      </c>
      <c r="D955" t="s">
        <v>3019</v>
      </c>
      <c r="E955" t="s">
        <v>3019</v>
      </c>
      <c r="H955" t="s">
        <v>3020</v>
      </c>
      <c r="I955" t="s">
        <v>955</v>
      </c>
      <c r="J955" t="s">
        <v>318</v>
      </c>
      <c r="K955">
        <v>4814</v>
      </c>
      <c r="M955" t="s">
        <v>302</v>
      </c>
      <c r="N955" t="s">
        <v>259</v>
      </c>
      <c r="P955" t="s">
        <v>260</v>
      </c>
      <c r="Q955" t="s">
        <v>260</v>
      </c>
      <c r="R955" t="s">
        <v>293</v>
      </c>
      <c r="S955" t="s">
        <v>21</v>
      </c>
      <c r="T955">
        <v>100</v>
      </c>
      <c r="W955" t="s">
        <v>262</v>
      </c>
      <c r="X955">
        <v>-19.266490000000001</v>
      </c>
      <c r="Y955">
        <v>146.78087099999999</v>
      </c>
      <c r="Z955">
        <v>729</v>
      </c>
    </row>
    <row r="956" spans="1:28" x14ac:dyDescent="0.3">
      <c r="A956" t="s">
        <v>21</v>
      </c>
      <c r="B956" t="s">
        <v>3021</v>
      </c>
      <c r="C956" t="s">
        <v>299</v>
      </c>
      <c r="D956" t="s">
        <v>3022</v>
      </c>
      <c r="E956" t="s">
        <v>3022</v>
      </c>
      <c r="G956" t="s">
        <v>3023</v>
      </c>
      <c r="M956" t="s">
        <v>411</v>
      </c>
      <c r="N956" t="s">
        <v>259</v>
      </c>
      <c r="P956" t="s">
        <v>260</v>
      </c>
      <c r="Q956" t="s">
        <v>260</v>
      </c>
      <c r="R956" t="s">
        <v>293</v>
      </c>
      <c r="S956" t="s">
        <v>21</v>
      </c>
      <c r="T956">
        <v>100</v>
      </c>
      <c r="W956" t="s">
        <v>262</v>
      </c>
    </row>
    <row r="957" spans="1:28" x14ac:dyDescent="0.3">
      <c r="A957" t="s">
        <v>21</v>
      </c>
      <c r="B957" t="s">
        <v>3024</v>
      </c>
      <c r="C957" t="s">
        <v>270</v>
      </c>
      <c r="D957" t="s">
        <v>3025</v>
      </c>
      <c r="E957">
        <v>1993</v>
      </c>
      <c r="M957" t="s">
        <v>297</v>
      </c>
      <c r="N957" t="s">
        <v>276</v>
      </c>
      <c r="P957" t="s">
        <v>260</v>
      </c>
      <c r="Q957" t="s">
        <v>260</v>
      </c>
      <c r="R957" t="s">
        <v>268</v>
      </c>
      <c r="S957" t="s">
        <v>21</v>
      </c>
      <c r="T957">
        <v>100</v>
      </c>
      <c r="W957" t="s">
        <v>262</v>
      </c>
    </row>
    <row r="958" spans="1:28" x14ac:dyDescent="0.3">
      <c r="A958" t="s">
        <v>21</v>
      </c>
      <c r="B958" t="s">
        <v>3026</v>
      </c>
      <c r="C958" t="s">
        <v>270</v>
      </c>
      <c r="D958" t="s">
        <v>3027</v>
      </c>
      <c r="E958">
        <v>552407</v>
      </c>
      <c r="H958" t="s">
        <v>2433</v>
      </c>
      <c r="I958" t="s">
        <v>1343</v>
      </c>
      <c r="J958" t="s">
        <v>297</v>
      </c>
      <c r="K958">
        <v>2104</v>
      </c>
      <c r="L958" t="s">
        <v>276</v>
      </c>
      <c r="M958" t="s">
        <v>631</v>
      </c>
      <c r="N958" t="s">
        <v>276</v>
      </c>
      <c r="P958" t="s">
        <v>260</v>
      </c>
      <c r="Q958" t="s">
        <v>260</v>
      </c>
      <c r="R958" t="s">
        <v>261</v>
      </c>
      <c r="S958" t="s">
        <v>21</v>
      </c>
      <c r="T958">
        <v>100</v>
      </c>
      <c r="W958" t="s">
        <v>262</v>
      </c>
      <c r="X958">
        <v>-37.008299999999998</v>
      </c>
      <c r="Y958">
        <v>174.87049999999999</v>
      </c>
    </row>
    <row r="959" spans="1:28" x14ac:dyDescent="0.3">
      <c r="A959" t="s">
        <v>21</v>
      </c>
      <c r="B959" t="s">
        <v>3028</v>
      </c>
      <c r="C959" t="s">
        <v>270</v>
      </c>
      <c r="D959" t="s">
        <v>2009</v>
      </c>
      <c r="E959">
        <v>11632</v>
      </c>
      <c r="H959" t="s">
        <v>2433</v>
      </c>
      <c r="I959" t="s">
        <v>1343</v>
      </c>
      <c r="J959" t="s">
        <v>297</v>
      </c>
      <c r="K959">
        <v>2104</v>
      </c>
      <c r="L959" t="s">
        <v>276</v>
      </c>
      <c r="M959" t="s">
        <v>631</v>
      </c>
      <c r="N959" t="s">
        <v>276</v>
      </c>
      <c r="P959" t="s">
        <v>260</v>
      </c>
      <c r="Q959" t="s">
        <v>260</v>
      </c>
      <c r="R959" t="s">
        <v>261</v>
      </c>
      <c r="S959" t="s">
        <v>21</v>
      </c>
      <c r="T959">
        <v>100</v>
      </c>
      <c r="W959" t="s">
        <v>262</v>
      </c>
      <c r="X959">
        <v>-37.008299999999998</v>
      </c>
      <c r="Y959">
        <v>174.87049999999999</v>
      </c>
    </row>
    <row r="960" spans="1:28" x14ac:dyDescent="0.3">
      <c r="A960" t="s">
        <v>21</v>
      </c>
      <c r="B960" t="s">
        <v>3029</v>
      </c>
      <c r="C960" t="s">
        <v>270</v>
      </c>
      <c r="D960" t="s">
        <v>3030</v>
      </c>
      <c r="E960" t="s">
        <v>3031</v>
      </c>
      <c r="F960" t="s">
        <v>3031</v>
      </c>
      <c r="M960" t="s">
        <v>403</v>
      </c>
      <c r="N960" t="s">
        <v>276</v>
      </c>
      <c r="P960" t="s">
        <v>260</v>
      </c>
      <c r="Q960" t="s">
        <v>260</v>
      </c>
      <c r="R960" t="s">
        <v>261</v>
      </c>
      <c r="S960" t="s">
        <v>21</v>
      </c>
      <c r="T960">
        <v>100</v>
      </c>
      <c r="W960" t="s">
        <v>262</v>
      </c>
    </row>
    <row r="961" spans="1:26" x14ac:dyDescent="0.3">
      <c r="A961" t="s">
        <v>21</v>
      </c>
      <c r="B961" t="s">
        <v>3032</v>
      </c>
      <c r="C961" t="s">
        <v>270</v>
      </c>
      <c r="D961" t="s">
        <v>3033</v>
      </c>
      <c r="E961" t="s">
        <v>3034</v>
      </c>
      <c r="M961" t="s">
        <v>631</v>
      </c>
      <c r="N961" t="s">
        <v>276</v>
      </c>
      <c r="P961" t="s">
        <v>260</v>
      </c>
      <c r="Q961" t="s">
        <v>260</v>
      </c>
      <c r="R961" t="s">
        <v>261</v>
      </c>
      <c r="S961" t="s">
        <v>21</v>
      </c>
      <c r="T961">
        <v>100</v>
      </c>
      <c r="W961" t="s">
        <v>262</v>
      </c>
    </row>
    <row r="962" spans="1:26" x14ac:dyDescent="0.3">
      <c r="A962" t="s">
        <v>21</v>
      </c>
      <c r="B962" t="s">
        <v>3035</v>
      </c>
      <c r="C962" t="s">
        <v>387</v>
      </c>
      <c r="D962" t="s">
        <v>3036</v>
      </c>
      <c r="E962" t="s">
        <v>3036</v>
      </c>
      <c r="H962" t="s">
        <v>3037</v>
      </c>
      <c r="I962" t="s">
        <v>526</v>
      </c>
      <c r="J962" t="s">
        <v>335</v>
      </c>
      <c r="M962" t="s">
        <v>282</v>
      </c>
      <c r="N962" t="s">
        <v>259</v>
      </c>
      <c r="P962" t="s">
        <v>260</v>
      </c>
      <c r="Q962" t="s">
        <v>260</v>
      </c>
      <c r="R962" t="s">
        <v>268</v>
      </c>
      <c r="S962" t="s">
        <v>21</v>
      </c>
      <c r="T962">
        <v>100</v>
      </c>
      <c r="W962" t="s">
        <v>262</v>
      </c>
      <c r="Z962">
        <v>731</v>
      </c>
    </row>
    <row r="963" spans="1:26" x14ac:dyDescent="0.3">
      <c r="A963" t="s">
        <v>21</v>
      </c>
      <c r="B963" t="s">
        <v>3038</v>
      </c>
      <c r="C963" t="s">
        <v>270</v>
      </c>
      <c r="D963" t="s">
        <v>3039</v>
      </c>
      <c r="E963" t="s">
        <v>3039</v>
      </c>
      <c r="M963" t="s">
        <v>411</v>
      </c>
      <c r="N963" t="s">
        <v>259</v>
      </c>
      <c r="P963" t="s">
        <v>260</v>
      </c>
      <c r="Q963" t="s">
        <v>260</v>
      </c>
      <c r="R963" t="s">
        <v>283</v>
      </c>
      <c r="S963" t="s">
        <v>21</v>
      </c>
      <c r="T963">
        <v>100</v>
      </c>
      <c r="W963" t="s">
        <v>262</v>
      </c>
    </row>
    <row r="964" spans="1:26" x14ac:dyDescent="0.3">
      <c r="A964" t="s">
        <v>21</v>
      </c>
      <c r="B964" t="s">
        <v>3040</v>
      </c>
      <c r="C964" t="s">
        <v>270</v>
      </c>
      <c r="D964" t="s">
        <v>3041</v>
      </c>
      <c r="E964" t="s">
        <v>3041</v>
      </c>
      <c r="M964" t="s">
        <v>394</v>
      </c>
      <c r="N964" t="s">
        <v>276</v>
      </c>
      <c r="P964" t="s">
        <v>260</v>
      </c>
      <c r="Q964" t="s">
        <v>260</v>
      </c>
      <c r="R964" t="s">
        <v>283</v>
      </c>
      <c r="S964" t="s">
        <v>21</v>
      </c>
      <c r="T964">
        <v>100</v>
      </c>
      <c r="W964" t="s">
        <v>262</v>
      </c>
    </row>
    <row r="965" spans="1:26" x14ac:dyDescent="0.3">
      <c r="A965" t="s">
        <v>21</v>
      </c>
      <c r="B965" t="s">
        <v>3042</v>
      </c>
      <c r="C965" t="s">
        <v>270</v>
      </c>
      <c r="D965" t="s">
        <v>3043</v>
      </c>
      <c r="E965">
        <v>91325</v>
      </c>
      <c r="H965" t="s">
        <v>652</v>
      </c>
      <c r="I965" t="s">
        <v>3044</v>
      </c>
      <c r="J965" t="s">
        <v>3044</v>
      </c>
      <c r="K965">
        <v>7392</v>
      </c>
      <c r="L965" t="s">
        <v>276</v>
      </c>
      <c r="M965" t="s">
        <v>3044</v>
      </c>
      <c r="N965" t="s">
        <v>276</v>
      </c>
      <c r="P965" t="s">
        <v>260</v>
      </c>
      <c r="Q965" t="s">
        <v>260</v>
      </c>
      <c r="R965" t="s">
        <v>293</v>
      </c>
      <c r="S965" t="s">
        <v>21</v>
      </c>
      <c r="T965">
        <v>100</v>
      </c>
      <c r="W965" t="s">
        <v>262</v>
      </c>
      <c r="X965">
        <v>-42.772399999999998</v>
      </c>
      <c r="Y965">
        <v>172.8554</v>
      </c>
    </row>
    <row r="966" spans="1:26" x14ac:dyDescent="0.3">
      <c r="A966" t="s">
        <v>21</v>
      </c>
      <c r="B966" t="s">
        <v>3045</v>
      </c>
      <c r="C966" t="s">
        <v>270</v>
      </c>
      <c r="D966" t="s">
        <v>3046</v>
      </c>
      <c r="E966">
        <v>552160</v>
      </c>
      <c r="G966" t="s">
        <v>3047</v>
      </c>
      <c r="M966" t="s">
        <v>352</v>
      </c>
      <c r="N966" t="s">
        <v>276</v>
      </c>
      <c r="P966" t="s">
        <v>260</v>
      </c>
      <c r="Q966" t="s">
        <v>260</v>
      </c>
      <c r="R966" t="s">
        <v>261</v>
      </c>
      <c r="S966" t="s">
        <v>21</v>
      </c>
      <c r="T966">
        <v>100</v>
      </c>
      <c r="W966" t="s">
        <v>262</v>
      </c>
    </row>
    <row r="967" spans="1:26" x14ac:dyDescent="0.3">
      <c r="A967" t="s">
        <v>21</v>
      </c>
      <c r="B967" t="s">
        <v>3048</v>
      </c>
      <c r="C967" t="s">
        <v>270</v>
      </c>
      <c r="D967" t="s">
        <v>3049</v>
      </c>
      <c r="E967">
        <v>1515</v>
      </c>
      <c r="H967" t="s">
        <v>2433</v>
      </c>
      <c r="I967" t="s">
        <v>1343</v>
      </c>
      <c r="J967" t="s">
        <v>297</v>
      </c>
      <c r="K967">
        <v>2104</v>
      </c>
      <c r="L967" t="s">
        <v>276</v>
      </c>
      <c r="M967" t="s">
        <v>631</v>
      </c>
      <c r="N967" t="s">
        <v>276</v>
      </c>
      <c r="P967" t="s">
        <v>260</v>
      </c>
      <c r="Q967" t="s">
        <v>260</v>
      </c>
      <c r="R967" t="s">
        <v>283</v>
      </c>
      <c r="S967" t="s">
        <v>21</v>
      </c>
      <c r="T967">
        <v>100</v>
      </c>
      <c r="W967" t="s">
        <v>262</v>
      </c>
      <c r="X967">
        <v>-37.008299999999998</v>
      </c>
      <c r="Y967">
        <v>174.87049999999999</v>
      </c>
    </row>
    <row r="968" spans="1:26" x14ac:dyDescent="0.3">
      <c r="A968" t="s">
        <v>21</v>
      </c>
      <c r="B968" t="s">
        <v>3050</v>
      </c>
      <c r="C968" t="s">
        <v>299</v>
      </c>
      <c r="D968" t="s">
        <v>3051</v>
      </c>
      <c r="E968">
        <v>170334</v>
      </c>
      <c r="M968" t="s">
        <v>282</v>
      </c>
      <c r="N968" t="s">
        <v>259</v>
      </c>
      <c r="P968" t="s">
        <v>260</v>
      </c>
      <c r="Q968" t="s">
        <v>260</v>
      </c>
      <c r="R968" t="s">
        <v>261</v>
      </c>
      <c r="S968" t="s">
        <v>21</v>
      </c>
      <c r="T968">
        <v>100</v>
      </c>
      <c r="W968" t="s">
        <v>262</v>
      </c>
    </row>
    <row r="969" spans="1:26" x14ac:dyDescent="0.3">
      <c r="A969" t="s">
        <v>21</v>
      </c>
      <c r="B969" t="s">
        <v>3052</v>
      </c>
      <c r="C969" t="s">
        <v>299</v>
      </c>
      <c r="D969" t="s">
        <v>3053</v>
      </c>
      <c r="E969">
        <v>517</v>
      </c>
      <c r="G969" t="s">
        <v>3054</v>
      </c>
      <c r="H969" t="s">
        <v>3055</v>
      </c>
      <c r="I969" t="s">
        <v>3056</v>
      </c>
      <c r="J969" t="s">
        <v>335</v>
      </c>
      <c r="K969">
        <v>3175</v>
      </c>
      <c r="L969" t="s">
        <v>259</v>
      </c>
      <c r="M969" t="s">
        <v>282</v>
      </c>
      <c r="N969" t="s">
        <v>259</v>
      </c>
      <c r="P969" t="s">
        <v>260</v>
      </c>
      <c r="Q969" t="s">
        <v>260</v>
      </c>
      <c r="R969" t="s">
        <v>261</v>
      </c>
      <c r="S969" t="s">
        <v>21</v>
      </c>
      <c r="T969">
        <v>100</v>
      </c>
      <c r="W969" t="s">
        <v>262</v>
      </c>
      <c r="X969">
        <v>-38.032994000000002</v>
      </c>
      <c r="Y969">
        <v>145.24308300000001</v>
      </c>
      <c r="Z969">
        <v>310</v>
      </c>
    </row>
    <row r="970" spans="1:26" x14ac:dyDescent="0.3">
      <c r="A970" t="s">
        <v>21</v>
      </c>
      <c r="B970" t="s">
        <v>3057</v>
      </c>
      <c r="C970" t="s">
        <v>299</v>
      </c>
      <c r="D970" t="s">
        <v>3058</v>
      </c>
      <c r="E970" t="s">
        <v>3058</v>
      </c>
      <c r="F970" t="s">
        <v>3058</v>
      </c>
      <c r="M970" t="s">
        <v>526</v>
      </c>
      <c r="N970" t="s">
        <v>259</v>
      </c>
      <c r="P970" t="s">
        <v>260</v>
      </c>
      <c r="Q970" t="s">
        <v>260</v>
      </c>
      <c r="R970" t="s">
        <v>293</v>
      </c>
      <c r="S970" t="s">
        <v>21</v>
      </c>
      <c r="T970">
        <v>100</v>
      </c>
      <c r="W970" t="s">
        <v>262</v>
      </c>
    </row>
    <row r="971" spans="1:26" x14ac:dyDescent="0.3">
      <c r="A971" t="s">
        <v>21</v>
      </c>
      <c r="B971" t="s">
        <v>3059</v>
      </c>
      <c r="C971" t="s">
        <v>270</v>
      </c>
      <c r="D971" t="s">
        <v>3060</v>
      </c>
      <c r="E971">
        <v>91267</v>
      </c>
      <c r="H971" t="s">
        <v>3061</v>
      </c>
      <c r="I971" t="s">
        <v>3062</v>
      </c>
      <c r="J971" t="s">
        <v>3062</v>
      </c>
      <c r="K971">
        <v>4972</v>
      </c>
      <c r="L971" t="s">
        <v>276</v>
      </c>
      <c r="M971" t="s">
        <v>739</v>
      </c>
      <c r="N971" t="s">
        <v>276</v>
      </c>
      <c r="P971" t="s">
        <v>260</v>
      </c>
      <c r="Q971" t="s">
        <v>260</v>
      </c>
      <c r="R971" t="s">
        <v>293</v>
      </c>
      <c r="S971" t="s">
        <v>21</v>
      </c>
      <c r="T971">
        <v>100</v>
      </c>
      <c r="W971" t="s">
        <v>262</v>
      </c>
      <c r="X971">
        <v>-40.264200000000002</v>
      </c>
      <c r="Y971">
        <v>176.0266</v>
      </c>
    </row>
    <row r="972" spans="1:26" x14ac:dyDescent="0.3">
      <c r="A972" t="s">
        <v>21</v>
      </c>
      <c r="B972" t="s">
        <v>3063</v>
      </c>
      <c r="C972" t="s">
        <v>270</v>
      </c>
      <c r="D972" t="s">
        <v>3064</v>
      </c>
      <c r="E972">
        <v>55512</v>
      </c>
      <c r="H972" t="s">
        <v>3065</v>
      </c>
      <c r="I972" t="s">
        <v>1368</v>
      </c>
      <c r="J972" t="s">
        <v>1368</v>
      </c>
      <c r="K972">
        <v>310</v>
      </c>
      <c r="L972" t="s">
        <v>276</v>
      </c>
      <c r="M972" t="s">
        <v>1368</v>
      </c>
      <c r="N972" t="s">
        <v>276</v>
      </c>
      <c r="P972" t="s">
        <v>260</v>
      </c>
      <c r="Q972" t="s">
        <v>260</v>
      </c>
      <c r="R972" t="s">
        <v>261</v>
      </c>
      <c r="S972" t="s">
        <v>21</v>
      </c>
      <c r="T972">
        <v>100</v>
      </c>
      <c r="W972" t="s">
        <v>262</v>
      </c>
      <c r="X972">
        <v>-35.943300000000001</v>
      </c>
      <c r="Y972">
        <v>173.8604</v>
      </c>
    </row>
    <row r="973" spans="1:26" x14ac:dyDescent="0.3">
      <c r="A973" t="s">
        <v>21</v>
      </c>
      <c r="B973" t="s">
        <v>3066</v>
      </c>
      <c r="C973" t="s">
        <v>2777</v>
      </c>
      <c r="D973" t="s">
        <v>3067</v>
      </c>
      <c r="E973" t="s">
        <v>3068</v>
      </c>
      <c r="G973" t="s">
        <v>3069</v>
      </c>
      <c r="M973" t="s">
        <v>537</v>
      </c>
      <c r="N973" t="s">
        <v>259</v>
      </c>
      <c r="P973" t="s">
        <v>260</v>
      </c>
      <c r="Q973" t="s">
        <v>260</v>
      </c>
      <c r="R973" t="s">
        <v>261</v>
      </c>
      <c r="S973" t="s">
        <v>21</v>
      </c>
      <c r="T973">
        <v>100</v>
      </c>
      <c r="W973" t="s">
        <v>262</v>
      </c>
    </row>
    <row r="974" spans="1:26" x14ac:dyDescent="0.3">
      <c r="A974" t="s">
        <v>21</v>
      </c>
      <c r="B974" t="s">
        <v>3070</v>
      </c>
      <c r="C974" t="s">
        <v>299</v>
      </c>
      <c r="D974" t="s">
        <v>3071</v>
      </c>
      <c r="M974" t="s">
        <v>537</v>
      </c>
      <c r="N974" t="s">
        <v>259</v>
      </c>
      <c r="P974" t="s">
        <v>260</v>
      </c>
      <c r="Q974" t="s">
        <v>260</v>
      </c>
      <c r="R974" t="s">
        <v>261</v>
      </c>
      <c r="S974" t="s">
        <v>21</v>
      </c>
      <c r="T974">
        <v>100</v>
      </c>
      <c r="W974" t="s">
        <v>262</v>
      </c>
    </row>
    <row r="975" spans="1:26" x14ac:dyDescent="0.3">
      <c r="A975" t="s">
        <v>21</v>
      </c>
      <c r="B975" t="s">
        <v>3072</v>
      </c>
      <c r="C975" t="s">
        <v>270</v>
      </c>
      <c r="D975" t="s">
        <v>3073</v>
      </c>
      <c r="E975" t="s">
        <v>3073</v>
      </c>
      <c r="M975" t="s">
        <v>394</v>
      </c>
      <c r="N975" t="s">
        <v>276</v>
      </c>
      <c r="P975" t="s">
        <v>260</v>
      </c>
      <c r="Q975" t="s">
        <v>260</v>
      </c>
      <c r="R975" t="s">
        <v>283</v>
      </c>
      <c r="S975" t="s">
        <v>21</v>
      </c>
      <c r="T975">
        <v>100</v>
      </c>
      <c r="W975" t="s">
        <v>262</v>
      </c>
    </row>
    <row r="976" spans="1:26" x14ac:dyDescent="0.3">
      <c r="A976" t="s">
        <v>21</v>
      </c>
      <c r="B976" t="s">
        <v>3074</v>
      </c>
      <c r="C976" t="s">
        <v>270</v>
      </c>
      <c r="D976" t="s">
        <v>3075</v>
      </c>
      <c r="E976">
        <v>2000000916</v>
      </c>
      <c r="G976" t="s">
        <v>3074</v>
      </c>
      <c r="M976" t="s">
        <v>297</v>
      </c>
      <c r="N976" t="s">
        <v>276</v>
      </c>
      <c r="P976" t="s">
        <v>260</v>
      </c>
      <c r="Q976" t="s">
        <v>260</v>
      </c>
      <c r="R976" t="s">
        <v>268</v>
      </c>
      <c r="S976" t="s">
        <v>21</v>
      </c>
      <c r="T976">
        <v>100</v>
      </c>
      <c r="W976" t="s">
        <v>262</v>
      </c>
    </row>
    <row r="977" spans="1:25" x14ac:dyDescent="0.3">
      <c r="A977" t="s">
        <v>21</v>
      </c>
      <c r="B977" t="s">
        <v>3076</v>
      </c>
      <c r="C977" t="s">
        <v>270</v>
      </c>
      <c r="D977" t="s">
        <v>3075</v>
      </c>
      <c r="E977">
        <v>2000004644</v>
      </c>
      <c r="M977" t="s">
        <v>631</v>
      </c>
      <c r="N977" t="s">
        <v>276</v>
      </c>
      <c r="P977" t="s">
        <v>260</v>
      </c>
      <c r="Q977" t="s">
        <v>260</v>
      </c>
      <c r="R977" t="s">
        <v>268</v>
      </c>
      <c r="S977" t="s">
        <v>21</v>
      </c>
      <c r="T977">
        <v>100</v>
      </c>
      <c r="W977" t="s">
        <v>262</v>
      </c>
    </row>
    <row r="978" spans="1:25" x14ac:dyDescent="0.3">
      <c r="A978" t="s">
        <v>21</v>
      </c>
      <c r="B978" t="s">
        <v>3077</v>
      </c>
      <c r="C978" t="s">
        <v>299</v>
      </c>
      <c r="D978" t="s">
        <v>3078</v>
      </c>
      <c r="F978" s="11">
        <v>900601900603</v>
      </c>
      <c r="M978" t="s">
        <v>394</v>
      </c>
      <c r="N978" t="s">
        <v>276</v>
      </c>
      <c r="P978" t="s">
        <v>260</v>
      </c>
      <c r="Q978" t="s">
        <v>260</v>
      </c>
      <c r="R978" t="s">
        <v>313</v>
      </c>
      <c r="S978" t="s">
        <v>21</v>
      </c>
      <c r="T978">
        <v>100</v>
      </c>
      <c r="W978" t="s">
        <v>262</v>
      </c>
    </row>
    <row r="979" spans="1:25" x14ac:dyDescent="0.3">
      <c r="A979" t="s">
        <v>21</v>
      </c>
      <c r="B979" t="s">
        <v>3079</v>
      </c>
      <c r="C979" t="s">
        <v>299</v>
      </c>
      <c r="D979" t="s">
        <v>3080</v>
      </c>
      <c r="F979">
        <v>898267</v>
      </c>
      <c r="M979" t="s">
        <v>394</v>
      </c>
      <c r="N979" t="s">
        <v>276</v>
      </c>
      <c r="P979" t="s">
        <v>260</v>
      </c>
      <c r="Q979" t="s">
        <v>260</v>
      </c>
      <c r="R979" t="s">
        <v>313</v>
      </c>
      <c r="S979" t="s">
        <v>21</v>
      </c>
      <c r="T979">
        <v>100</v>
      </c>
      <c r="W979" t="s">
        <v>262</v>
      </c>
    </row>
    <row r="980" spans="1:25" x14ac:dyDescent="0.3">
      <c r="A980" t="s">
        <v>21</v>
      </c>
      <c r="B980" t="s">
        <v>3081</v>
      </c>
      <c r="C980" t="s">
        <v>299</v>
      </c>
      <c r="D980" t="s">
        <v>3082</v>
      </c>
      <c r="F980" s="11">
        <v>10802311080284</v>
      </c>
      <c r="M980" t="s">
        <v>394</v>
      </c>
      <c r="N980" t="s">
        <v>276</v>
      </c>
      <c r="P980" t="s">
        <v>260</v>
      </c>
      <c r="Q980" t="s">
        <v>260</v>
      </c>
      <c r="R980" t="s">
        <v>313</v>
      </c>
      <c r="S980" t="s">
        <v>21</v>
      </c>
      <c r="T980">
        <v>100</v>
      </c>
      <c r="W980" t="s">
        <v>262</v>
      </c>
    </row>
    <row r="981" spans="1:25" x14ac:dyDescent="0.3">
      <c r="A981" t="s">
        <v>21</v>
      </c>
      <c r="B981" t="s">
        <v>3083</v>
      </c>
      <c r="C981" t="s">
        <v>270</v>
      </c>
      <c r="D981" t="s">
        <v>3084</v>
      </c>
      <c r="E981" t="s">
        <v>3085</v>
      </c>
      <c r="H981" t="s">
        <v>2433</v>
      </c>
      <c r="I981" t="s">
        <v>1343</v>
      </c>
      <c r="J981" t="s">
        <v>297</v>
      </c>
      <c r="K981">
        <v>2104</v>
      </c>
      <c r="L981" t="s">
        <v>276</v>
      </c>
      <c r="M981" t="s">
        <v>631</v>
      </c>
      <c r="N981" t="s">
        <v>276</v>
      </c>
      <c r="P981" t="s">
        <v>260</v>
      </c>
      <c r="Q981" t="s">
        <v>260</v>
      </c>
      <c r="R981" t="s">
        <v>283</v>
      </c>
      <c r="S981" t="s">
        <v>21</v>
      </c>
      <c r="T981">
        <v>100</v>
      </c>
      <c r="W981" t="s">
        <v>262</v>
      </c>
      <c r="X981">
        <v>-37.008299999999998</v>
      </c>
      <c r="Y981">
        <v>174.87049999999999</v>
      </c>
    </row>
    <row r="982" spans="1:25" x14ac:dyDescent="0.3">
      <c r="A982" t="s">
        <v>21</v>
      </c>
      <c r="B982" t="s">
        <v>3086</v>
      </c>
      <c r="C982" t="s">
        <v>270</v>
      </c>
      <c r="D982" t="s">
        <v>3087</v>
      </c>
      <c r="E982" t="s">
        <v>3088</v>
      </c>
      <c r="M982" t="s">
        <v>297</v>
      </c>
      <c r="N982" t="s">
        <v>276</v>
      </c>
      <c r="P982" t="s">
        <v>260</v>
      </c>
      <c r="Q982" t="s">
        <v>260</v>
      </c>
      <c r="R982" t="s">
        <v>283</v>
      </c>
      <c r="S982" t="s">
        <v>21</v>
      </c>
      <c r="T982">
        <v>100</v>
      </c>
      <c r="W982" t="s">
        <v>262</v>
      </c>
    </row>
    <row r="983" spans="1:25" x14ac:dyDescent="0.3">
      <c r="A983" t="s">
        <v>21</v>
      </c>
      <c r="B983" t="s">
        <v>3089</v>
      </c>
      <c r="C983" t="s">
        <v>270</v>
      </c>
      <c r="D983" t="s">
        <v>3090</v>
      </c>
      <c r="E983" t="s">
        <v>3091</v>
      </c>
      <c r="F983" t="s">
        <v>3091</v>
      </c>
      <c r="M983" t="s">
        <v>297</v>
      </c>
      <c r="N983" t="s">
        <v>276</v>
      </c>
      <c r="P983" t="s">
        <v>260</v>
      </c>
      <c r="Q983" t="s">
        <v>260</v>
      </c>
      <c r="R983" t="s">
        <v>283</v>
      </c>
      <c r="S983" t="s">
        <v>21</v>
      </c>
      <c r="T983">
        <v>100</v>
      </c>
      <c r="W983" t="s">
        <v>262</v>
      </c>
    </row>
    <row r="984" spans="1:25" x14ac:dyDescent="0.3">
      <c r="A984" t="s">
        <v>21</v>
      </c>
      <c r="B984" t="s">
        <v>3092</v>
      </c>
      <c r="C984" t="s">
        <v>270</v>
      </c>
      <c r="D984" t="s">
        <v>3093</v>
      </c>
      <c r="E984" t="s">
        <v>3093</v>
      </c>
      <c r="F984" t="s">
        <v>3093</v>
      </c>
      <c r="M984" t="s">
        <v>297</v>
      </c>
      <c r="N984" t="s">
        <v>276</v>
      </c>
      <c r="P984" t="s">
        <v>260</v>
      </c>
      <c r="Q984" t="s">
        <v>260</v>
      </c>
      <c r="R984" t="s">
        <v>283</v>
      </c>
      <c r="S984" t="s">
        <v>21</v>
      </c>
      <c r="T984">
        <v>100</v>
      </c>
      <c r="W984" t="s">
        <v>262</v>
      </c>
    </row>
    <row r="985" spans="1:25" x14ac:dyDescent="0.3">
      <c r="A985" t="s">
        <v>21</v>
      </c>
      <c r="B985" t="s">
        <v>3094</v>
      </c>
      <c r="C985" t="s">
        <v>270</v>
      </c>
      <c r="D985" t="s">
        <v>3095</v>
      </c>
      <c r="E985">
        <v>10038</v>
      </c>
      <c r="F985">
        <v>10038</v>
      </c>
      <c r="M985" t="s">
        <v>297</v>
      </c>
      <c r="N985" t="s">
        <v>276</v>
      </c>
      <c r="P985" t="s">
        <v>260</v>
      </c>
      <c r="Q985" t="s">
        <v>260</v>
      </c>
      <c r="R985" t="s">
        <v>283</v>
      </c>
      <c r="S985" t="s">
        <v>21</v>
      </c>
      <c r="T985">
        <v>100</v>
      </c>
      <c r="W985" t="s">
        <v>262</v>
      </c>
    </row>
    <row r="986" spans="1:25" x14ac:dyDescent="0.3">
      <c r="A986" t="s">
        <v>21</v>
      </c>
      <c r="B986" t="s">
        <v>3096</v>
      </c>
      <c r="C986" t="s">
        <v>270</v>
      </c>
      <c r="D986" t="s">
        <v>3097</v>
      </c>
      <c r="E986" t="s">
        <v>3098</v>
      </c>
      <c r="F986" t="s">
        <v>3098</v>
      </c>
      <c r="M986" t="s">
        <v>403</v>
      </c>
      <c r="N986" t="s">
        <v>276</v>
      </c>
      <c r="P986" t="s">
        <v>260</v>
      </c>
      <c r="Q986" t="s">
        <v>260</v>
      </c>
      <c r="R986" t="s">
        <v>261</v>
      </c>
      <c r="S986" t="s">
        <v>21</v>
      </c>
      <c r="T986">
        <v>100</v>
      </c>
      <c r="W986" t="s">
        <v>262</v>
      </c>
    </row>
    <row r="987" spans="1:25" x14ac:dyDescent="0.3">
      <c r="A987" t="s">
        <v>21</v>
      </c>
      <c r="B987" t="s">
        <v>3099</v>
      </c>
      <c r="C987" t="s">
        <v>270</v>
      </c>
      <c r="D987" t="s">
        <v>3100</v>
      </c>
      <c r="E987">
        <v>2000004918</v>
      </c>
      <c r="H987" t="s">
        <v>3101</v>
      </c>
      <c r="I987" t="s">
        <v>2826</v>
      </c>
      <c r="J987" t="s">
        <v>403</v>
      </c>
      <c r="K987">
        <v>6011</v>
      </c>
      <c r="L987" t="s">
        <v>276</v>
      </c>
      <c r="M987" t="s">
        <v>403</v>
      </c>
      <c r="N987" t="s">
        <v>276</v>
      </c>
      <c r="P987" t="s">
        <v>260</v>
      </c>
      <c r="Q987" t="s">
        <v>260</v>
      </c>
      <c r="R987" t="s">
        <v>268</v>
      </c>
      <c r="S987" t="s">
        <v>21</v>
      </c>
      <c r="T987">
        <v>100</v>
      </c>
      <c r="W987" t="s">
        <v>262</v>
      </c>
      <c r="X987">
        <v>-41.276000000000003</v>
      </c>
      <c r="Y987">
        <v>174.7766</v>
      </c>
    </row>
    <row r="988" spans="1:25" x14ac:dyDescent="0.3">
      <c r="A988" t="s">
        <v>21</v>
      </c>
      <c r="B988" t="s">
        <v>3102</v>
      </c>
      <c r="C988" t="s">
        <v>270</v>
      </c>
      <c r="D988" t="s">
        <v>3103</v>
      </c>
      <c r="E988">
        <v>55974</v>
      </c>
      <c r="M988" t="s">
        <v>631</v>
      </c>
      <c r="N988" t="s">
        <v>276</v>
      </c>
      <c r="P988" t="s">
        <v>260</v>
      </c>
      <c r="Q988" t="s">
        <v>260</v>
      </c>
      <c r="R988" t="s">
        <v>261</v>
      </c>
      <c r="S988" t="s">
        <v>21</v>
      </c>
      <c r="T988">
        <v>100</v>
      </c>
      <c r="W988" t="s">
        <v>262</v>
      </c>
    </row>
    <row r="989" spans="1:25" x14ac:dyDescent="0.3">
      <c r="A989" t="s">
        <v>21</v>
      </c>
      <c r="B989" t="s">
        <v>3104</v>
      </c>
      <c r="C989" t="s">
        <v>270</v>
      </c>
      <c r="D989" t="s">
        <v>3105</v>
      </c>
      <c r="E989" t="s">
        <v>3105</v>
      </c>
      <c r="F989" t="s">
        <v>3105</v>
      </c>
      <c r="M989" t="s">
        <v>297</v>
      </c>
      <c r="N989" t="s">
        <v>276</v>
      </c>
      <c r="P989" t="s">
        <v>260</v>
      </c>
      <c r="Q989" t="s">
        <v>260</v>
      </c>
      <c r="R989" t="s">
        <v>283</v>
      </c>
      <c r="S989" t="s">
        <v>21</v>
      </c>
      <c r="T989">
        <v>100</v>
      </c>
      <c r="W989" t="s">
        <v>262</v>
      </c>
    </row>
    <row r="990" spans="1:25" x14ac:dyDescent="0.3">
      <c r="A990" t="s">
        <v>21</v>
      </c>
      <c r="B990" t="s">
        <v>3106</v>
      </c>
      <c r="C990" t="s">
        <v>270</v>
      </c>
      <c r="D990" t="s">
        <v>3107</v>
      </c>
      <c r="E990">
        <v>10126</v>
      </c>
      <c r="G990">
        <v>10.125999999999999</v>
      </c>
      <c r="H990" t="s">
        <v>2433</v>
      </c>
      <c r="I990" t="s">
        <v>1343</v>
      </c>
      <c r="J990" t="s">
        <v>297</v>
      </c>
      <c r="K990">
        <v>2104</v>
      </c>
      <c r="L990" t="s">
        <v>276</v>
      </c>
      <c r="M990" t="s">
        <v>631</v>
      </c>
      <c r="N990" t="s">
        <v>276</v>
      </c>
      <c r="P990" t="s">
        <v>260</v>
      </c>
      <c r="Q990" t="s">
        <v>260</v>
      </c>
      <c r="R990" t="s">
        <v>268</v>
      </c>
      <c r="S990" t="s">
        <v>21</v>
      </c>
      <c r="T990">
        <v>100</v>
      </c>
      <c r="W990" t="s">
        <v>262</v>
      </c>
      <c r="X990">
        <v>-37.008299999999998</v>
      </c>
      <c r="Y990">
        <v>174.87049999999999</v>
      </c>
    </row>
    <row r="991" spans="1:25" x14ac:dyDescent="0.3">
      <c r="A991" t="s">
        <v>21</v>
      </c>
      <c r="B991" t="s">
        <v>3108</v>
      </c>
      <c r="C991" t="s">
        <v>270</v>
      </c>
      <c r="D991" t="s">
        <v>3109</v>
      </c>
      <c r="E991" t="s">
        <v>3109</v>
      </c>
      <c r="M991" t="s">
        <v>411</v>
      </c>
      <c r="N991" t="s">
        <v>259</v>
      </c>
      <c r="P991" t="s">
        <v>260</v>
      </c>
      <c r="Q991" t="s">
        <v>260</v>
      </c>
      <c r="R991" t="s">
        <v>283</v>
      </c>
      <c r="S991" t="s">
        <v>21</v>
      </c>
      <c r="T991">
        <v>100</v>
      </c>
      <c r="W991" t="s">
        <v>262</v>
      </c>
    </row>
    <row r="992" spans="1:25" x14ac:dyDescent="0.3">
      <c r="A992" t="s">
        <v>21</v>
      </c>
      <c r="B992" t="s">
        <v>3110</v>
      </c>
      <c r="C992" t="s">
        <v>270</v>
      </c>
      <c r="D992" t="s">
        <v>3111</v>
      </c>
      <c r="E992">
        <v>561544</v>
      </c>
      <c r="H992" t="s">
        <v>3112</v>
      </c>
      <c r="I992" t="s">
        <v>375</v>
      </c>
      <c r="J992" t="s">
        <v>375</v>
      </c>
      <c r="K992">
        <v>9076</v>
      </c>
      <c r="L992" t="s">
        <v>276</v>
      </c>
      <c r="M992" t="s">
        <v>375</v>
      </c>
      <c r="N992" t="s">
        <v>276</v>
      </c>
      <c r="P992" t="s">
        <v>260</v>
      </c>
      <c r="Q992" t="s">
        <v>260</v>
      </c>
      <c r="R992" t="s">
        <v>283</v>
      </c>
      <c r="S992" t="s">
        <v>21</v>
      </c>
      <c r="T992">
        <v>100</v>
      </c>
      <c r="W992" t="s">
        <v>262</v>
      </c>
      <c r="X992">
        <v>-45.862400000000001</v>
      </c>
      <c r="Y992">
        <v>170.4391</v>
      </c>
    </row>
    <row r="993" spans="1:28" x14ac:dyDescent="0.3">
      <c r="A993" t="s">
        <v>21</v>
      </c>
      <c r="B993" t="s">
        <v>3113</v>
      </c>
      <c r="C993" t="s">
        <v>270</v>
      </c>
      <c r="D993" t="s">
        <v>3114</v>
      </c>
      <c r="E993">
        <v>561160</v>
      </c>
      <c r="M993" t="s">
        <v>297</v>
      </c>
      <c r="N993" t="s">
        <v>276</v>
      </c>
      <c r="P993" t="s">
        <v>260</v>
      </c>
      <c r="Q993" t="s">
        <v>260</v>
      </c>
      <c r="R993" t="s">
        <v>283</v>
      </c>
      <c r="S993" t="s">
        <v>21</v>
      </c>
      <c r="T993">
        <v>100</v>
      </c>
      <c r="W993" t="s">
        <v>262</v>
      </c>
    </row>
    <row r="994" spans="1:28" x14ac:dyDescent="0.3">
      <c r="A994" t="s">
        <v>21</v>
      </c>
      <c r="B994" t="s">
        <v>3115</v>
      </c>
      <c r="C994" t="s">
        <v>253</v>
      </c>
      <c r="D994" t="s">
        <v>3116</v>
      </c>
      <c r="E994" t="s">
        <v>3117</v>
      </c>
      <c r="G994" t="s">
        <v>3118</v>
      </c>
      <c r="M994" t="s">
        <v>297</v>
      </c>
      <c r="N994" t="s">
        <v>276</v>
      </c>
      <c r="P994" t="s">
        <v>260</v>
      </c>
      <c r="Q994" t="s">
        <v>260</v>
      </c>
      <c r="R994" t="s">
        <v>261</v>
      </c>
      <c r="S994" t="s">
        <v>21</v>
      </c>
      <c r="T994">
        <v>100</v>
      </c>
      <c r="W994" t="s">
        <v>262</v>
      </c>
    </row>
    <row r="995" spans="1:28" x14ac:dyDescent="0.3">
      <c r="A995" t="s">
        <v>21</v>
      </c>
      <c r="B995" t="s">
        <v>3119</v>
      </c>
      <c r="C995" t="s">
        <v>270</v>
      </c>
      <c r="D995" t="s">
        <v>3120</v>
      </c>
      <c r="E995">
        <v>1927</v>
      </c>
      <c r="H995" t="s">
        <v>2433</v>
      </c>
      <c r="I995" t="s">
        <v>1343</v>
      </c>
      <c r="J995" t="s">
        <v>297</v>
      </c>
      <c r="K995">
        <v>2104</v>
      </c>
      <c r="L995" t="s">
        <v>276</v>
      </c>
      <c r="M995" t="s">
        <v>631</v>
      </c>
      <c r="N995" t="s">
        <v>276</v>
      </c>
      <c r="P995" t="s">
        <v>260</v>
      </c>
      <c r="Q995" t="s">
        <v>260</v>
      </c>
      <c r="R995" t="s">
        <v>261</v>
      </c>
      <c r="S995" t="s">
        <v>21</v>
      </c>
      <c r="T995">
        <v>100</v>
      </c>
      <c r="W995" t="s">
        <v>262</v>
      </c>
      <c r="X995">
        <v>-37.008299999999998</v>
      </c>
      <c r="Y995">
        <v>174.87049999999999</v>
      </c>
    </row>
    <row r="996" spans="1:28" x14ac:dyDescent="0.3">
      <c r="A996" t="s">
        <v>21</v>
      </c>
      <c r="B996" t="s">
        <v>3121</v>
      </c>
      <c r="C996" t="s">
        <v>3122</v>
      </c>
      <c r="D996" t="s">
        <v>3123</v>
      </c>
      <c r="E996">
        <v>38170009</v>
      </c>
      <c r="H996" t="s">
        <v>3124</v>
      </c>
      <c r="I996" t="s">
        <v>3125</v>
      </c>
      <c r="M996" t="s">
        <v>503</v>
      </c>
      <c r="N996" t="s">
        <v>259</v>
      </c>
      <c r="P996" t="s">
        <v>260</v>
      </c>
      <c r="Q996" t="s">
        <v>260</v>
      </c>
      <c r="R996" t="s">
        <v>283</v>
      </c>
      <c r="S996" t="s">
        <v>21</v>
      </c>
      <c r="T996">
        <v>100</v>
      </c>
      <c r="W996" t="s">
        <v>262</v>
      </c>
    </row>
    <row r="997" spans="1:28" x14ac:dyDescent="0.3">
      <c r="A997" t="s">
        <v>21</v>
      </c>
      <c r="B997" t="s">
        <v>3126</v>
      </c>
      <c r="C997" t="s">
        <v>264</v>
      </c>
      <c r="D997" t="s">
        <v>3127</v>
      </c>
      <c r="H997" t="s">
        <v>3128</v>
      </c>
      <c r="I997" t="s">
        <v>1510</v>
      </c>
      <c r="J997" t="s">
        <v>2544</v>
      </c>
      <c r="K997">
        <v>2601</v>
      </c>
      <c r="M997" t="s">
        <v>267</v>
      </c>
      <c r="N997" t="s">
        <v>259</v>
      </c>
      <c r="P997" t="s">
        <v>260</v>
      </c>
      <c r="Q997" t="s">
        <v>260</v>
      </c>
      <c r="R997" t="s">
        <v>268</v>
      </c>
      <c r="S997" t="s">
        <v>21</v>
      </c>
      <c r="T997">
        <v>100</v>
      </c>
      <c r="W997" t="s">
        <v>262</v>
      </c>
    </row>
    <row r="998" spans="1:28" x14ac:dyDescent="0.3">
      <c r="A998" t="s">
        <v>21</v>
      </c>
      <c r="B998" t="s">
        <v>3129</v>
      </c>
      <c r="C998" t="s">
        <v>2464</v>
      </c>
      <c r="D998" t="s">
        <v>3130</v>
      </c>
      <c r="E998">
        <v>24160100</v>
      </c>
      <c r="M998" t="s">
        <v>302</v>
      </c>
      <c r="N998" t="s">
        <v>259</v>
      </c>
      <c r="P998" t="s">
        <v>260</v>
      </c>
      <c r="Q998" t="s">
        <v>260</v>
      </c>
      <c r="R998" t="s">
        <v>283</v>
      </c>
      <c r="S998" t="s">
        <v>21</v>
      </c>
      <c r="T998">
        <v>100</v>
      </c>
      <c r="W998" t="s">
        <v>262</v>
      </c>
    </row>
    <row r="999" spans="1:28" x14ac:dyDescent="0.3">
      <c r="A999" t="s">
        <v>21</v>
      </c>
      <c r="B999" t="s">
        <v>3131</v>
      </c>
      <c r="C999" t="s">
        <v>270</v>
      </c>
      <c r="D999" t="s">
        <v>3087</v>
      </c>
      <c r="E999">
        <v>10.083</v>
      </c>
      <c r="M999" t="s">
        <v>631</v>
      </c>
      <c r="N999" t="s">
        <v>276</v>
      </c>
      <c r="P999" t="s">
        <v>260</v>
      </c>
      <c r="Q999" t="s">
        <v>260</v>
      </c>
      <c r="R999" t="s">
        <v>283</v>
      </c>
      <c r="S999" t="s">
        <v>21</v>
      </c>
      <c r="T999">
        <v>100</v>
      </c>
      <c r="W999" t="s">
        <v>262</v>
      </c>
    </row>
    <row r="1000" spans="1:28" x14ac:dyDescent="0.3">
      <c r="A1000" t="s">
        <v>21</v>
      </c>
      <c r="B1000" t="s">
        <v>3132</v>
      </c>
      <c r="C1000" t="s">
        <v>270</v>
      </c>
      <c r="D1000" t="s">
        <v>3133</v>
      </c>
      <c r="E1000">
        <v>91374</v>
      </c>
      <c r="H1000" t="s">
        <v>3134</v>
      </c>
      <c r="I1000" t="s">
        <v>3135</v>
      </c>
      <c r="J1000" t="s">
        <v>375</v>
      </c>
      <c r="K1000">
        <v>9016</v>
      </c>
      <c r="L1000" t="s">
        <v>276</v>
      </c>
      <c r="M1000" t="s">
        <v>375</v>
      </c>
      <c r="N1000" t="s">
        <v>276</v>
      </c>
      <c r="P1000" t="s">
        <v>260</v>
      </c>
      <c r="Q1000" t="s">
        <v>260</v>
      </c>
      <c r="R1000" t="s">
        <v>293</v>
      </c>
      <c r="S1000" t="s">
        <v>21</v>
      </c>
      <c r="T1000">
        <v>100</v>
      </c>
      <c r="W1000" t="s">
        <v>262</v>
      </c>
      <c r="X1000">
        <v>-45.878700000000002</v>
      </c>
      <c r="Y1000">
        <v>170.50409999999999</v>
      </c>
      <c r="AB1000" s="9">
        <v>45473</v>
      </c>
    </row>
    <row r="1001" spans="1:28" x14ac:dyDescent="0.3">
      <c r="A1001" t="s">
        <v>21</v>
      </c>
      <c r="B1001" t="s">
        <v>3136</v>
      </c>
      <c r="C1001" t="s">
        <v>270</v>
      </c>
      <c r="D1001" t="s">
        <v>3137</v>
      </c>
      <c r="E1001">
        <v>91356</v>
      </c>
      <c r="M1001" t="s">
        <v>631</v>
      </c>
      <c r="N1001" t="s">
        <v>276</v>
      </c>
      <c r="P1001" t="s">
        <v>260</v>
      </c>
      <c r="Q1001" t="s">
        <v>260</v>
      </c>
      <c r="R1001" t="s">
        <v>293</v>
      </c>
      <c r="S1001" t="s">
        <v>21</v>
      </c>
      <c r="T1001">
        <v>100</v>
      </c>
      <c r="W1001" t="s">
        <v>262</v>
      </c>
    </row>
    <row r="1002" spans="1:28" x14ac:dyDescent="0.3">
      <c r="A1002" t="s">
        <v>21</v>
      </c>
      <c r="B1002" t="s">
        <v>3138</v>
      </c>
      <c r="C1002" t="s">
        <v>2894</v>
      </c>
      <c r="D1002" t="s">
        <v>3139</v>
      </c>
      <c r="E1002">
        <v>91421</v>
      </c>
      <c r="G1002" t="s">
        <v>3140</v>
      </c>
      <c r="M1002" t="s">
        <v>375</v>
      </c>
      <c r="N1002" t="s">
        <v>276</v>
      </c>
      <c r="P1002" t="s">
        <v>260</v>
      </c>
      <c r="Q1002" t="s">
        <v>260</v>
      </c>
      <c r="R1002" t="s">
        <v>293</v>
      </c>
      <c r="S1002" t="s">
        <v>21</v>
      </c>
      <c r="T1002">
        <v>100</v>
      </c>
      <c r="W1002" t="s">
        <v>262</v>
      </c>
    </row>
    <row r="1003" spans="1:28" x14ac:dyDescent="0.3">
      <c r="A1003" t="s">
        <v>21</v>
      </c>
      <c r="B1003" t="s">
        <v>3141</v>
      </c>
      <c r="C1003" t="s">
        <v>270</v>
      </c>
      <c r="D1003" t="s">
        <v>657</v>
      </c>
      <c r="E1003">
        <v>55660</v>
      </c>
      <c r="H1003" t="s">
        <v>3142</v>
      </c>
      <c r="I1003" t="s">
        <v>3143</v>
      </c>
      <c r="J1003" t="s">
        <v>375</v>
      </c>
      <c r="K1003">
        <v>9018</v>
      </c>
      <c r="L1003" t="s">
        <v>276</v>
      </c>
      <c r="M1003" t="s">
        <v>659</v>
      </c>
      <c r="N1003" t="s">
        <v>276</v>
      </c>
      <c r="P1003" t="s">
        <v>260</v>
      </c>
      <c r="Q1003" t="s">
        <v>260</v>
      </c>
      <c r="R1003" t="s">
        <v>261</v>
      </c>
      <c r="S1003" t="s">
        <v>21</v>
      </c>
      <c r="T1003">
        <v>100</v>
      </c>
      <c r="W1003" t="s">
        <v>262</v>
      </c>
      <c r="X1003">
        <v>-45.901600000000002</v>
      </c>
      <c r="Y1003">
        <v>170.44069999999999</v>
      </c>
    </row>
    <row r="1004" spans="1:28" x14ac:dyDescent="0.3">
      <c r="A1004" t="s">
        <v>21</v>
      </c>
      <c r="B1004" t="s">
        <v>3144</v>
      </c>
      <c r="C1004" t="s">
        <v>278</v>
      </c>
      <c r="D1004" t="s">
        <v>3145</v>
      </c>
      <c r="E1004" t="s">
        <v>3145</v>
      </c>
      <c r="M1004" t="s">
        <v>282</v>
      </c>
      <c r="N1004" t="s">
        <v>259</v>
      </c>
      <c r="P1004" t="s">
        <v>260</v>
      </c>
      <c r="Q1004" t="s">
        <v>260</v>
      </c>
      <c r="R1004" t="s">
        <v>283</v>
      </c>
      <c r="S1004" t="s">
        <v>21</v>
      </c>
      <c r="T1004">
        <v>100</v>
      </c>
      <c r="W1004" t="s">
        <v>262</v>
      </c>
    </row>
    <row r="1005" spans="1:28" x14ac:dyDescent="0.3">
      <c r="A1005" t="s">
        <v>21</v>
      </c>
      <c r="B1005" t="s">
        <v>3146</v>
      </c>
      <c r="C1005" t="s">
        <v>270</v>
      </c>
      <c r="D1005" t="s">
        <v>3147</v>
      </c>
      <c r="E1005" t="s">
        <v>3148</v>
      </c>
      <c r="H1005" t="s">
        <v>2433</v>
      </c>
      <c r="I1005" t="s">
        <v>1343</v>
      </c>
      <c r="J1005" t="s">
        <v>297</v>
      </c>
      <c r="K1005">
        <v>2104</v>
      </c>
      <c r="L1005" t="s">
        <v>276</v>
      </c>
      <c r="M1005" t="s">
        <v>631</v>
      </c>
      <c r="N1005" t="s">
        <v>276</v>
      </c>
      <c r="P1005" t="s">
        <v>260</v>
      </c>
      <c r="Q1005" t="s">
        <v>260</v>
      </c>
      <c r="R1005" t="s">
        <v>283</v>
      </c>
      <c r="S1005" t="s">
        <v>21</v>
      </c>
      <c r="T1005">
        <v>100</v>
      </c>
      <c r="W1005" t="s">
        <v>262</v>
      </c>
      <c r="X1005">
        <v>-37.008299999999998</v>
      </c>
      <c r="Y1005">
        <v>174.87049999999999</v>
      </c>
    </row>
    <row r="1006" spans="1:28" x14ac:dyDescent="0.3">
      <c r="A1006" t="s">
        <v>21</v>
      </c>
      <c r="B1006" t="s">
        <v>3149</v>
      </c>
      <c r="C1006" t="s">
        <v>878</v>
      </c>
      <c r="D1006" t="s">
        <v>3150</v>
      </c>
      <c r="E1006">
        <v>3023</v>
      </c>
      <c r="F1006">
        <v>3023</v>
      </c>
      <c r="G1006" t="s">
        <v>3151</v>
      </c>
      <c r="H1006" t="s">
        <v>3152</v>
      </c>
      <c r="I1006" t="s">
        <v>3153</v>
      </c>
      <c r="J1006" t="s">
        <v>335</v>
      </c>
      <c r="K1006">
        <v>3072</v>
      </c>
      <c r="M1006" t="s">
        <v>282</v>
      </c>
      <c r="N1006" t="s">
        <v>259</v>
      </c>
      <c r="P1006" t="s">
        <v>260</v>
      </c>
      <c r="Q1006" t="s">
        <v>260</v>
      </c>
      <c r="R1006" t="s">
        <v>513</v>
      </c>
      <c r="S1006" t="s">
        <v>21</v>
      </c>
      <c r="T1006">
        <v>100</v>
      </c>
      <c r="V1006" s="9">
        <v>45626</v>
      </c>
      <c r="W1006" t="s">
        <v>262</v>
      </c>
      <c r="X1006">
        <v>-37.54</v>
      </c>
      <c r="Y1006">
        <v>145.16999999999999</v>
      </c>
      <c r="Z1006">
        <v>239</v>
      </c>
      <c r="AA1006" s="9">
        <v>43160</v>
      </c>
    </row>
    <row r="1007" spans="1:28" x14ac:dyDescent="0.3">
      <c r="A1007" t="s">
        <v>21</v>
      </c>
      <c r="B1007" t="s">
        <v>3154</v>
      </c>
      <c r="C1007" t="s">
        <v>264</v>
      </c>
      <c r="D1007" t="s">
        <v>3155</v>
      </c>
      <c r="E1007" t="s">
        <v>3155</v>
      </c>
      <c r="H1007" t="s">
        <v>3156</v>
      </c>
      <c r="I1007" t="s">
        <v>3154</v>
      </c>
      <c r="J1007" t="s">
        <v>366</v>
      </c>
      <c r="K1007">
        <v>2766</v>
      </c>
      <c r="L1007" t="s">
        <v>259</v>
      </c>
      <c r="M1007" t="s">
        <v>312</v>
      </c>
      <c r="N1007" t="s">
        <v>259</v>
      </c>
      <c r="P1007" t="s">
        <v>260</v>
      </c>
      <c r="Q1007" t="s">
        <v>260</v>
      </c>
      <c r="R1007" t="s">
        <v>261</v>
      </c>
      <c r="S1007" t="s">
        <v>21</v>
      </c>
      <c r="T1007">
        <v>100</v>
      </c>
      <c r="W1007" t="s">
        <v>262</v>
      </c>
    </row>
    <row r="1008" spans="1:28" x14ac:dyDescent="0.3">
      <c r="A1008" t="s">
        <v>21</v>
      </c>
      <c r="B1008" t="s">
        <v>3157</v>
      </c>
      <c r="C1008" t="s">
        <v>528</v>
      </c>
      <c r="D1008" t="s">
        <v>3158</v>
      </c>
      <c r="E1008" t="s">
        <v>3159</v>
      </c>
      <c r="M1008" t="s">
        <v>312</v>
      </c>
      <c r="N1008" t="s">
        <v>259</v>
      </c>
      <c r="P1008" t="s">
        <v>260</v>
      </c>
      <c r="Q1008" t="s">
        <v>260</v>
      </c>
      <c r="R1008" t="s">
        <v>261</v>
      </c>
      <c r="S1008" t="s">
        <v>21</v>
      </c>
      <c r="T1008">
        <v>100</v>
      </c>
      <c r="W1008" t="s">
        <v>262</v>
      </c>
    </row>
    <row r="1009" spans="1:28" x14ac:dyDescent="0.3">
      <c r="A1009" t="s">
        <v>21</v>
      </c>
      <c r="B1009" t="s">
        <v>3160</v>
      </c>
      <c r="C1009" t="s">
        <v>270</v>
      </c>
      <c r="D1009" t="s">
        <v>3161</v>
      </c>
      <c r="E1009" t="s">
        <v>3162</v>
      </c>
      <c r="H1009" t="s">
        <v>2433</v>
      </c>
      <c r="I1009" t="s">
        <v>1343</v>
      </c>
      <c r="J1009" t="s">
        <v>297</v>
      </c>
      <c r="K1009">
        <v>2104</v>
      </c>
      <c r="L1009" t="s">
        <v>276</v>
      </c>
      <c r="M1009" t="s">
        <v>631</v>
      </c>
      <c r="N1009" t="s">
        <v>276</v>
      </c>
      <c r="P1009" t="s">
        <v>260</v>
      </c>
      <c r="Q1009" t="s">
        <v>260</v>
      </c>
      <c r="R1009" t="s">
        <v>283</v>
      </c>
      <c r="S1009" t="s">
        <v>21</v>
      </c>
      <c r="T1009">
        <v>100</v>
      </c>
      <c r="W1009" t="s">
        <v>262</v>
      </c>
      <c r="X1009">
        <v>-37.008299999999998</v>
      </c>
      <c r="Y1009">
        <v>174.87049999999999</v>
      </c>
    </row>
    <row r="1010" spans="1:28" x14ac:dyDescent="0.3">
      <c r="A1010" t="s">
        <v>21</v>
      </c>
      <c r="B1010" t="s">
        <v>3163</v>
      </c>
      <c r="C1010" t="s">
        <v>270</v>
      </c>
      <c r="D1010" t="s">
        <v>3164</v>
      </c>
      <c r="E1010" t="s">
        <v>3165</v>
      </c>
      <c r="M1010" t="s">
        <v>631</v>
      </c>
      <c r="N1010" t="s">
        <v>276</v>
      </c>
      <c r="P1010" t="s">
        <v>260</v>
      </c>
      <c r="Q1010" t="s">
        <v>260</v>
      </c>
      <c r="R1010" t="s">
        <v>261</v>
      </c>
      <c r="S1010" t="s">
        <v>21</v>
      </c>
      <c r="T1010">
        <v>100</v>
      </c>
      <c r="W1010" t="s">
        <v>262</v>
      </c>
    </row>
    <row r="1011" spans="1:28" x14ac:dyDescent="0.3">
      <c r="A1011" t="s">
        <v>21</v>
      </c>
      <c r="B1011" t="s">
        <v>3166</v>
      </c>
      <c r="C1011" t="s">
        <v>1845</v>
      </c>
      <c r="D1011" t="s">
        <v>3167</v>
      </c>
      <c r="E1011">
        <v>552414</v>
      </c>
      <c r="G1011" t="s">
        <v>3168</v>
      </c>
      <c r="M1011" t="s">
        <v>403</v>
      </c>
      <c r="N1011" t="s">
        <v>276</v>
      </c>
      <c r="P1011" t="s">
        <v>260</v>
      </c>
      <c r="Q1011" t="s">
        <v>260</v>
      </c>
      <c r="R1011" t="s">
        <v>261</v>
      </c>
      <c r="S1011" t="s">
        <v>21</v>
      </c>
      <c r="T1011">
        <v>100</v>
      </c>
      <c r="W1011" t="s">
        <v>262</v>
      </c>
    </row>
    <row r="1012" spans="1:28" x14ac:dyDescent="0.3">
      <c r="A1012" t="s">
        <v>21</v>
      </c>
      <c r="B1012" t="s">
        <v>3169</v>
      </c>
      <c r="C1012" t="s">
        <v>270</v>
      </c>
      <c r="D1012" t="s">
        <v>3170</v>
      </c>
      <c r="E1012">
        <v>550717</v>
      </c>
      <c r="H1012" t="s">
        <v>2433</v>
      </c>
      <c r="I1012" t="s">
        <v>1343</v>
      </c>
      <c r="J1012" t="s">
        <v>297</v>
      </c>
      <c r="K1012">
        <v>2104</v>
      </c>
      <c r="L1012" t="s">
        <v>276</v>
      </c>
      <c r="M1012" t="s">
        <v>631</v>
      </c>
      <c r="N1012" t="s">
        <v>276</v>
      </c>
      <c r="P1012" t="s">
        <v>260</v>
      </c>
      <c r="Q1012" t="s">
        <v>260</v>
      </c>
      <c r="R1012" t="s">
        <v>261</v>
      </c>
      <c r="S1012" t="s">
        <v>21</v>
      </c>
      <c r="T1012">
        <v>100</v>
      </c>
      <c r="W1012" t="s">
        <v>262</v>
      </c>
      <c r="X1012">
        <v>-37.008299999999998</v>
      </c>
      <c r="Y1012">
        <v>174.87049999999999</v>
      </c>
    </row>
    <row r="1013" spans="1:28" x14ac:dyDescent="0.3">
      <c r="A1013" t="s">
        <v>21</v>
      </c>
      <c r="B1013" t="s">
        <v>3171</v>
      </c>
      <c r="C1013" t="s">
        <v>270</v>
      </c>
      <c r="D1013" t="s">
        <v>3172</v>
      </c>
      <c r="E1013" t="s">
        <v>3173</v>
      </c>
      <c r="H1013" t="s">
        <v>2433</v>
      </c>
      <c r="I1013" t="s">
        <v>1343</v>
      </c>
      <c r="J1013" t="s">
        <v>297</v>
      </c>
      <c r="K1013">
        <v>2104</v>
      </c>
      <c r="L1013" t="s">
        <v>276</v>
      </c>
      <c r="M1013" t="s">
        <v>631</v>
      </c>
      <c r="N1013" t="s">
        <v>276</v>
      </c>
      <c r="P1013" t="s">
        <v>260</v>
      </c>
      <c r="Q1013" t="s">
        <v>260</v>
      </c>
      <c r="R1013" t="s">
        <v>261</v>
      </c>
      <c r="S1013" t="s">
        <v>21</v>
      </c>
      <c r="T1013">
        <v>100</v>
      </c>
      <c r="W1013" t="s">
        <v>262</v>
      </c>
      <c r="X1013">
        <v>-37.008299999999998</v>
      </c>
      <c r="Y1013">
        <v>174.87049999999999</v>
      </c>
    </row>
    <row r="1014" spans="1:28" x14ac:dyDescent="0.3">
      <c r="A1014" t="s">
        <v>21</v>
      </c>
      <c r="B1014" t="s">
        <v>3174</v>
      </c>
      <c r="C1014" t="s">
        <v>270</v>
      </c>
      <c r="D1014" t="s">
        <v>3175</v>
      </c>
      <c r="E1014">
        <v>91138</v>
      </c>
      <c r="M1014" t="s">
        <v>631</v>
      </c>
      <c r="N1014" t="s">
        <v>276</v>
      </c>
      <c r="P1014" t="s">
        <v>260</v>
      </c>
      <c r="Q1014" t="s">
        <v>260</v>
      </c>
      <c r="R1014" t="s">
        <v>293</v>
      </c>
      <c r="S1014" t="s">
        <v>21</v>
      </c>
      <c r="T1014">
        <v>100</v>
      </c>
      <c r="W1014" t="s">
        <v>262</v>
      </c>
    </row>
    <row r="1015" spans="1:28" x14ac:dyDescent="0.3">
      <c r="A1015" t="s">
        <v>21</v>
      </c>
      <c r="B1015" t="s">
        <v>3176</v>
      </c>
      <c r="C1015" t="s">
        <v>270</v>
      </c>
      <c r="D1015" t="s">
        <v>3177</v>
      </c>
      <c r="E1015" t="s">
        <v>3177</v>
      </c>
      <c r="F1015" t="s">
        <v>3177</v>
      </c>
      <c r="M1015" t="s">
        <v>411</v>
      </c>
      <c r="N1015" t="s">
        <v>259</v>
      </c>
      <c r="P1015" t="s">
        <v>260</v>
      </c>
      <c r="Q1015" t="s">
        <v>260</v>
      </c>
      <c r="R1015" t="s">
        <v>283</v>
      </c>
      <c r="S1015" t="s">
        <v>21</v>
      </c>
      <c r="T1015">
        <v>100</v>
      </c>
      <c r="W1015" t="s">
        <v>262</v>
      </c>
    </row>
    <row r="1016" spans="1:28" x14ac:dyDescent="0.3">
      <c r="A1016" t="s">
        <v>21</v>
      </c>
      <c r="B1016" t="s">
        <v>3178</v>
      </c>
      <c r="C1016" t="s">
        <v>270</v>
      </c>
      <c r="D1016" t="s">
        <v>3179</v>
      </c>
      <c r="E1016">
        <v>3051</v>
      </c>
      <c r="M1016" t="s">
        <v>631</v>
      </c>
      <c r="N1016" t="s">
        <v>276</v>
      </c>
      <c r="P1016" t="s">
        <v>260</v>
      </c>
      <c r="Q1016" t="s">
        <v>260</v>
      </c>
      <c r="R1016" t="s">
        <v>261</v>
      </c>
      <c r="S1016" t="s">
        <v>21</v>
      </c>
      <c r="T1016">
        <v>100</v>
      </c>
      <c r="W1016" t="s">
        <v>262</v>
      </c>
    </row>
    <row r="1017" spans="1:28" x14ac:dyDescent="0.3">
      <c r="A1017" t="s">
        <v>21</v>
      </c>
      <c r="B1017" t="s">
        <v>170</v>
      </c>
      <c r="C1017" t="s">
        <v>270</v>
      </c>
      <c r="D1017" t="s">
        <v>3180</v>
      </c>
      <c r="E1017">
        <v>55970</v>
      </c>
      <c r="M1017" t="s">
        <v>631</v>
      </c>
      <c r="N1017" t="s">
        <v>276</v>
      </c>
      <c r="P1017" t="s">
        <v>260</v>
      </c>
      <c r="Q1017" t="s">
        <v>260</v>
      </c>
      <c r="R1017" t="s">
        <v>261</v>
      </c>
      <c r="S1017" t="s">
        <v>21</v>
      </c>
      <c r="T1017">
        <v>100</v>
      </c>
      <c r="W1017" t="s">
        <v>262</v>
      </c>
    </row>
    <row r="1018" spans="1:28" x14ac:dyDescent="0.3">
      <c r="A1018" t="s">
        <v>21</v>
      </c>
      <c r="B1018" t="s">
        <v>3181</v>
      </c>
      <c r="C1018" t="s">
        <v>270</v>
      </c>
      <c r="D1018" t="s">
        <v>3182</v>
      </c>
      <c r="E1018">
        <v>55975</v>
      </c>
      <c r="M1018" t="s">
        <v>297</v>
      </c>
      <c r="N1018" t="s">
        <v>276</v>
      </c>
      <c r="P1018" t="s">
        <v>260</v>
      </c>
      <c r="Q1018" t="s">
        <v>260</v>
      </c>
      <c r="R1018" t="s">
        <v>261</v>
      </c>
      <c r="S1018" t="s">
        <v>21</v>
      </c>
      <c r="T1018">
        <v>100</v>
      </c>
      <c r="W1018" t="s">
        <v>262</v>
      </c>
    </row>
    <row r="1019" spans="1:28" x14ac:dyDescent="0.3">
      <c r="A1019" t="s">
        <v>21</v>
      </c>
      <c r="B1019" t="s">
        <v>3183</v>
      </c>
      <c r="C1019" t="s">
        <v>270</v>
      </c>
      <c r="D1019" t="s">
        <v>3184</v>
      </c>
      <c r="E1019" t="s">
        <v>3184</v>
      </c>
      <c r="M1019" t="s">
        <v>394</v>
      </c>
      <c r="N1019" t="s">
        <v>276</v>
      </c>
      <c r="P1019" t="s">
        <v>260</v>
      </c>
      <c r="Q1019" t="s">
        <v>260</v>
      </c>
      <c r="R1019" t="s">
        <v>283</v>
      </c>
      <c r="S1019" t="s">
        <v>21</v>
      </c>
      <c r="T1019">
        <v>100</v>
      </c>
      <c r="W1019" t="s">
        <v>262</v>
      </c>
    </row>
    <row r="1020" spans="1:28" x14ac:dyDescent="0.3">
      <c r="A1020" t="s">
        <v>21</v>
      </c>
      <c r="B1020" t="s">
        <v>3185</v>
      </c>
      <c r="C1020" t="s">
        <v>270</v>
      </c>
      <c r="D1020" t="s">
        <v>661</v>
      </c>
      <c r="E1020">
        <v>55614</v>
      </c>
      <c r="H1020" t="s">
        <v>662</v>
      </c>
      <c r="I1020" t="s">
        <v>663</v>
      </c>
      <c r="J1020" t="s">
        <v>664</v>
      </c>
      <c r="K1020">
        <v>7925</v>
      </c>
      <c r="L1020" t="s">
        <v>276</v>
      </c>
      <c r="M1020" t="s">
        <v>665</v>
      </c>
      <c r="N1020" t="s">
        <v>276</v>
      </c>
      <c r="P1020" t="s">
        <v>260</v>
      </c>
      <c r="Q1020" t="s">
        <v>260</v>
      </c>
      <c r="R1020" t="s">
        <v>261</v>
      </c>
      <c r="S1020" t="s">
        <v>21</v>
      </c>
      <c r="T1020">
        <v>100</v>
      </c>
      <c r="W1020" t="s">
        <v>262</v>
      </c>
      <c r="X1020">
        <v>-42.4756</v>
      </c>
      <c r="Y1020">
        <v>172.3937</v>
      </c>
    </row>
    <row r="1021" spans="1:28" x14ac:dyDescent="0.3">
      <c r="A1021" t="s">
        <v>21</v>
      </c>
      <c r="B1021" t="s">
        <v>3186</v>
      </c>
      <c r="C1021" t="s">
        <v>270</v>
      </c>
      <c r="D1021" t="s">
        <v>3187</v>
      </c>
      <c r="E1021">
        <v>2000003134</v>
      </c>
      <c r="G1021" t="s">
        <v>3188</v>
      </c>
      <c r="M1021" t="s">
        <v>297</v>
      </c>
      <c r="N1021" t="s">
        <v>276</v>
      </c>
      <c r="P1021" t="s">
        <v>260</v>
      </c>
      <c r="Q1021" t="s">
        <v>260</v>
      </c>
      <c r="R1021" t="s">
        <v>268</v>
      </c>
      <c r="S1021" t="s">
        <v>21</v>
      </c>
      <c r="T1021">
        <v>100</v>
      </c>
      <c r="W1021" t="s">
        <v>262</v>
      </c>
    </row>
    <row r="1022" spans="1:28" x14ac:dyDescent="0.3">
      <c r="A1022" t="s">
        <v>21</v>
      </c>
      <c r="B1022" t="s">
        <v>1353</v>
      </c>
      <c r="C1022" t="s">
        <v>299</v>
      </c>
      <c r="D1022" t="s">
        <v>3189</v>
      </c>
      <c r="E1022">
        <v>8022</v>
      </c>
      <c r="F1022">
        <v>8022</v>
      </c>
      <c r="G1022" t="s">
        <v>3190</v>
      </c>
      <c r="H1022" t="s">
        <v>3191</v>
      </c>
      <c r="I1022" t="s">
        <v>1353</v>
      </c>
      <c r="J1022" t="s">
        <v>335</v>
      </c>
      <c r="K1022">
        <v>3076</v>
      </c>
      <c r="L1022" t="s">
        <v>259</v>
      </c>
      <c r="M1022" t="s">
        <v>1353</v>
      </c>
      <c r="N1022" t="s">
        <v>259</v>
      </c>
      <c r="P1022" t="s">
        <v>260</v>
      </c>
      <c r="Q1022" t="s">
        <v>260</v>
      </c>
      <c r="R1022" t="s">
        <v>261</v>
      </c>
      <c r="S1022" t="s">
        <v>21</v>
      </c>
      <c r="T1022">
        <v>100</v>
      </c>
      <c r="W1022" t="s">
        <v>262</v>
      </c>
      <c r="X1022">
        <v>-37.644511000000001</v>
      </c>
      <c r="Y1022">
        <v>145.00962699999999</v>
      </c>
      <c r="Z1022">
        <v>310</v>
      </c>
      <c r="AB1022" s="9">
        <v>45504</v>
      </c>
    </row>
    <row r="1023" spans="1:28" x14ac:dyDescent="0.3">
      <c r="A1023" t="s">
        <v>21</v>
      </c>
      <c r="B1023" t="s">
        <v>3192</v>
      </c>
      <c r="C1023" t="s">
        <v>270</v>
      </c>
      <c r="D1023" t="s">
        <v>3193</v>
      </c>
      <c r="E1023" t="s">
        <v>3193</v>
      </c>
      <c r="M1023" t="s">
        <v>394</v>
      </c>
      <c r="N1023" t="s">
        <v>276</v>
      </c>
      <c r="P1023" t="s">
        <v>260</v>
      </c>
      <c r="Q1023" t="s">
        <v>260</v>
      </c>
      <c r="R1023" t="s">
        <v>283</v>
      </c>
      <c r="S1023" t="s">
        <v>21</v>
      </c>
      <c r="T1023">
        <v>100</v>
      </c>
      <c r="W1023" t="s">
        <v>262</v>
      </c>
    </row>
    <row r="1024" spans="1:28" x14ac:dyDescent="0.3">
      <c r="A1024" t="s">
        <v>21</v>
      </c>
      <c r="B1024" t="s">
        <v>3194</v>
      </c>
      <c r="C1024" t="s">
        <v>270</v>
      </c>
      <c r="D1024" t="s">
        <v>3195</v>
      </c>
      <c r="E1024" t="s">
        <v>3195</v>
      </c>
      <c r="F1024" t="s">
        <v>3195</v>
      </c>
      <c r="M1024" t="s">
        <v>297</v>
      </c>
      <c r="N1024" t="s">
        <v>276</v>
      </c>
      <c r="P1024" t="s">
        <v>260</v>
      </c>
      <c r="Q1024" t="s">
        <v>260</v>
      </c>
      <c r="R1024" t="s">
        <v>283</v>
      </c>
      <c r="S1024" t="s">
        <v>21</v>
      </c>
      <c r="T1024">
        <v>100</v>
      </c>
      <c r="W1024" t="s">
        <v>262</v>
      </c>
    </row>
    <row r="1025" spans="1:25" x14ac:dyDescent="0.3">
      <c r="A1025" t="s">
        <v>21</v>
      </c>
      <c r="B1025" t="s">
        <v>3196</v>
      </c>
      <c r="C1025" t="s">
        <v>270</v>
      </c>
      <c r="D1025" t="s">
        <v>1952</v>
      </c>
      <c r="E1025">
        <v>10105</v>
      </c>
      <c r="G1025">
        <v>10.105</v>
      </c>
      <c r="H1025" t="s">
        <v>2433</v>
      </c>
      <c r="I1025" t="s">
        <v>1343</v>
      </c>
      <c r="J1025" t="s">
        <v>297</v>
      </c>
      <c r="K1025">
        <v>2104</v>
      </c>
      <c r="L1025" t="s">
        <v>276</v>
      </c>
      <c r="M1025" t="s">
        <v>631</v>
      </c>
      <c r="N1025" t="s">
        <v>276</v>
      </c>
      <c r="P1025" t="s">
        <v>260</v>
      </c>
      <c r="Q1025" t="s">
        <v>260</v>
      </c>
      <c r="R1025" t="s">
        <v>283</v>
      </c>
      <c r="S1025" t="s">
        <v>21</v>
      </c>
      <c r="T1025">
        <v>100</v>
      </c>
      <c r="W1025" t="s">
        <v>262</v>
      </c>
      <c r="X1025">
        <v>-37.008299999999998</v>
      </c>
      <c r="Y1025">
        <v>174.87049999999999</v>
      </c>
    </row>
    <row r="1026" spans="1:25" x14ac:dyDescent="0.3">
      <c r="A1026" t="s">
        <v>21</v>
      </c>
      <c r="B1026" t="s">
        <v>3197</v>
      </c>
      <c r="C1026" t="s">
        <v>270</v>
      </c>
      <c r="D1026" t="s">
        <v>3198</v>
      </c>
      <c r="E1026" t="s">
        <v>3198</v>
      </c>
      <c r="M1026" t="s">
        <v>394</v>
      </c>
      <c r="N1026" t="s">
        <v>276</v>
      </c>
      <c r="P1026" t="s">
        <v>260</v>
      </c>
      <c r="Q1026" t="s">
        <v>260</v>
      </c>
      <c r="R1026" t="s">
        <v>283</v>
      </c>
      <c r="S1026" t="s">
        <v>21</v>
      </c>
      <c r="T1026">
        <v>100</v>
      </c>
      <c r="W1026" t="s">
        <v>262</v>
      </c>
    </row>
    <row r="1027" spans="1:25" x14ac:dyDescent="0.3">
      <c r="A1027" t="s">
        <v>21</v>
      </c>
      <c r="B1027" t="s">
        <v>3199</v>
      </c>
      <c r="C1027" t="s">
        <v>270</v>
      </c>
      <c r="D1027" t="s">
        <v>3200</v>
      </c>
      <c r="E1027">
        <v>10198</v>
      </c>
      <c r="G1027">
        <v>10.198</v>
      </c>
      <c r="H1027" t="s">
        <v>2433</v>
      </c>
      <c r="I1027" t="s">
        <v>1343</v>
      </c>
      <c r="J1027" t="s">
        <v>297</v>
      </c>
      <c r="K1027">
        <v>2104</v>
      </c>
      <c r="L1027" t="s">
        <v>276</v>
      </c>
      <c r="M1027" t="s">
        <v>631</v>
      </c>
      <c r="N1027" t="s">
        <v>276</v>
      </c>
      <c r="P1027" t="s">
        <v>260</v>
      </c>
      <c r="Q1027" t="s">
        <v>260</v>
      </c>
      <c r="R1027" t="s">
        <v>283</v>
      </c>
      <c r="S1027" t="s">
        <v>21</v>
      </c>
      <c r="T1027">
        <v>100</v>
      </c>
      <c r="W1027" t="s">
        <v>262</v>
      </c>
      <c r="X1027">
        <v>-37.008299999999998</v>
      </c>
      <c r="Y1027">
        <v>174.87049999999999</v>
      </c>
    </row>
    <row r="1028" spans="1:25" x14ac:dyDescent="0.3">
      <c r="A1028" t="s">
        <v>21</v>
      </c>
      <c r="B1028" t="s">
        <v>3201</v>
      </c>
      <c r="C1028" t="s">
        <v>270</v>
      </c>
      <c r="D1028" t="s">
        <v>3202</v>
      </c>
      <c r="E1028" t="s">
        <v>3202</v>
      </c>
      <c r="M1028" t="s">
        <v>394</v>
      </c>
      <c r="N1028" t="s">
        <v>276</v>
      </c>
      <c r="P1028" t="s">
        <v>260</v>
      </c>
      <c r="Q1028" t="s">
        <v>260</v>
      </c>
      <c r="R1028" t="s">
        <v>283</v>
      </c>
      <c r="S1028" t="s">
        <v>21</v>
      </c>
      <c r="T1028">
        <v>100</v>
      </c>
      <c r="W1028" t="s">
        <v>262</v>
      </c>
    </row>
    <row r="1029" spans="1:25" x14ac:dyDescent="0.3">
      <c r="A1029" t="s">
        <v>21</v>
      </c>
      <c r="B1029" t="s">
        <v>3203</v>
      </c>
      <c r="C1029" t="s">
        <v>270</v>
      </c>
      <c r="D1029" t="s">
        <v>3204</v>
      </c>
      <c r="E1029" t="s">
        <v>3204</v>
      </c>
      <c r="F1029" t="s">
        <v>3204</v>
      </c>
      <c r="M1029" t="s">
        <v>297</v>
      </c>
      <c r="N1029" t="s">
        <v>276</v>
      </c>
      <c r="P1029" t="s">
        <v>260</v>
      </c>
      <c r="Q1029" t="s">
        <v>260</v>
      </c>
      <c r="R1029" t="s">
        <v>283</v>
      </c>
      <c r="S1029" t="s">
        <v>21</v>
      </c>
      <c r="T1029">
        <v>100</v>
      </c>
      <c r="W1029" t="s">
        <v>262</v>
      </c>
    </row>
    <row r="1030" spans="1:25" x14ac:dyDescent="0.3">
      <c r="A1030" t="s">
        <v>21</v>
      </c>
      <c r="B1030" t="s">
        <v>3205</v>
      </c>
      <c r="C1030" t="s">
        <v>270</v>
      </c>
      <c r="D1030" t="s">
        <v>3206</v>
      </c>
      <c r="E1030" t="s">
        <v>3206</v>
      </c>
      <c r="M1030" t="s">
        <v>394</v>
      </c>
      <c r="N1030" t="s">
        <v>276</v>
      </c>
      <c r="P1030" t="s">
        <v>260</v>
      </c>
      <c r="Q1030" t="s">
        <v>260</v>
      </c>
      <c r="R1030" t="s">
        <v>283</v>
      </c>
      <c r="S1030" t="s">
        <v>21</v>
      </c>
      <c r="T1030">
        <v>100</v>
      </c>
      <c r="W1030" t="s">
        <v>262</v>
      </c>
    </row>
    <row r="1031" spans="1:25" x14ac:dyDescent="0.3">
      <c r="A1031" t="s">
        <v>21</v>
      </c>
      <c r="B1031" t="s">
        <v>3207</v>
      </c>
      <c r="C1031" t="s">
        <v>270</v>
      </c>
      <c r="D1031" t="s">
        <v>3208</v>
      </c>
      <c r="E1031" t="s">
        <v>3208</v>
      </c>
      <c r="M1031" t="s">
        <v>394</v>
      </c>
      <c r="N1031" t="s">
        <v>276</v>
      </c>
      <c r="P1031" t="s">
        <v>260</v>
      </c>
      <c r="Q1031" t="s">
        <v>260</v>
      </c>
      <c r="R1031" t="s">
        <v>283</v>
      </c>
      <c r="S1031" t="s">
        <v>21</v>
      </c>
      <c r="T1031">
        <v>100</v>
      </c>
      <c r="W1031" t="s">
        <v>262</v>
      </c>
    </row>
    <row r="1032" spans="1:25" x14ac:dyDescent="0.3">
      <c r="A1032" t="s">
        <v>21</v>
      </c>
      <c r="B1032" t="s">
        <v>3209</v>
      </c>
      <c r="C1032" t="s">
        <v>270</v>
      </c>
      <c r="D1032" t="s">
        <v>3210</v>
      </c>
      <c r="E1032" t="s">
        <v>3210</v>
      </c>
      <c r="M1032" t="s">
        <v>394</v>
      </c>
      <c r="N1032" t="s">
        <v>276</v>
      </c>
      <c r="P1032" t="s">
        <v>260</v>
      </c>
      <c r="Q1032" t="s">
        <v>260</v>
      </c>
      <c r="R1032" t="s">
        <v>283</v>
      </c>
      <c r="S1032" t="s">
        <v>21</v>
      </c>
      <c r="T1032">
        <v>100</v>
      </c>
      <c r="W1032" t="s">
        <v>262</v>
      </c>
    </row>
    <row r="1033" spans="1:25" x14ac:dyDescent="0.3">
      <c r="A1033" t="s">
        <v>21</v>
      </c>
      <c r="B1033" t="s">
        <v>3211</v>
      </c>
      <c r="C1033" t="s">
        <v>270</v>
      </c>
      <c r="D1033" t="s">
        <v>3212</v>
      </c>
      <c r="E1033" t="s">
        <v>3212</v>
      </c>
      <c r="F1033" t="s">
        <v>3212</v>
      </c>
      <c r="M1033" t="s">
        <v>297</v>
      </c>
      <c r="N1033" t="s">
        <v>276</v>
      </c>
      <c r="P1033" t="s">
        <v>260</v>
      </c>
      <c r="Q1033" t="s">
        <v>260</v>
      </c>
      <c r="R1033" t="s">
        <v>283</v>
      </c>
      <c r="S1033" t="s">
        <v>21</v>
      </c>
      <c r="T1033">
        <v>100</v>
      </c>
      <c r="W1033" t="s">
        <v>262</v>
      </c>
    </row>
    <row r="1034" spans="1:25" x14ac:dyDescent="0.3">
      <c r="A1034" t="s">
        <v>21</v>
      </c>
      <c r="B1034" t="s">
        <v>3213</v>
      </c>
      <c r="C1034" t="s">
        <v>270</v>
      </c>
      <c r="D1034" t="s">
        <v>3214</v>
      </c>
      <c r="E1034" t="s">
        <v>3214</v>
      </c>
      <c r="M1034" t="s">
        <v>394</v>
      </c>
      <c r="N1034" t="s">
        <v>276</v>
      </c>
      <c r="P1034" t="s">
        <v>260</v>
      </c>
      <c r="Q1034" t="s">
        <v>260</v>
      </c>
      <c r="R1034" t="s">
        <v>283</v>
      </c>
      <c r="S1034" t="s">
        <v>21</v>
      </c>
      <c r="T1034">
        <v>100</v>
      </c>
      <c r="W1034" t="s">
        <v>262</v>
      </c>
    </row>
    <row r="1035" spans="1:25" x14ac:dyDescent="0.3">
      <c r="A1035" t="s">
        <v>21</v>
      </c>
      <c r="B1035" t="s">
        <v>3215</v>
      </c>
      <c r="C1035" t="s">
        <v>270</v>
      </c>
      <c r="D1035" t="s">
        <v>3216</v>
      </c>
      <c r="E1035" t="s">
        <v>3216</v>
      </c>
      <c r="M1035" t="s">
        <v>394</v>
      </c>
      <c r="N1035" t="s">
        <v>276</v>
      </c>
      <c r="P1035" t="s">
        <v>260</v>
      </c>
      <c r="Q1035" t="s">
        <v>260</v>
      </c>
      <c r="R1035" t="s">
        <v>283</v>
      </c>
      <c r="S1035" t="s">
        <v>21</v>
      </c>
      <c r="T1035">
        <v>100</v>
      </c>
      <c r="W1035" t="s">
        <v>262</v>
      </c>
    </row>
    <row r="1036" spans="1:25" x14ac:dyDescent="0.3">
      <c r="A1036" t="s">
        <v>21</v>
      </c>
      <c r="B1036" t="s">
        <v>3217</v>
      </c>
      <c r="C1036" t="s">
        <v>270</v>
      </c>
      <c r="D1036" t="s">
        <v>3218</v>
      </c>
      <c r="E1036" t="s">
        <v>3218</v>
      </c>
      <c r="M1036" t="s">
        <v>394</v>
      </c>
      <c r="N1036" t="s">
        <v>276</v>
      </c>
      <c r="P1036" t="s">
        <v>260</v>
      </c>
      <c r="Q1036" t="s">
        <v>260</v>
      </c>
      <c r="R1036" t="s">
        <v>283</v>
      </c>
      <c r="S1036" t="s">
        <v>21</v>
      </c>
      <c r="T1036">
        <v>100</v>
      </c>
      <c r="W1036" t="s">
        <v>262</v>
      </c>
    </row>
    <row r="1037" spans="1:25" x14ac:dyDescent="0.3">
      <c r="A1037" t="s">
        <v>21</v>
      </c>
      <c r="B1037" t="s">
        <v>3219</v>
      </c>
      <c r="C1037" t="s">
        <v>270</v>
      </c>
      <c r="D1037" t="s">
        <v>3220</v>
      </c>
      <c r="E1037" t="s">
        <v>3220</v>
      </c>
      <c r="M1037" t="s">
        <v>394</v>
      </c>
      <c r="N1037" t="s">
        <v>276</v>
      </c>
      <c r="P1037" t="s">
        <v>260</v>
      </c>
      <c r="Q1037" t="s">
        <v>260</v>
      </c>
      <c r="R1037" t="s">
        <v>283</v>
      </c>
      <c r="S1037" t="s">
        <v>21</v>
      </c>
      <c r="T1037">
        <v>100</v>
      </c>
      <c r="W1037" t="s">
        <v>262</v>
      </c>
    </row>
    <row r="1038" spans="1:25" x14ac:dyDescent="0.3">
      <c r="A1038" t="s">
        <v>21</v>
      </c>
      <c r="B1038" t="s">
        <v>3221</v>
      </c>
      <c r="C1038" t="s">
        <v>270</v>
      </c>
      <c r="D1038" t="s">
        <v>3208</v>
      </c>
      <c r="E1038" t="s">
        <v>3208</v>
      </c>
      <c r="F1038" t="s">
        <v>3208</v>
      </c>
      <c r="M1038" t="s">
        <v>297</v>
      </c>
      <c r="N1038" t="s">
        <v>276</v>
      </c>
      <c r="P1038" t="s">
        <v>260</v>
      </c>
      <c r="Q1038" t="s">
        <v>260</v>
      </c>
      <c r="R1038" t="s">
        <v>283</v>
      </c>
      <c r="S1038" t="s">
        <v>21</v>
      </c>
      <c r="T1038">
        <v>100</v>
      </c>
      <c r="W1038" t="s">
        <v>262</v>
      </c>
    </row>
    <row r="1039" spans="1:25" x14ac:dyDescent="0.3">
      <c r="A1039" t="s">
        <v>21</v>
      </c>
      <c r="B1039" t="s">
        <v>3222</v>
      </c>
      <c r="C1039" t="s">
        <v>270</v>
      </c>
      <c r="D1039" t="s">
        <v>3223</v>
      </c>
      <c r="E1039" t="s">
        <v>3223</v>
      </c>
      <c r="M1039" t="s">
        <v>394</v>
      </c>
      <c r="N1039" t="s">
        <v>276</v>
      </c>
      <c r="P1039" t="s">
        <v>260</v>
      </c>
      <c r="Q1039" t="s">
        <v>260</v>
      </c>
      <c r="R1039" t="s">
        <v>283</v>
      </c>
      <c r="S1039" t="s">
        <v>21</v>
      </c>
      <c r="T1039">
        <v>100</v>
      </c>
      <c r="W1039" t="s">
        <v>262</v>
      </c>
    </row>
    <row r="1040" spans="1:25" x14ac:dyDescent="0.3">
      <c r="A1040" t="s">
        <v>21</v>
      </c>
      <c r="B1040" t="s">
        <v>3224</v>
      </c>
      <c r="C1040" t="s">
        <v>270</v>
      </c>
      <c r="D1040" t="s">
        <v>3202</v>
      </c>
      <c r="E1040" t="s">
        <v>3202</v>
      </c>
      <c r="F1040" t="s">
        <v>3202</v>
      </c>
      <c r="M1040" t="s">
        <v>297</v>
      </c>
      <c r="N1040" t="s">
        <v>276</v>
      </c>
      <c r="P1040" t="s">
        <v>260</v>
      </c>
      <c r="Q1040" t="s">
        <v>260</v>
      </c>
      <c r="R1040" t="s">
        <v>283</v>
      </c>
      <c r="S1040" t="s">
        <v>21</v>
      </c>
      <c r="T1040">
        <v>100</v>
      </c>
      <c r="W1040" t="s">
        <v>262</v>
      </c>
    </row>
    <row r="1041" spans="1:28" x14ac:dyDescent="0.3">
      <c r="A1041" t="s">
        <v>21</v>
      </c>
      <c r="B1041" t="s">
        <v>3225</v>
      </c>
      <c r="C1041" t="s">
        <v>270</v>
      </c>
      <c r="D1041" t="s">
        <v>3226</v>
      </c>
      <c r="E1041" t="s">
        <v>3226</v>
      </c>
      <c r="F1041" t="s">
        <v>3226</v>
      </c>
      <c r="M1041" t="s">
        <v>297</v>
      </c>
      <c r="N1041" t="s">
        <v>276</v>
      </c>
      <c r="P1041" t="s">
        <v>260</v>
      </c>
      <c r="Q1041" t="s">
        <v>260</v>
      </c>
      <c r="R1041" t="s">
        <v>283</v>
      </c>
      <c r="S1041" t="s">
        <v>21</v>
      </c>
      <c r="T1041">
        <v>100</v>
      </c>
      <c r="W1041" t="s">
        <v>262</v>
      </c>
    </row>
    <row r="1042" spans="1:28" x14ac:dyDescent="0.3">
      <c r="A1042" t="s">
        <v>21</v>
      </c>
      <c r="B1042" t="s">
        <v>3227</v>
      </c>
      <c r="C1042" t="s">
        <v>270</v>
      </c>
      <c r="D1042" t="s">
        <v>3228</v>
      </c>
      <c r="E1042" t="s">
        <v>3228</v>
      </c>
      <c r="F1042" t="s">
        <v>3228</v>
      </c>
      <c r="M1042" t="s">
        <v>297</v>
      </c>
      <c r="N1042" t="s">
        <v>276</v>
      </c>
      <c r="P1042" t="s">
        <v>260</v>
      </c>
      <c r="Q1042" t="s">
        <v>260</v>
      </c>
      <c r="R1042" t="s">
        <v>283</v>
      </c>
      <c r="S1042" t="s">
        <v>21</v>
      </c>
      <c r="T1042">
        <v>100</v>
      </c>
      <c r="W1042" t="s">
        <v>262</v>
      </c>
    </row>
    <row r="1043" spans="1:28" x14ac:dyDescent="0.3">
      <c r="A1043" t="s">
        <v>21</v>
      </c>
      <c r="B1043" t="s">
        <v>3229</v>
      </c>
      <c r="C1043" t="s">
        <v>270</v>
      </c>
      <c r="D1043" t="s">
        <v>3230</v>
      </c>
      <c r="E1043" t="s">
        <v>3230</v>
      </c>
      <c r="F1043" t="s">
        <v>3230</v>
      </c>
      <c r="M1043" t="s">
        <v>297</v>
      </c>
      <c r="N1043" t="s">
        <v>276</v>
      </c>
      <c r="P1043" t="s">
        <v>260</v>
      </c>
      <c r="Q1043" t="s">
        <v>260</v>
      </c>
      <c r="R1043" t="s">
        <v>283</v>
      </c>
      <c r="S1043" t="s">
        <v>21</v>
      </c>
      <c r="T1043">
        <v>100</v>
      </c>
      <c r="W1043" t="s">
        <v>262</v>
      </c>
    </row>
    <row r="1044" spans="1:28" x14ac:dyDescent="0.3">
      <c r="A1044" t="s">
        <v>21</v>
      </c>
      <c r="B1044" t="s">
        <v>3231</v>
      </c>
      <c r="C1044" t="s">
        <v>270</v>
      </c>
      <c r="D1044" t="s">
        <v>3223</v>
      </c>
      <c r="E1044" t="s">
        <v>3223</v>
      </c>
      <c r="F1044" t="s">
        <v>3223</v>
      </c>
      <c r="M1044" t="s">
        <v>297</v>
      </c>
      <c r="N1044" t="s">
        <v>276</v>
      </c>
      <c r="P1044" t="s">
        <v>260</v>
      </c>
      <c r="Q1044" t="s">
        <v>260</v>
      </c>
      <c r="R1044" t="s">
        <v>283</v>
      </c>
      <c r="S1044" t="s">
        <v>21</v>
      </c>
      <c r="T1044">
        <v>100</v>
      </c>
      <c r="W1044" t="s">
        <v>262</v>
      </c>
    </row>
    <row r="1045" spans="1:28" x14ac:dyDescent="0.3">
      <c r="A1045" t="s">
        <v>21</v>
      </c>
      <c r="B1045" t="s">
        <v>3232</v>
      </c>
      <c r="C1045" t="s">
        <v>270</v>
      </c>
      <c r="D1045" t="s">
        <v>3233</v>
      </c>
      <c r="E1045" t="s">
        <v>3233</v>
      </c>
      <c r="M1045" t="s">
        <v>394</v>
      </c>
      <c r="N1045" t="s">
        <v>276</v>
      </c>
      <c r="P1045" t="s">
        <v>260</v>
      </c>
      <c r="Q1045" t="s">
        <v>260</v>
      </c>
      <c r="R1045" t="s">
        <v>283</v>
      </c>
      <c r="S1045" t="s">
        <v>21</v>
      </c>
      <c r="T1045">
        <v>100</v>
      </c>
      <c r="W1045" t="s">
        <v>262</v>
      </c>
    </row>
    <row r="1046" spans="1:28" x14ac:dyDescent="0.3">
      <c r="A1046" t="s">
        <v>21</v>
      </c>
      <c r="B1046" t="s">
        <v>3234</v>
      </c>
      <c r="C1046" t="s">
        <v>270</v>
      </c>
      <c r="D1046" t="s">
        <v>3235</v>
      </c>
      <c r="E1046" t="s">
        <v>3235</v>
      </c>
      <c r="F1046" t="s">
        <v>3235</v>
      </c>
      <c r="M1046" t="s">
        <v>297</v>
      </c>
      <c r="N1046" t="s">
        <v>276</v>
      </c>
      <c r="P1046" t="s">
        <v>260</v>
      </c>
      <c r="Q1046" t="s">
        <v>260</v>
      </c>
      <c r="R1046" t="s">
        <v>283</v>
      </c>
      <c r="S1046" t="s">
        <v>21</v>
      </c>
      <c r="T1046">
        <v>100</v>
      </c>
      <c r="W1046" t="s">
        <v>262</v>
      </c>
    </row>
    <row r="1047" spans="1:28" x14ac:dyDescent="0.3">
      <c r="A1047" t="s">
        <v>21</v>
      </c>
      <c r="B1047" t="s">
        <v>3236</v>
      </c>
      <c r="C1047" t="s">
        <v>270</v>
      </c>
      <c r="D1047" t="s">
        <v>3237</v>
      </c>
      <c r="E1047" t="s">
        <v>3237</v>
      </c>
      <c r="M1047" t="s">
        <v>411</v>
      </c>
      <c r="N1047" t="s">
        <v>259</v>
      </c>
      <c r="P1047" t="s">
        <v>260</v>
      </c>
      <c r="Q1047" t="s">
        <v>260</v>
      </c>
      <c r="R1047" t="s">
        <v>283</v>
      </c>
      <c r="S1047" t="s">
        <v>21</v>
      </c>
      <c r="T1047">
        <v>100</v>
      </c>
      <c r="W1047" t="s">
        <v>262</v>
      </c>
    </row>
    <row r="1048" spans="1:28" x14ac:dyDescent="0.3">
      <c r="A1048" t="s">
        <v>21</v>
      </c>
      <c r="B1048" t="s">
        <v>3238</v>
      </c>
      <c r="C1048" t="s">
        <v>278</v>
      </c>
      <c r="D1048" t="s">
        <v>3239</v>
      </c>
      <c r="M1048" t="s">
        <v>526</v>
      </c>
      <c r="N1048" t="s">
        <v>259</v>
      </c>
      <c r="P1048" t="s">
        <v>260</v>
      </c>
      <c r="Q1048" t="s">
        <v>260</v>
      </c>
      <c r="R1048" t="s">
        <v>283</v>
      </c>
      <c r="S1048" t="s">
        <v>21</v>
      </c>
      <c r="T1048">
        <v>100</v>
      </c>
      <c r="U1048" s="9">
        <v>45474</v>
      </c>
      <c r="W1048" t="s">
        <v>262</v>
      </c>
    </row>
    <row r="1049" spans="1:28" x14ac:dyDescent="0.3">
      <c r="A1049" t="s">
        <v>21</v>
      </c>
      <c r="B1049" t="s">
        <v>3240</v>
      </c>
      <c r="C1049" t="s">
        <v>278</v>
      </c>
      <c r="D1049" t="s">
        <v>3241</v>
      </c>
      <c r="M1049" t="s">
        <v>3242</v>
      </c>
      <c r="N1049" t="s">
        <v>259</v>
      </c>
      <c r="P1049" t="s">
        <v>260</v>
      </c>
      <c r="Q1049" t="s">
        <v>260</v>
      </c>
      <c r="R1049" t="s">
        <v>283</v>
      </c>
      <c r="S1049" t="s">
        <v>21</v>
      </c>
      <c r="T1049">
        <v>100</v>
      </c>
      <c r="U1049" s="9">
        <v>45474</v>
      </c>
      <c r="W1049" t="s">
        <v>262</v>
      </c>
    </row>
    <row r="1050" spans="1:28" x14ac:dyDescent="0.3">
      <c r="A1050" t="s">
        <v>21</v>
      </c>
      <c r="B1050" t="s">
        <v>3243</v>
      </c>
      <c r="C1050" t="s">
        <v>270</v>
      </c>
      <c r="D1050" t="s">
        <v>3244</v>
      </c>
      <c r="E1050">
        <v>561529</v>
      </c>
      <c r="M1050" t="s">
        <v>297</v>
      </c>
      <c r="N1050" t="s">
        <v>276</v>
      </c>
      <c r="P1050" t="s">
        <v>260</v>
      </c>
      <c r="Q1050" t="s">
        <v>260</v>
      </c>
      <c r="R1050" t="s">
        <v>283</v>
      </c>
      <c r="S1050" t="s">
        <v>21</v>
      </c>
      <c r="T1050">
        <v>100</v>
      </c>
      <c r="W1050" t="s">
        <v>262</v>
      </c>
    </row>
    <row r="1051" spans="1:28" x14ac:dyDescent="0.3">
      <c r="A1051" t="s">
        <v>21</v>
      </c>
      <c r="B1051" t="s">
        <v>3245</v>
      </c>
      <c r="C1051" t="s">
        <v>270</v>
      </c>
      <c r="D1051" t="s">
        <v>449</v>
      </c>
      <c r="E1051">
        <v>4004</v>
      </c>
      <c r="M1051" t="s">
        <v>297</v>
      </c>
      <c r="N1051" t="s">
        <v>276</v>
      </c>
      <c r="P1051" t="s">
        <v>260</v>
      </c>
      <c r="Q1051" t="s">
        <v>260</v>
      </c>
      <c r="R1051" t="s">
        <v>261</v>
      </c>
      <c r="S1051" t="s">
        <v>21</v>
      </c>
      <c r="T1051">
        <v>100</v>
      </c>
      <c r="W1051" t="s">
        <v>262</v>
      </c>
      <c r="AB1051" s="9">
        <v>45107</v>
      </c>
    </row>
    <row r="1052" spans="1:28" x14ac:dyDescent="0.3">
      <c r="A1052" t="s">
        <v>21</v>
      </c>
      <c r="B1052" t="s">
        <v>3246</v>
      </c>
      <c r="C1052" t="s">
        <v>278</v>
      </c>
      <c r="D1052" t="s">
        <v>3247</v>
      </c>
      <c r="E1052" t="s">
        <v>3247</v>
      </c>
      <c r="M1052" t="s">
        <v>282</v>
      </c>
      <c r="N1052" t="s">
        <v>259</v>
      </c>
      <c r="P1052" t="s">
        <v>260</v>
      </c>
      <c r="Q1052" t="s">
        <v>260</v>
      </c>
      <c r="R1052" t="s">
        <v>283</v>
      </c>
      <c r="S1052" t="s">
        <v>21</v>
      </c>
      <c r="T1052">
        <v>100</v>
      </c>
      <c r="W1052" t="s">
        <v>262</v>
      </c>
    </row>
    <row r="1053" spans="1:28" x14ac:dyDescent="0.3">
      <c r="A1053" t="s">
        <v>21</v>
      </c>
      <c r="B1053" t="s">
        <v>3248</v>
      </c>
      <c r="C1053" t="s">
        <v>278</v>
      </c>
      <c r="D1053" t="s">
        <v>3249</v>
      </c>
      <c r="E1053" t="s">
        <v>3249</v>
      </c>
      <c r="M1053" t="s">
        <v>282</v>
      </c>
      <c r="N1053" t="s">
        <v>259</v>
      </c>
      <c r="P1053" t="s">
        <v>260</v>
      </c>
      <c r="Q1053" t="s">
        <v>260</v>
      </c>
      <c r="R1053" t="s">
        <v>283</v>
      </c>
      <c r="S1053" t="s">
        <v>21</v>
      </c>
      <c r="T1053">
        <v>100</v>
      </c>
      <c r="W1053" t="s">
        <v>262</v>
      </c>
      <c r="AA1053" s="9">
        <v>45394</v>
      </c>
    </row>
    <row r="1054" spans="1:28" x14ac:dyDescent="0.3">
      <c r="A1054" t="s">
        <v>21</v>
      </c>
      <c r="B1054" t="s">
        <v>3250</v>
      </c>
      <c r="C1054" t="s">
        <v>270</v>
      </c>
      <c r="D1054" t="s">
        <v>3251</v>
      </c>
      <c r="E1054">
        <v>65960</v>
      </c>
      <c r="H1054" t="s">
        <v>2433</v>
      </c>
      <c r="I1054" t="s">
        <v>1343</v>
      </c>
      <c r="J1054" t="s">
        <v>297</v>
      </c>
      <c r="K1054">
        <v>2104</v>
      </c>
      <c r="L1054" t="s">
        <v>276</v>
      </c>
      <c r="M1054" t="s">
        <v>631</v>
      </c>
      <c r="N1054" t="s">
        <v>276</v>
      </c>
      <c r="P1054" t="s">
        <v>260</v>
      </c>
      <c r="Q1054" t="s">
        <v>260</v>
      </c>
      <c r="R1054" t="s">
        <v>268</v>
      </c>
      <c r="S1054" t="s">
        <v>21</v>
      </c>
      <c r="T1054">
        <v>100</v>
      </c>
      <c r="W1054" t="s">
        <v>262</v>
      </c>
      <c r="X1054">
        <v>-37.008299999999998</v>
      </c>
      <c r="Y1054">
        <v>174.87049999999999</v>
      </c>
    </row>
    <row r="1055" spans="1:28" x14ac:dyDescent="0.3">
      <c r="A1055" t="s">
        <v>21</v>
      </c>
      <c r="B1055" t="s">
        <v>3252</v>
      </c>
      <c r="C1055" t="s">
        <v>270</v>
      </c>
      <c r="D1055" t="s">
        <v>3253</v>
      </c>
      <c r="E1055">
        <v>65930</v>
      </c>
      <c r="H1055" t="s">
        <v>2433</v>
      </c>
      <c r="I1055" t="s">
        <v>1343</v>
      </c>
      <c r="J1055" t="s">
        <v>297</v>
      </c>
      <c r="K1055">
        <v>2104</v>
      </c>
      <c r="L1055" t="s">
        <v>276</v>
      </c>
      <c r="M1055" t="s">
        <v>631</v>
      </c>
      <c r="N1055" t="s">
        <v>276</v>
      </c>
      <c r="P1055" t="s">
        <v>260</v>
      </c>
      <c r="Q1055" t="s">
        <v>260</v>
      </c>
      <c r="R1055" t="s">
        <v>268</v>
      </c>
      <c r="S1055" t="s">
        <v>21</v>
      </c>
      <c r="T1055">
        <v>100</v>
      </c>
      <c r="W1055" t="s">
        <v>262</v>
      </c>
      <c r="X1055">
        <v>-37.008299999999998</v>
      </c>
      <c r="Y1055">
        <v>174.87049999999999</v>
      </c>
    </row>
    <row r="1056" spans="1:28" x14ac:dyDescent="0.3">
      <c r="A1056" t="s">
        <v>21</v>
      </c>
      <c r="B1056" t="s">
        <v>3254</v>
      </c>
      <c r="C1056" t="s">
        <v>270</v>
      </c>
      <c r="D1056" t="s">
        <v>3255</v>
      </c>
      <c r="E1056">
        <v>65950</v>
      </c>
      <c r="M1056" t="s">
        <v>631</v>
      </c>
      <c r="N1056" t="s">
        <v>276</v>
      </c>
      <c r="P1056" t="s">
        <v>260</v>
      </c>
      <c r="Q1056" t="s">
        <v>260</v>
      </c>
      <c r="R1056" t="s">
        <v>268</v>
      </c>
      <c r="S1056" t="s">
        <v>21</v>
      </c>
      <c r="T1056">
        <v>100</v>
      </c>
      <c r="W1056" t="s">
        <v>262</v>
      </c>
    </row>
    <row r="1057" spans="1:25" x14ac:dyDescent="0.3">
      <c r="A1057" t="s">
        <v>21</v>
      </c>
      <c r="B1057" t="s">
        <v>3256</v>
      </c>
      <c r="C1057" t="s">
        <v>270</v>
      </c>
      <c r="D1057" t="s">
        <v>3257</v>
      </c>
      <c r="E1057">
        <v>313150</v>
      </c>
      <c r="H1057" t="s">
        <v>2433</v>
      </c>
      <c r="I1057" t="s">
        <v>1343</v>
      </c>
      <c r="J1057" t="s">
        <v>297</v>
      </c>
      <c r="K1057">
        <v>2104</v>
      </c>
      <c r="L1057" t="s">
        <v>276</v>
      </c>
      <c r="M1057" t="s">
        <v>631</v>
      </c>
      <c r="N1057" t="s">
        <v>276</v>
      </c>
      <c r="P1057" t="s">
        <v>260</v>
      </c>
      <c r="Q1057" t="s">
        <v>260</v>
      </c>
      <c r="R1057" t="s">
        <v>261</v>
      </c>
      <c r="S1057" t="s">
        <v>21</v>
      </c>
      <c r="T1057">
        <v>100</v>
      </c>
      <c r="W1057" t="s">
        <v>262</v>
      </c>
      <c r="X1057">
        <v>-37.008299999999998</v>
      </c>
      <c r="Y1057">
        <v>174.87049999999999</v>
      </c>
    </row>
    <row r="1058" spans="1:25" x14ac:dyDescent="0.3">
      <c r="A1058" t="s">
        <v>21</v>
      </c>
      <c r="B1058" t="s">
        <v>3258</v>
      </c>
      <c r="C1058" t="s">
        <v>2464</v>
      </c>
      <c r="D1058" t="s">
        <v>3259</v>
      </c>
      <c r="E1058">
        <v>554565</v>
      </c>
      <c r="G1058" t="s">
        <v>3260</v>
      </c>
      <c r="M1058" t="s">
        <v>425</v>
      </c>
      <c r="N1058" t="s">
        <v>276</v>
      </c>
      <c r="P1058" t="s">
        <v>260</v>
      </c>
      <c r="Q1058" t="s">
        <v>260</v>
      </c>
      <c r="R1058" t="s">
        <v>261</v>
      </c>
      <c r="S1058" t="s">
        <v>21</v>
      </c>
      <c r="T1058">
        <v>100</v>
      </c>
      <c r="W1058" t="s">
        <v>262</v>
      </c>
    </row>
    <row r="1059" spans="1:25" x14ac:dyDescent="0.3">
      <c r="A1059" t="s">
        <v>21</v>
      </c>
      <c r="B1059" t="s">
        <v>3261</v>
      </c>
      <c r="C1059" t="s">
        <v>270</v>
      </c>
      <c r="D1059" t="s">
        <v>452</v>
      </c>
      <c r="E1059" t="s">
        <v>3262</v>
      </c>
      <c r="H1059" t="s">
        <v>3263</v>
      </c>
      <c r="I1059" t="s">
        <v>3264</v>
      </c>
      <c r="J1059" t="s">
        <v>429</v>
      </c>
      <c r="K1059">
        <v>3110</v>
      </c>
      <c r="L1059" t="s">
        <v>276</v>
      </c>
      <c r="M1059" t="s">
        <v>429</v>
      </c>
      <c r="N1059" t="s">
        <v>276</v>
      </c>
      <c r="P1059" t="s">
        <v>260</v>
      </c>
      <c r="Q1059" t="s">
        <v>260</v>
      </c>
      <c r="R1059" t="s">
        <v>261</v>
      </c>
      <c r="S1059" t="s">
        <v>21</v>
      </c>
      <c r="T1059">
        <v>100</v>
      </c>
      <c r="W1059" t="s">
        <v>262</v>
      </c>
      <c r="X1059">
        <v>-37.740499999999997</v>
      </c>
      <c r="Y1059">
        <v>176.1037</v>
      </c>
    </row>
    <row r="1060" spans="1:25" x14ac:dyDescent="0.3">
      <c r="A1060" t="s">
        <v>21</v>
      </c>
      <c r="B1060" t="s">
        <v>3265</v>
      </c>
      <c r="C1060" t="s">
        <v>270</v>
      </c>
      <c r="D1060" t="s">
        <v>3266</v>
      </c>
      <c r="E1060" t="s">
        <v>3266</v>
      </c>
      <c r="F1060" t="s">
        <v>3266</v>
      </c>
      <c r="M1060" t="s">
        <v>411</v>
      </c>
      <c r="N1060" t="s">
        <v>259</v>
      </c>
      <c r="P1060" t="s">
        <v>260</v>
      </c>
      <c r="Q1060" t="s">
        <v>260</v>
      </c>
      <c r="R1060" t="s">
        <v>283</v>
      </c>
      <c r="S1060" t="s">
        <v>21</v>
      </c>
      <c r="T1060">
        <v>100</v>
      </c>
      <c r="W1060" t="s">
        <v>262</v>
      </c>
    </row>
    <row r="1061" spans="1:25" x14ac:dyDescent="0.3">
      <c r="A1061" t="s">
        <v>21</v>
      </c>
      <c r="B1061" t="s">
        <v>3267</v>
      </c>
      <c r="C1061" t="s">
        <v>270</v>
      </c>
      <c r="D1061" t="s">
        <v>3268</v>
      </c>
      <c r="E1061">
        <v>553187</v>
      </c>
      <c r="H1061" t="s">
        <v>2433</v>
      </c>
      <c r="I1061" t="s">
        <v>1343</v>
      </c>
      <c r="J1061" t="s">
        <v>297</v>
      </c>
      <c r="K1061">
        <v>2104</v>
      </c>
      <c r="L1061" t="s">
        <v>276</v>
      </c>
      <c r="M1061" t="s">
        <v>631</v>
      </c>
      <c r="N1061" t="s">
        <v>276</v>
      </c>
      <c r="P1061" t="s">
        <v>260</v>
      </c>
      <c r="Q1061" t="s">
        <v>260</v>
      </c>
      <c r="R1061" t="s">
        <v>261</v>
      </c>
      <c r="S1061" t="s">
        <v>21</v>
      </c>
      <c r="T1061">
        <v>100</v>
      </c>
      <c r="W1061" t="s">
        <v>262</v>
      </c>
      <c r="X1061">
        <v>-37.008299999999998</v>
      </c>
      <c r="Y1061">
        <v>174.87049999999999</v>
      </c>
    </row>
    <row r="1062" spans="1:25" x14ac:dyDescent="0.3">
      <c r="A1062" t="s">
        <v>21</v>
      </c>
      <c r="B1062" t="s">
        <v>3269</v>
      </c>
      <c r="C1062" t="s">
        <v>270</v>
      </c>
      <c r="D1062" t="s">
        <v>3270</v>
      </c>
      <c r="E1062">
        <v>10075</v>
      </c>
      <c r="G1062">
        <v>10.074999999999999</v>
      </c>
      <c r="H1062" t="s">
        <v>2433</v>
      </c>
      <c r="I1062" t="s">
        <v>1343</v>
      </c>
      <c r="J1062" t="s">
        <v>297</v>
      </c>
      <c r="K1062">
        <v>2104</v>
      </c>
      <c r="L1062" t="s">
        <v>276</v>
      </c>
      <c r="M1062" t="s">
        <v>631</v>
      </c>
      <c r="N1062" t="s">
        <v>276</v>
      </c>
      <c r="P1062" t="s">
        <v>260</v>
      </c>
      <c r="Q1062" t="s">
        <v>260</v>
      </c>
      <c r="R1062" t="s">
        <v>283</v>
      </c>
      <c r="S1062" t="s">
        <v>21</v>
      </c>
      <c r="T1062">
        <v>100</v>
      </c>
      <c r="W1062" t="s">
        <v>262</v>
      </c>
      <c r="X1062">
        <v>-37.008299999999998</v>
      </c>
      <c r="Y1062">
        <v>174.87049999999999</v>
      </c>
    </row>
    <row r="1063" spans="1:25" x14ac:dyDescent="0.3">
      <c r="A1063" t="s">
        <v>21</v>
      </c>
      <c r="B1063" t="s">
        <v>3271</v>
      </c>
      <c r="C1063" t="s">
        <v>270</v>
      </c>
      <c r="D1063" t="s">
        <v>3272</v>
      </c>
      <c r="E1063">
        <v>10077</v>
      </c>
      <c r="M1063" t="s">
        <v>631</v>
      </c>
      <c r="N1063" t="s">
        <v>276</v>
      </c>
      <c r="P1063" t="s">
        <v>260</v>
      </c>
      <c r="Q1063" t="s">
        <v>260</v>
      </c>
      <c r="R1063" t="s">
        <v>283</v>
      </c>
      <c r="S1063" t="s">
        <v>21</v>
      </c>
      <c r="T1063">
        <v>100</v>
      </c>
      <c r="W1063" t="s">
        <v>262</v>
      </c>
    </row>
    <row r="1064" spans="1:25" x14ac:dyDescent="0.3">
      <c r="A1064" t="s">
        <v>21</v>
      </c>
      <c r="B1064" t="s">
        <v>3273</v>
      </c>
      <c r="C1064" t="s">
        <v>270</v>
      </c>
      <c r="D1064" t="s">
        <v>3274</v>
      </c>
      <c r="E1064">
        <v>10074</v>
      </c>
      <c r="M1064" t="s">
        <v>631</v>
      </c>
      <c r="N1064" t="s">
        <v>276</v>
      </c>
      <c r="P1064" t="s">
        <v>260</v>
      </c>
      <c r="Q1064" t="s">
        <v>260</v>
      </c>
      <c r="R1064" t="s">
        <v>283</v>
      </c>
      <c r="S1064" t="s">
        <v>21</v>
      </c>
      <c r="T1064">
        <v>100</v>
      </c>
      <c r="W1064" t="s">
        <v>262</v>
      </c>
    </row>
    <row r="1065" spans="1:25" x14ac:dyDescent="0.3">
      <c r="A1065" t="s">
        <v>21</v>
      </c>
      <c r="B1065" t="s">
        <v>3275</v>
      </c>
      <c r="C1065" t="s">
        <v>270</v>
      </c>
      <c r="D1065" t="s">
        <v>3276</v>
      </c>
      <c r="E1065">
        <v>10071</v>
      </c>
      <c r="G1065">
        <v>10.071</v>
      </c>
      <c r="H1065" t="s">
        <v>2433</v>
      </c>
      <c r="I1065" t="s">
        <v>1343</v>
      </c>
      <c r="J1065" t="s">
        <v>297</v>
      </c>
      <c r="K1065">
        <v>2104</v>
      </c>
      <c r="L1065" t="s">
        <v>276</v>
      </c>
      <c r="M1065" t="s">
        <v>631</v>
      </c>
      <c r="N1065" t="s">
        <v>276</v>
      </c>
      <c r="P1065" t="s">
        <v>260</v>
      </c>
      <c r="Q1065" t="s">
        <v>260</v>
      </c>
      <c r="R1065" t="s">
        <v>283</v>
      </c>
      <c r="S1065" t="s">
        <v>21</v>
      </c>
      <c r="T1065">
        <v>100</v>
      </c>
      <c r="W1065" t="s">
        <v>262</v>
      </c>
      <c r="X1065">
        <v>-37.008299999999998</v>
      </c>
      <c r="Y1065">
        <v>174.87049999999999</v>
      </c>
    </row>
    <row r="1066" spans="1:25" x14ac:dyDescent="0.3">
      <c r="A1066" t="s">
        <v>21</v>
      </c>
      <c r="B1066" t="s">
        <v>3277</v>
      </c>
      <c r="C1066" t="s">
        <v>270</v>
      </c>
      <c r="D1066" t="s">
        <v>3278</v>
      </c>
      <c r="E1066">
        <v>10070</v>
      </c>
      <c r="M1066" t="s">
        <v>631</v>
      </c>
      <c r="N1066" t="s">
        <v>276</v>
      </c>
      <c r="P1066" t="s">
        <v>260</v>
      </c>
      <c r="Q1066" t="s">
        <v>260</v>
      </c>
      <c r="R1066" t="s">
        <v>283</v>
      </c>
      <c r="S1066" t="s">
        <v>21</v>
      </c>
      <c r="T1066">
        <v>100</v>
      </c>
      <c r="W1066" t="s">
        <v>262</v>
      </c>
    </row>
    <row r="1067" spans="1:25" x14ac:dyDescent="0.3">
      <c r="A1067" t="s">
        <v>21</v>
      </c>
      <c r="B1067" t="s">
        <v>3279</v>
      </c>
      <c r="C1067" t="s">
        <v>270</v>
      </c>
      <c r="D1067" t="s">
        <v>3280</v>
      </c>
      <c r="E1067">
        <v>10076</v>
      </c>
      <c r="G1067">
        <v>10.076000000000001</v>
      </c>
      <c r="H1067" t="s">
        <v>2433</v>
      </c>
      <c r="I1067" t="s">
        <v>1343</v>
      </c>
      <c r="J1067" t="s">
        <v>297</v>
      </c>
      <c r="K1067">
        <v>2104</v>
      </c>
      <c r="L1067" t="s">
        <v>276</v>
      </c>
      <c r="M1067" t="s">
        <v>631</v>
      </c>
      <c r="N1067" t="s">
        <v>276</v>
      </c>
      <c r="P1067" t="s">
        <v>260</v>
      </c>
      <c r="Q1067" t="s">
        <v>260</v>
      </c>
      <c r="R1067" t="s">
        <v>283</v>
      </c>
      <c r="S1067" t="s">
        <v>21</v>
      </c>
      <c r="T1067">
        <v>100</v>
      </c>
      <c r="W1067" t="s">
        <v>262</v>
      </c>
      <c r="X1067">
        <v>-37.008299999999998</v>
      </c>
      <c r="Y1067">
        <v>174.87049999999999</v>
      </c>
    </row>
    <row r="1068" spans="1:25" x14ac:dyDescent="0.3">
      <c r="A1068" t="s">
        <v>21</v>
      </c>
      <c r="B1068" t="s">
        <v>3281</v>
      </c>
      <c r="C1068" t="s">
        <v>270</v>
      </c>
      <c r="D1068" t="s">
        <v>3282</v>
      </c>
      <c r="E1068">
        <v>10073</v>
      </c>
      <c r="G1068">
        <v>10.073</v>
      </c>
      <c r="H1068" t="s">
        <v>2433</v>
      </c>
      <c r="I1068" t="s">
        <v>1343</v>
      </c>
      <c r="J1068" t="s">
        <v>297</v>
      </c>
      <c r="K1068">
        <v>2104</v>
      </c>
      <c r="L1068" t="s">
        <v>276</v>
      </c>
      <c r="M1068" t="s">
        <v>631</v>
      </c>
      <c r="N1068" t="s">
        <v>276</v>
      </c>
      <c r="P1068" t="s">
        <v>260</v>
      </c>
      <c r="Q1068" t="s">
        <v>260</v>
      </c>
      <c r="R1068" t="s">
        <v>283</v>
      </c>
      <c r="S1068" t="s">
        <v>21</v>
      </c>
      <c r="T1068">
        <v>100</v>
      </c>
      <c r="W1068" t="s">
        <v>262</v>
      </c>
      <c r="X1068">
        <v>-37.008299999999998</v>
      </c>
      <c r="Y1068">
        <v>174.87049999999999</v>
      </c>
    </row>
    <row r="1069" spans="1:25" x14ac:dyDescent="0.3">
      <c r="A1069" t="s">
        <v>21</v>
      </c>
      <c r="B1069" t="s">
        <v>3283</v>
      </c>
      <c r="C1069" t="s">
        <v>270</v>
      </c>
      <c r="D1069" t="s">
        <v>3284</v>
      </c>
      <c r="E1069">
        <v>63910</v>
      </c>
      <c r="H1069" t="s">
        <v>2433</v>
      </c>
      <c r="I1069" t="s">
        <v>1343</v>
      </c>
      <c r="J1069" t="s">
        <v>297</v>
      </c>
      <c r="K1069">
        <v>2104</v>
      </c>
      <c r="L1069" t="s">
        <v>276</v>
      </c>
      <c r="M1069" t="s">
        <v>631</v>
      </c>
      <c r="N1069" t="s">
        <v>276</v>
      </c>
      <c r="P1069" t="s">
        <v>260</v>
      </c>
      <c r="Q1069" t="s">
        <v>260</v>
      </c>
      <c r="R1069" t="s">
        <v>283</v>
      </c>
      <c r="S1069" t="s">
        <v>21</v>
      </c>
      <c r="T1069">
        <v>100</v>
      </c>
      <c r="W1069" t="s">
        <v>262</v>
      </c>
      <c r="X1069">
        <v>-37.008299999999998</v>
      </c>
      <c r="Y1069">
        <v>174.87049999999999</v>
      </c>
    </row>
    <row r="1070" spans="1:25" x14ac:dyDescent="0.3">
      <c r="A1070" t="s">
        <v>21</v>
      </c>
      <c r="B1070" t="s">
        <v>3285</v>
      </c>
      <c r="C1070" t="s">
        <v>270</v>
      </c>
      <c r="D1070" t="s">
        <v>3286</v>
      </c>
      <c r="E1070">
        <v>552409</v>
      </c>
      <c r="F1070">
        <v>552409</v>
      </c>
      <c r="M1070" t="s">
        <v>399</v>
      </c>
      <c r="N1070" t="s">
        <v>276</v>
      </c>
      <c r="P1070" t="s">
        <v>260</v>
      </c>
      <c r="Q1070" t="s">
        <v>260</v>
      </c>
      <c r="R1070" t="s">
        <v>261</v>
      </c>
      <c r="S1070" t="s">
        <v>21</v>
      </c>
      <c r="T1070">
        <v>100</v>
      </c>
      <c r="W1070" t="s">
        <v>262</v>
      </c>
    </row>
    <row r="1071" spans="1:25" x14ac:dyDescent="0.3">
      <c r="A1071" t="s">
        <v>21</v>
      </c>
      <c r="B1071" t="s">
        <v>3287</v>
      </c>
      <c r="C1071" t="s">
        <v>270</v>
      </c>
      <c r="D1071" t="s">
        <v>2638</v>
      </c>
      <c r="E1071" t="s">
        <v>2638</v>
      </c>
      <c r="F1071" t="s">
        <v>2638</v>
      </c>
      <c r="M1071" t="s">
        <v>297</v>
      </c>
      <c r="N1071" t="s">
        <v>276</v>
      </c>
      <c r="P1071" t="s">
        <v>260</v>
      </c>
      <c r="Q1071" t="s">
        <v>260</v>
      </c>
      <c r="R1071" t="s">
        <v>283</v>
      </c>
      <c r="S1071" t="s">
        <v>21</v>
      </c>
      <c r="T1071">
        <v>100</v>
      </c>
      <c r="W1071" t="s">
        <v>262</v>
      </c>
    </row>
    <row r="1072" spans="1:25" x14ac:dyDescent="0.3">
      <c r="A1072" t="s">
        <v>21</v>
      </c>
      <c r="B1072" t="s">
        <v>3288</v>
      </c>
      <c r="C1072" t="s">
        <v>270</v>
      </c>
      <c r="D1072" t="s">
        <v>3289</v>
      </c>
      <c r="E1072" t="s">
        <v>3289</v>
      </c>
      <c r="F1072" t="s">
        <v>3289</v>
      </c>
      <c r="M1072" t="s">
        <v>297</v>
      </c>
      <c r="N1072" t="s">
        <v>276</v>
      </c>
      <c r="P1072" t="s">
        <v>260</v>
      </c>
      <c r="Q1072" t="s">
        <v>260</v>
      </c>
      <c r="R1072" t="s">
        <v>283</v>
      </c>
      <c r="S1072" t="s">
        <v>21</v>
      </c>
      <c r="T1072">
        <v>100</v>
      </c>
      <c r="W1072" t="s">
        <v>262</v>
      </c>
    </row>
    <row r="1073" spans="1:23" x14ac:dyDescent="0.3">
      <c r="A1073" t="s">
        <v>21</v>
      </c>
      <c r="B1073" t="s">
        <v>3290</v>
      </c>
      <c r="C1073" t="s">
        <v>270</v>
      </c>
      <c r="D1073" t="s">
        <v>3291</v>
      </c>
      <c r="E1073" t="s">
        <v>3291</v>
      </c>
      <c r="F1073" t="s">
        <v>3291</v>
      </c>
      <c r="M1073" t="s">
        <v>297</v>
      </c>
      <c r="N1073" t="s">
        <v>276</v>
      </c>
      <c r="P1073" t="s">
        <v>260</v>
      </c>
      <c r="Q1073" t="s">
        <v>260</v>
      </c>
      <c r="R1073" t="s">
        <v>283</v>
      </c>
      <c r="S1073" t="s">
        <v>21</v>
      </c>
      <c r="T1073">
        <v>100</v>
      </c>
      <c r="W1073" t="s">
        <v>262</v>
      </c>
    </row>
    <row r="1074" spans="1:23" x14ac:dyDescent="0.3">
      <c r="A1074" t="s">
        <v>21</v>
      </c>
      <c r="B1074" t="s">
        <v>3292</v>
      </c>
      <c r="C1074" t="s">
        <v>270</v>
      </c>
      <c r="D1074" t="s">
        <v>3293</v>
      </c>
      <c r="E1074" t="s">
        <v>3293</v>
      </c>
      <c r="F1074" t="s">
        <v>3293</v>
      </c>
      <c r="M1074" t="s">
        <v>297</v>
      </c>
      <c r="N1074" t="s">
        <v>276</v>
      </c>
      <c r="P1074" t="s">
        <v>260</v>
      </c>
      <c r="Q1074" t="s">
        <v>260</v>
      </c>
      <c r="R1074" t="s">
        <v>283</v>
      </c>
      <c r="S1074" t="s">
        <v>21</v>
      </c>
      <c r="T1074">
        <v>100</v>
      </c>
      <c r="W1074" t="s">
        <v>262</v>
      </c>
    </row>
    <row r="1075" spans="1:23" x14ac:dyDescent="0.3">
      <c r="A1075" t="s">
        <v>21</v>
      </c>
      <c r="B1075" t="s">
        <v>3294</v>
      </c>
      <c r="C1075" t="s">
        <v>270</v>
      </c>
      <c r="D1075" t="s">
        <v>2956</v>
      </c>
      <c r="E1075" t="s">
        <v>2956</v>
      </c>
      <c r="F1075" t="s">
        <v>2956</v>
      </c>
      <c r="M1075" t="s">
        <v>297</v>
      </c>
      <c r="N1075" t="s">
        <v>276</v>
      </c>
      <c r="P1075" t="s">
        <v>260</v>
      </c>
      <c r="Q1075" t="s">
        <v>260</v>
      </c>
      <c r="R1075" t="s">
        <v>283</v>
      </c>
      <c r="S1075" t="s">
        <v>21</v>
      </c>
      <c r="T1075">
        <v>100</v>
      </c>
      <c r="W1075" t="s">
        <v>262</v>
      </c>
    </row>
    <row r="1076" spans="1:23" x14ac:dyDescent="0.3">
      <c r="A1076" t="s">
        <v>21</v>
      </c>
      <c r="B1076" t="s">
        <v>3295</v>
      </c>
      <c r="C1076" t="s">
        <v>270</v>
      </c>
      <c r="D1076" t="s">
        <v>3296</v>
      </c>
      <c r="E1076" t="s">
        <v>3296</v>
      </c>
      <c r="F1076" t="s">
        <v>3296</v>
      </c>
      <c r="M1076" t="s">
        <v>297</v>
      </c>
      <c r="N1076" t="s">
        <v>276</v>
      </c>
      <c r="P1076" t="s">
        <v>260</v>
      </c>
      <c r="Q1076" t="s">
        <v>260</v>
      </c>
      <c r="R1076" t="s">
        <v>283</v>
      </c>
      <c r="S1076" t="s">
        <v>21</v>
      </c>
      <c r="T1076">
        <v>100</v>
      </c>
      <c r="W1076" t="s">
        <v>262</v>
      </c>
    </row>
    <row r="1077" spans="1:23" x14ac:dyDescent="0.3">
      <c r="A1077" t="s">
        <v>21</v>
      </c>
      <c r="B1077" t="s">
        <v>3297</v>
      </c>
      <c r="C1077" t="s">
        <v>270</v>
      </c>
      <c r="D1077" t="s">
        <v>3296</v>
      </c>
      <c r="E1077" t="s">
        <v>3296</v>
      </c>
      <c r="F1077" t="s">
        <v>3296</v>
      </c>
      <c r="M1077" t="s">
        <v>297</v>
      </c>
      <c r="N1077" t="s">
        <v>276</v>
      </c>
      <c r="P1077" t="s">
        <v>260</v>
      </c>
      <c r="Q1077" t="s">
        <v>260</v>
      </c>
      <c r="R1077" t="s">
        <v>283</v>
      </c>
      <c r="S1077" t="s">
        <v>21</v>
      </c>
      <c r="T1077">
        <v>100</v>
      </c>
      <c r="W1077" t="s">
        <v>262</v>
      </c>
    </row>
    <row r="1078" spans="1:23" x14ac:dyDescent="0.3">
      <c r="A1078" t="s">
        <v>21</v>
      </c>
      <c r="B1078" t="s">
        <v>3298</v>
      </c>
      <c r="C1078" t="s">
        <v>270</v>
      </c>
      <c r="D1078" t="s">
        <v>3299</v>
      </c>
      <c r="E1078" t="s">
        <v>3299</v>
      </c>
      <c r="M1078" t="s">
        <v>394</v>
      </c>
      <c r="N1078" t="s">
        <v>276</v>
      </c>
      <c r="P1078" t="s">
        <v>260</v>
      </c>
      <c r="Q1078" t="s">
        <v>260</v>
      </c>
      <c r="R1078" t="s">
        <v>283</v>
      </c>
      <c r="S1078" t="s">
        <v>21</v>
      </c>
      <c r="T1078">
        <v>100</v>
      </c>
      <c r="W1078" t="s">
        <v>262</v>
      </c>
    </row>
    <row r="1079" spans="1:23" x14ac:dyDescent="0.3">
      <c r="A1079" t="s">
        <v>21</v>
      </c>
      <c r="B1079" t="s">
        <v>3300</v>
      </c>
      <c r="C1079" t="s">
        <v>270</v>
      </c>
      <c r="D1079" t="s">
        <v>3301</v>
      </c>
      <c r="E1079" t="s">
        <v>3301</v>
      </c>
      <c r="F1079" t="s">
        <v>3301</v>
      </c>
      <c r="M1079" t="s">
        <v>297</v>
      </c>
      <c r="N1079" t="s">
        <v>276</v>
      </c>
      <c r="P1079" t="s">
        <v>260</v>
      </c>
      <c r="Q1079" t="s">
        <v>260</v>
      </c>
      <c r="R1079" t="s">
        <v>283</v>
      </c>
      <c r="S1079" t="s">
        <v>21</v>
      </c>
      <c r="T1079">
        <v>100</v>
      </c>
      <c r="W1079" t="s">
        <v>262</v>
      </c>
    </row>
    <row r="1080" spans="1:23" x14ac:dyDescent="0.3">
      <c r="A1080" t="s">
        <v>21</v>
      </c>
      <c r="B1080" t="s">
        <v>3302</v>
      </c>
      <c r="C1080" t="s">
        <v>270</v>
      </c>
      <c r="D1080" t="s">
        <v>3303</v>
      </c>
      <c r="E1080" t="s">
        <v>3303</v>
      </c>
      <c r="M1080" t="s">
        <v>394</v>
      </c>
      <c r="N1080" t="s">
        <v>276</v>
      </c>
      <c r="P1080" t="s">
        <v>260</v>
      </c>
      <c r="Q1080" t="s">
        <v>260</v>
      </c>
      <c r="R1080" t="s">
        <v>283</v>
      </c>
      <c r="S1080" t="s">
        <v>21</v>
      </c>
      <c r="T1080">
        <v>100</v>
      </c>
      <c r="W1080" t="s">
        <v>262</v>
      </c>
    </row>
    <row r="1081" spans="1:23" x14ac:dyDescent="0.3">
      <c r="A1081" t="s">
        <v>21</v>
      </c>
      <c r="B1081" t="s">
        <v>3304</v>
      </c>
      <c r="C1081" t="s">
        <v>270</v>
      </c>
      <c r="D1081" t="s">
        <v>3305</v>
      </c>
      <c r="E1081" t="s">
        <v>3305</v>
      </c>
      <c r="M1081" t="s">
        <v>394</v>
      </c>
      <c r="N1081" t="s">
        <v>276</v>
      </c>
      <c r="P1081" t="s">
        <v>260</v>
      </c>
      <c r="Q1081" t="s">
        <v>260</v>
      </c>
      <c r="R1081" t="s">
        <v>283</v>
      </c>
      <c r="S1081" t="s">
        <v>21</v>
      </c>
      <c r="T1081">
        <v>100</v>
      </c>
      <c r="W1081" t="s">
        <v>262</v>
      </c>
    </row>
    <row r="1082" spans="1:23" x14ac:dyDescent="0.3">
      <c r="A1082" t="s">
        <v>21</v>
      </c>
      <c r="B1082" t="s">
        <v>3306</v>
      </c>
      <c r="C1082" t="s">
        <v>270</v>
      </c>
      <c r="D1082" t="s">
        <v>3307</v>
      </c>
      <c r="E1082" t="s">
        <v>3307</v>
      </c>
      <c r="F1082" t="s">
        <v>3307</v>
      </c>
      <c r="M1082" t="s">
        <v>297</v>
      </c>
      <c r="N1082" t="s">
        <v>276</v>
      </c>
      <c r="P1082" t="s">
        <v>260</v>
      </c>
      <c r="Q1082" t="s">
        <v>260</v>
      </c>
      <c r="R1082" t="s">
        <v>283</v>
      </c>
      <c r="S1082" t="s">
        <v>21</v>
      </c>
      <c r="T1082">
        <v>100</v>
      </c>
      <c r="W1082" t="s">
        <v>262</v>
      </c>
    </row>
    <row r="1083" spans="1:23" x14ac:dyDescent="0.3">
      <c r="A1083" t="s">
        <v>21</v>
      </c>
      <c r="B1083" t="s">
        <v>3308</v>
      </c>
      <c r="C1083" t="s">
        <v>270</v>
      </c>
      <c r="D1083" t="s">
        <v>3293</v>
      </c>
      <c r="E1083" t="s">
        <v>3293</v>
      </c>
      <c r="F1083" t="s">
        <v>3293</v>
      </c>
      <c r="M1083" t="s">
        <v>297</v>
      </c>
      <c r="N1083" t="s">
        <v>276</v>
      </c>
      <c r="P1083" t="s">
        <v>260</v>
      </c>
      <c r="Q1083" t="s">
        <v>260</v>
      </c>
      <c r="R1083" t="s">
        <v>283</v>
      </c>
      <c r="S1083" t="s">
        <v>21</v>
      </c>
      <c r="T1083">
        <v>100</v>
      </c>
      <c r="W1083" t="s">
        <v>262</v>
      </c>
    </row>
    <row r="1084" spans="1:23" x14ac:dyDescent="0.3">
      <c r="A1084" t="s">
        <v>21</v>
      </c>
      <c r="B1084" t="s">
        <v>3309</v>
      </c>
      <c r="C1084" t="s">
        <v>270</v>
      </c>
      <c r="D1084" t="s">
        <v>3310</v>
      </c>
      <c r="E1084" t="s">
        <v>3310</v>
      </c>
      <c r="F1084" t="s">
        <v>3310</v>
      </c>
      <c r="M1084" t="s">
        <v>297</v>
      </c>
      <c r="N1084" t="s">
        <v>276</v>
      </c>
      <c r="P1084" t="s">
        <v>260</v>
      </c>
      <c r="Q1084" t="s">
        <v>260</v>
      </c>
      <c r="R1084" t="s">
        <v>283</v>
      </c>
      <c r="S1084" t="s">
        <v>21</v>
      </c>
      <c r="T1084">
        <v>100</v>
      </c>
      <c r="W1084" t="s">
        <v>262</v>
      </c>
    </row>
    <row r="1085" spans="1:23" x14ac:dyDescent="0.3">
      <c r="A1085" t="s">
        <v>21</v>
      </c>
      <c r="B1085" t="s">
        <v>3311</v>
      </c>
      <c r="C1085" t="s">
        <v>270</v>
      </c>
      <c r="D1085" t="s">
        <v>3312</v>
      </c>
      <c r="E1085" t="s">
        <v>3312</v>
      </c>
      <c r="F1085" t="s">
        <v>3312</v>
      </c>
      <c r="M1085" t="s">
        <v>297</v>
      </c>
      <c r="N1085" t="s">
        <v>276</v>
      </c>
      <c r="P1085" t="s">
        <v>260</v>
      </c>
      <c r="Q1085" t="s">
        <v>260</v>
      </c>
      <c r="R1085" t="s">
        <v>283</v>
      </c>
      <c r="S1085" t="s">
        <v>21</v>
      </c>
      <c r="T1085">
        <v>100</v>
      </c>
      <c r="W1085" t="s">
        <v>262</v>
      </c>
    </row>
    <row r="1086" spans="1:23" x14ac:dyDescent="0.3">
      <c r="A1086" t="s">
        <v>21</v>
      </c>
      <c r="B1086" t="s">
        <v>3313</v>
      </c>
      <c r="C1086" t="s">
        <v>270</v>
      </c>
      <c r="D1086" t="s">
        <v>3312</v>
      </c>
      <c r="E1086" t="s">
        <v>3312</v>
      </c>
      <c r="F1086" t="s">
        <v>3312</v>
      </c>
      <c r="M1086" t="s">
        <v>297</v>
      </c>
      <c r="N1086" t="s">
        <v>276</v>
      </c>
      <c r="P1086" t="s">
        <v>260</v>
      </c>
      <c r="Q1086" t="s">
        <v>260</v>
      </c>
      <c r="R1086" t="s">
        <v>283</v>
      </c>
      <c r="S1086" t="s">
        <v>21</v>
      </c>
      <c r="T1086">
        <v>100</v>
      </c>
      <c r="W1086" t="s">
        <v>262</v>
      </c>
    </row>
    <row r="1087" spans="1:23" x14ac:dyDescent="0.3">
      <c r="A1087" t="s">
        <v>21</v>
      </c>
      <c r="B1087" t="s">
        <v>3314</v>
      </c>
      <c r="C1087" t="s">
        <v>270</v>
      </c>
      <c r="D1087" t="s">
        <v>3312</v>
      </c>
      <c r="E1087" t="s">
        <v>3312</v>
      </c>
      <c r="F1087" t="s">
        <v>3312</v>
      </c>
      <c r="M1087" t="s">
        <v>297</v>
      </c>
      <c r="N1087" t="s">
        <v>276</v>
      </c>
      <c r="P1087" t="s">
        <v>260</v>
      </c>
      <c r="Q1087" t="s">
        <v>260</v>
      </c>
      <c r="R1087" t="s">
        <v>283</v>
      </c>
      <c r="S1087" t="s">
        <v>21</v>
      </c>
      <c r="T1087">
        <v>100</v>
      </c>
      <c r="W1087" t="s">
        <v>262</v>
      </c>
    </row>
    <row r="1088" spans="1:23" x14ac:dyDescent="0.3">
      <c r="A1088" t="s">
        <v>21</v>
      </c>
      <c r="B1088" t="s">
        <v>3315</v>
      </c>
      <c r="C1088" t="s">
        <v>270</v>
      </c>
      <c r="D1088" t="s">
        <v>3312</v>
      </c>
      <c r="E1088" t="s">
        <v>3312</v>
      </c>
      <c r="F1088" t="s">
        <v>3312</v>
      </c>
      <c r="M1088" t="s">
        <v>297</v>
      </c>
      <c r="N1088" t="s">
        <v>276</v>
      </c>
      <c r="P1088" t="s">
        <v>260</v>
      </c>
      <c r="Q1088" t="s">
        <v>260</v>
      </c>
      <c r="R1088" t="s">
        <v>283</v>
      </c>
      <c r="S1088" t="s">
        <v>21</v>
      </c>
      <c r="T1088">
        <v>100</v>
      </c>
      <c r="W1088" t="s">
        <v>262</v>
      </c>
    </row>
    <row r="1089" spans="1:26" x14ac:dyDescent="0.3">
      <c r="A1089" t="s">
        <v>21</v>
      </c>
      <c r="B1089" t="s">
        <v>3316</v>
      </c>
      <c r="C1089" t="s">
        <v>270</v>
      </c>
      <c r="D1089" t="s">
        <v>3317</v>
      </c>
      <c r="E1089" t="s">
        <v>3317</v>
      </c>
      <c r="F1089" t="s">
        <v>3317</v>
      </c>
      <c r="M1089" t="s">
        <v>297</v>
      </c>
      <c r="N1089" t="s">
        <v>276</v>
      </c>
      <c r="P1089" t="s">
        <v>260</v>
      </c>
      <c r="Q1089" t="s">
        <v>260</v>
      </c>
      <c r="R1089" t="s">
        <v>283</v>
      </c>
      <c r="S1089" t="s">
        <v>21</v>
      </c>
      <c r="T1089">
        <v>100</v>
      </c>
      <c r="W1089" t="s">
        <v>262</v>
      </c>
    </row>
    <row r="1090" spans="1:26" x14ac:dyDescent="0.3">
      <c r="A1090" t="s">
        <v>21</v>
      </c>
      <c r="B1090" t="s">
        <v>202</v>
      </c>
      <c r="C1090" t="s">
        <v>299</v>
      </c>
      <c r="D1090" t="s">
        <v>49</v>
      </c>
      <c r="E1090" t="s">
        <v>49</v>
      </c>
      <c r="M1090" t="s">
        <v>394</v>
      </c>
      <c r="N1090" t="s">
        <v>276</v>
      </c>
      <c r="P1090" t="s">
        <v>260</v>
      </c>
      <c r="Q1090" t="s">
        <v>260</v>
      </c>
      <c r="R1090" t="s">
        <v>261</v>
      </c>
      <c r="S1090" t="s">
        <v>21</v>
      </c>
      <c r="T1090">
        <v>100</v>
      </c>
      <c r="W1090" t="s">
        <v>262</v>
      </c>
    </row>
    <row r="1091" spans="1:26" x14ac:dyDescent="0.3">
      <c r="A1091" t="s">
        <v>21</v>
      </c>
      <c r="B1091" t="s">
        <v>3318</v>
      </c>
      <c r="C1091" t="s">
        <v>270</v>
      </c>
      <c r="D1091" t="s">
        <v>3319</v>
      </c>
      <c r="E1091">
        <v>1940</v>
      </c>
      <c r="M1091" t="s">
        <v>297</v>
      </c>
      <c r="N1091" t="s">
        <v>276</v>
      </c>
      <c r="P1091" t="s">
        <v>260</v>
      </c>
      <c r="Q1091" t="s">
        <v>260</v>
      </c>
      <c r="R1091" t="s">
        <v>261</v>
      </c>
      <c r="S1091" t="s">
        <v>21</v>
      </c>
      <c r="T1091">
        <v>100</v>
      </c>
      <c r="W1091" t="s">
        <v>262</v>
      </c>
    </row>
    <row r="1092" spans="1:26" x14ac:dyDescent="0.3">
      <c r="A1092" t="s">
        <v>21</v>
      </c>
      <c r="B1092" t="s">
        <v>3320</v>
      </c>
      <c r="C1092" t="s">
        <v>270</v>
      </c>
      <c r="D1092" t="s">
        <v>3321</v>
      </c>
      <c r="E1092">
        <v>1941</v>
      </c>
      <c r="M1092" t="s">
        <v>297</v>
      </c>
      <c r="N1092" t="s">
        <v>276</v>
      </c>
      <c r="P1092" t="s">
        <v>260</v>
      </c>
      <c r="Q1092" t="s">
        <v>260</v>
      </c>
      <c r="R1092" t="s">
        <v>261</v>
      </c>
      <c r="S1092" t="s">
        <v>21</v>
      </c>
      <c r="T1092">
        <v>100</v>
      </c>
      <c r="W1092" t="s">
        <v>262</v>
      </c>
    </row>
    <row r="1093" spans="1:26" ht="135" customHeight="1" x14ac:dyDescent="0.3">
      <c r="A1093" t="s">
        <v>21</v>
      </c>
      <c r="B1093" t="s">
        <v>3322</v>
      </c>
      <c r="C1093" t="s">
        <v>270</v>
      </c>
      <c r="D1093" t="s">
        <v>3323</v>
      </c>
      <c r="E1093">
        <v>66220</v>
      </c>
      <c r="G1093" s="10" t="s">
        <v>3324</v>
      </c>
      <c r="H1093" t="s">
        <v>2433</v>
      </c>
      <c r="I1093" t="s">
        <v>1343</v>
      </c>
      <c r="J1093" t="s">
        <v>297</v>
      </c>
      <c r="K1093">
        <v>2104</v>
      </c>
      <c r="L1093" t="s">
        <v>276</v>
      </c>
      <c r="M1093" t="s">
        <v>631</v>
      </c>
      <c r="N1093" t="s">
        <v>276</v>
      </c>
      <c r="P1093" t="s">
        <v>260</v>
      </c>
      <c r="Q1093" t="s">
        <v>260</v>
      </c>
      <c r="R1093" t="s">
        <v>268</v>
      </c>
      <c r="S1093" t="s">
        <v>21</v>
      </c>
      <c r="T1093">
        <v>100</v>
      </c>
      <c r="W1093" t="s">
        <v>262</v>
      </c>
      <c r="X1093">
        <v>-37.008299999999998</v>
      </c>
      <c r="Y1093">
        <v>174.87049999999999</v>
      </c>
    </row>
    <row r="1094" spans="1:26" x14ac:dyDescent="0.3">
      <c r="A1094" t="s">
        <v>21</v>
      </c>
      <c r="B1094" t="s">
        <v>3325</v>
      </c>
      <c r="C1094" t="s">
        <v>270</v>
      </c>
      <c r="D1094" t="s">
        <v>929</v>
      </c>
      <c r="E1094">
        <v>69601</v>
      </c>
      <c r="G1094" t="s">
        <v>3326</v>
      </c>
      <c r="M1094" t="s">
        <v>297</v>
      </c>
      <c r="N1094" t="s">
        <v>276</v>
      </c>
      <c r="P1094" t="s">
        <v>260</v>
      </c>
      <c r="Q1094" t="s">
        <v>260</v>
      </c>
      <c r="R1094" t="s">
        <v>268</v>
      </c>
      <c r="S1094" t="s">
        <v>21</v>
      </c>
      <c r="T1094">
        <v>100</v>
      </c>
      <c r="W1094" t="s">
        <v>262</v>
      </c>
    </row>
    <row r="1095" spans="1:26" x14ac:dyDescent="0.3">
      <c r="A1095" t="s">
        <v>21</v>
      </c>
      <c r="B1095" t="s">
        <v>3327</v>
      </c>
      <c r="C1095" t="s">
        <v>270</v>
      </c>
      <c r="D1095" t="s">
        <v>3328</v>
      </c>
      <c r="E1095">
        <v>10204</v>
      </c>
      <c r="G1095">
        <v>10.204000000000001</v>
      </c>
      <c r="H1095" t="s">
        <v>2433</v>
      </c>
      <c r="I1095" t="s">
        <v>1343</v>
      </c>
      <c r="J1095" t="s">
        <v>297</v>
      </c>
      <c r="K1095">
        <v>2104</v>
      </c>
      <c r="L1095" t="s">
        <v>276</v>
      </c>
      <c r="M1095" t="s">
        <v>631</v>
      </c>
      <c r="N1095" t="s">
        <v>276</v>
      </c>
      <c r="P1095" t="s">
        <v>260</v>
      </c>
      <c r="Q1095" t="s">
        <v>260</v>
      </c>
      <c r="R1095" t="s">
        <v>283</v>
      </c>
      <c r="S1095" t="s">
        <v>21</v>
      </c>
      <c r="T1095">
        <v>100</v>
      </c>
      <c r="W1095" t="s">
        <v>262</v>
      </c>
      <c r="X1095">
        <v>-37.008299999999998</v>
      </c>
      <c r="Y1095">
        <v>174.87049999999999</v>
      </c>
    </row>
    <row r="1096" spans="1:26" x14ac:dyDescent="0.3">
      <c r="A1096" t="s">
        <v>21</v>
      </c>
      <c r="B1096" t="s">
        <v>3329</v>
      </c>
      <c r="C1096" t="s">
        <v>270</v>
      </c>
      <c r="D1096" t="s">
        <v>3330</v>
      </c>
      <c r="E1096" t="s">
        <v>3330</v>
      </c>
      <c r="F1096" t="s">
        <v>3330</v>
      </c>
      <c r="M1096" t="s">
        <v>297</v>
      </c>
      <c r="N1096" t="s">
        <v>276</v>
      </c>
      <c r="P1096" t="s">
        <v>260</v>
      </c>
      <c r="Q1096" t="s">
        <v>260</v>
      </c>
      <c r="R1096" t="s">
        <v>283</v>
      </c>
      <c r="S1096" t="s">
        <v>21</v>
      </c>
      <c r="T1096">
        <v>100</v>
      </c>
      <c r="W1096" t="s">
        <v>262</v>
      </c>
    </row>
    <row r="1097" spans="1:26" x14ac:dyDescent="0.3">
      <c r="A1097" t="s">
        <v>21</v>
      </c>
      <c r="B1097" t="s">
        <v>3331</v>
      </c>
      <c r="C1097" t="s">
        <v>270</v>
      </c>
      <c r="D1097" t="s">
        <v>3332</v>
      </c>
      <c r="E1097">
        <v>10203</v>
      </c>
      <c r="G1097">
        <v>10.202999999999999</v>
      </c>
      <c r="H1097" t="s">
        <v>2433</v>
      </c>
      <c r="I1097" t="s">
        <v>1343</v>
      </c>
      <c r="J1097" t="s">
        <v>297</v>
      </c>
      <c r="K1097">
        <v>2104</v>
      </c>
      <c r="L1097" t="s">
        <v>276</v>
      </c>
      <c r="M1097" t="s">
        <v>631</v>
      </c>
      <c r="N1097" t="s">
        <v>276</v>
      </c>
      <c r="P1097" t="s">
        <v>260</v>
      </c>
      <c r="Q1097" t="s">
        <v>260</v>
      </c>
      <c r="R1097" t="s">
        <v>283</v>
      </c>
      <c r="S1097" t="s">
        <v>21</v>
      </c>
      <c r="T1097">
        <v>100</v>
      </c>
      <c r="W1097" t="s">
        <v>262</v>
      </c>
      <c r="X1097">
        <v>-37.008299999999998</v>
      </c>
      <c r="Y1097">
        <v>174.87049999999999</v>
      </c>
    </row>
    <row r="1098" spans="1:26" x14ac:dyDescent="0.3">
      <c r="A1098" t="s">
        <v>21</v>
      </c>
      <c r="B1098" t="s">
        <v>3333</v>
      </c>
      <c r="C1098" t="s">
        <v>270</v>
      </c>
      <c r="D1098" t="s">
        <v>3334</v>
      </c>
      <c r="E1098">
        <v>65920</v>
      </c>
      <c r="H1098" t="s">
        <v>2433</v>
      </c>
      <c r="I1098" t="s">
        <v>1343</v>
      </c>
      <c r="J1098" t="s">
        <v>297</v>
      </c>
      <c r="K1098">
        <v>2104</v>
      </c>
      <c r="L1098" t="s">
        <v>276</v>
      </c>
      <c r="M1098" t="s">
        <v>631</v>
      </c>
      <c r="N1098" t="s">
        <v>276</v>
      </c>
      <c r="P1098" t="s">
        <v>260</v>
      </c>
      <c r="Q1098" t="s">
        <v>260</v>
      </c>
      <c r="R1098" t="s">
        <v>268</v>
      </c>
      <c r="S1098" t="s">
        <v>21</v>
      </c>
      <c r="T1098">
        <v>100</v>
      </c>
      <c r="W1098" t="s">
        <v>262</v>
      </c>
      <c r="X1098">
        <v>-37.008299999999998</v>
      </c>
      <c r="Y1098">
        <v>174.87049999999999</v>
      </c>
    </row>
    <row r="1099" spans="1:26" x14ac:dyDescent="0.3">
      <c r="A1099" t="s">
        <v>21</v>
      </c>
      <c r="B1099" t="s">
        <v>3335</v>
      </c>
      <c r="C1099" t="s">
        <v>270</v>
      </c>
      <c r="D1099" t="s">
        <v>3336</v>
      </c>
      <c r="E1099">
        <v>10202</v>
      </c>
      <c r="G1099">
        <v>10.202</v>
      </c>
      <c r="H1099" t="s">
        <v>2433</v>
      </c>
      <c r="I1099" t="s">
        <v>1343</v>
      </c>
      <c r="J1099" t="s">
        <v>297</v>
      </c>
      <c r="K1099">
        <v>2104</v>
      </c>
      <c r="L1099" t="s">
        <v>276</v>
      </c>
      <c r="M1099" t="s">
        <v>631</v>
      </c>
      <c r="N1099" t="s">
        <v>276</v>
      </c>
      <c r="P1099" t="s">
        <v>260</v>
      </c>
      <c r="Q1099" t="s">
        <v>260</v>
      </c>
      <c r="R1099" t="s">
        <v>283</v>
      </c>
      <c r="S1099" t="s">
        <v>21</v>
      </c>
      <c r="T1099">
        <v>100</v>
      </c>
      <c r="W1099" t="s">
        <v>262</v>
      </c>
      <c r="X1099">
        <v>-37.008299999999998</v>
      </c>
      <c r="Y1099">
        <v>174.87049999999999</v>
      </c>
    </row>
    <row r="1100" spans="1:26" x14ac:dyDescent="0.3">
      <c r="A1100" t="s">
        <v>21</v>
      </c>
      <c r="B1100" t="s">
        <v>3337</v>
      </c>
      <c r="C1100" t="s">
        <v>270</v>
      </c>
      <c r="D1100" t="s">
        <v>3338</v>
      </c>
      <c r="E1100">
        <v>10201</v>
      </c>
      <c r="G1100">
        <v>10.201000000000001</v>
      </c>
      <c r="H1100" t="s">
        <v>2433</v>
      </c>
      <c r="I1100" t="s">
        <v>1343</v>
      </c>
      <c r="J1100" t="s">
        <v>297</v>
      </c>
      <c r="K1100">
        <v>2104</v>
      </c>
      <c r="L1100" t="s">
        <v>276</v>
      </c>
      <c r="M1100" t="s">
        <v>631</v>
      </c>
      <c r="N1100" t="s">
        <v>276</v>
      </c>
      <c r="P1100" t="s">
        <v>260</v>
      </c>
      <c r="Q1100" t="s">
        <v>260</v>
      </c>
      <c r="R1100" t="s">
        <v>283</v>
      </c>
      <c r="S1100" t="s">
        <v>21</v>
      </c>
      <c r="T1100">
        <v>100</v>
      </c>
      <c r="W1100" t="s">
        <v>262</v>
      </c>
      <c r="X1100">
        <v>-37.008299999999998</v>
      </c>
      <c r="Y1100">
        <v>174.87049999999999</v>
      </c>
    </row>
    <row r="1101" spans="1:26" x14ac:dyDescent="0.3">
      <c r="A1101" t="s">
        <v>21</v>
      </c>
      <c r="B1101" t="s">
        <v>3339</v>
      </c>
      <c r="C1101" t="s">
        <v>270</v>
      </c>
      <c r="D1101" t="s">
        <v>3340</v>
      </c>
      <c r="E1101">
        <v>10205</v>
      </c>
      <c r="G1101">
        <v>10.205</v>
      </c>
      <c r="H1101" t="s">
        <v>2433</v>
      </c>
      <c r="I1101" t="s">
        <v>1343</v>
      </c>
      <c r="J1101" t="s">
        <v>297</v>
      </c>
      <c r="K1101">
        <v>2104</v>
      </c>
      <c r="L1101" t="s">
        <v>276</v>
      </c>
      <c r="M1101" t="s">
        <v>631</v>
      </c>
      <c r="N1101" t="s">
        <v>276</v>
      </c>
      <c r="P1101" t="s">
        <v>260</v>
      </c>
      <c r="Q1101" t="s">
        <v>260</v>
      </c>
      <c r="R1101" t="s">
        <v>283</v>
      </c>
      <c r="S1101" t="s">
        <v>21</v>
      </c>
      <c r="T1101">
        <v>100</v>
      </c>
      <c r="W1101" t="s">
        <v>262</v>
      </c>
      <c r="X1101">
        <v>-37.008299999999998</v>
      </c>
      <c r="Y1101">
        <v>174.87049999999999</v>
      </c>
    </row>
    <row r="1102" spans="1:26" x14ac:dyDescent="0.3">
      <c r="A1102" t="s">
        <v>21</v>
      </c>
      <c r="B1102" t="s">
        <v>3341</v>
      </c>
      <c r="C1102" t="s">
        <v>299</v>
      </c>
      <c r="D1102" t="s">
        <v>3342</v>
      </c>
      <c r="E1102">
        <v>116</v>
      </c>
      <c r="H1102" t="s">
        <v>3343</v>
      </c>
      <c r="I1102" t="s">
        <v>3341</v>
      </c>
      <c r="J1102" t="s">
        <v>366</v>
      </c>
      <c r="K1102">
        <v>2871</v>
      </c>
      <c r="L1102" t="s">
        <v>259</v>
      </c>
      <c r="M1102" t="s">
        <v>312</v>
      </c>
      <c r="N1102" t="s">
        <v>259</v>
      </c>
      <c r="P1102" t="s">
        <v>260</v>
      </c>
      <c r="Q1102" t="s">
        <v>260</v>
      </c>
      <c r="R1102" t="s">
        <v>261</v>
      </c>
      <c r="S1102" t="s">
        <v>21</v>
      </c>
      <c r="T1102">
        <v>100</v>
      </c>
      <c r="W1102" t="s">
        <v>262</v>
      </c>
      <c r="X1102">
        <v>-33.369999999999997</v>
      </c>
      <c r="Y1102">
        <v>148.01300000000001</v>
      </c>
      <c r="Z1102">
        <v>310</v>
      </c>
    </row>
    <row r="1103" spans="1:26" x14ac:dyDescent="0.3">
      <c r="A1103" t="s">
        <v>21</v>
      </c>
      <c r="B1103" t="s">
        <v>3344</v>
      </c>
      <c r="C1103" t="s">
        <v>270</v>
      </c>
      <c r="D1103" t="s">
        <v>3345</v>
      </c>
      <c r="E1103" t="s">
        <v>3345</v>
      </c>
      <c r="M1103" t="s">
        <v>394</v>
      </c>
      <c r="N1103" t="s">
        <v>276</v>
      </c>
      <c r="P1103" t="s">
        <v>260</v>
      </c>
      <c r="Q1103" t="s">
        <v>260</v>
      </c>
      <c r="R1103" t="s">
        <v>283</v>
      </c>
      <c r="S1103" t="s">
        <v>21</v>
      </c>
      <c r="T1103">
        <v>100</v>
      </c>
      <c r="W1103" t="s">
        <v>262</v>
      </c>
    </row>
    <row r="1104" spans="1:26" x14ac:dyDescent="0.3">
      <c r="A1104" t="s">
        <v>21</v>
      </c>
      <c r="B1104" t="s">
        <v>3346</v>
      </c>
      <c r="C1104" t="s">
        <v>270</v>
      </c>
      <c r="D1104" t="s">
        <v>3347</v>
      </c>
      <c r="E1104" t="s">
        <v>3347</v>
      </c>
      <c r="M1104" t="s">
        <v>394</v>
      </c>
      <c r="N1104" t="s">
        <v>276</v>
      </c>
      <c r="P1104" t="s">
        <v>260</v>
      </c>
      <c r="Q1104" t="s">
        <v>260</v>
      </c>
      <c r="R1104" t="s">
        <v>283</v>
      </c>
      <c r="S1104" t="s">
        <v>21</v>
      </c>
      <c r="T1104">
        <v>100</v>
      </c>
      <c r="W1104" t="s">
        <v>262</v>
      </c>
    </row>
    <row r="1105" spans="1:23" x14ac:dyDescent="0.3">
      <c r="A1105" t="s">
        <v>21</v>
      </c>
      <c r="B1105" t="s">
        <v>3348</v>
      </c>
      <c r="C1105" t="s">
        <v>270</v>
      </c>
      <c r="D1105" t="s">
        <v>3349</v>
      </c>
      <c r="E1105" t="s">
        <v>3349</v>
      </c>
      <c r="M1105" t="s">
        <v>394</v>
      </c>
      <c r="N1105" t="s">
        <v>276</v>
      </c>
      <c r="P1105" t="s">
        <v>260</v>
      </c>
      <c r="Q1105" t="s">
        <v>260</v>
      </c>
      <c r="R1105" t="s">
        <v>283</v>
      </c>
      <c r="S1105" t="s">
        <v>21</v>
      </c>
      <c r="T1105">
        <v>100</v>
      </c>
      <c r="W1105" t="s">
        <v>262</v>
      </c>
    </row>
    <row r="1106" spans="1:23" x14ac:dyDescent="0.3">
      <c r="A1106" t="s">
        <v>21</v>
      </c>
      <c r="B1106" t="s">
        <v>3350</v>
      </c>
      <c r="C1106" t="s">
        <v>299</v>
      </c>
      <c r="D1106" t="s">
        <v>1550</v>
      </c>
      <c r="H1106" t="s">
        <v>3351</v>
      </c>
      <c r="I1106" t="s">
        <v>3352</v>
      </c>
      <c r="J1106" t="s">
        <v>282</v>
      </c>
      <c r="K1106">
        <v>3824</v>
      </c>
      <c r="M1106" t="s">
        <v>282</v>
      </c>
      <c r="N1106" t="s">
        <v>259</v>
      </c>
      <c r="P1106" t="s">
        <v>260</v>
      </c>
      <c r="Q1106" t="s">
        <v>260</v>
      </c>
      <c r="R1106" t="s">
        <v>261</v>
      </c>
      <c r="S1106" t="s">
        <v>21</v>
      </c>
      <c r="T1106">
        <v>100</v>
      </c>
      <c r="W1106" t="s">
        <v>262</v>
      </c>
    </row>
    <row r="1107" spans="1:23" x14ac:dyDescent="0.3">
      <c r="A1107" t="s">
        <v>21</v>
      </c>
      <c r="B1107" t="s">
        <v>3353</v>
      </c>
      <c r="C1107" t="s">
        <v>299</v>
      </c>
      <c r="D1107" t="s">
        <v>3354</v>
      </c>
      <c r="E1107" t="s">
        <v>3354</v>
      </c>
      <c r="M1107" t="s">
        <v>411</v>
      </c>
      <c r="N1107" t="s">
        <v>259</v>
      </c>
      <c r="P1107" t="s">
        <v>260</v>
      </c>
      <c r="Q1107" t="s">
        <v>260</v>
      </c>
      <c r="R1107" t="s">
        <v>261</v>
      </c>
      <c r="S1107" t="s">
        <v>21</v>
      </c>
      <c r="T1107">
        <v>100</v>
      </c>
      <c r="W1107" t="s">
        <v>262</v>
      </c>
    </row>
    <row r="1108" spans="1:23" x14ac:dyDescent="0.3">
      <c r="A1108" t="s">
        <v>21</v>
      </c>
      <c r="B1108" t="s">
        <v>3355</v>
      </c>
      <c r="C1108" t="s">
        <v>270</v>
      </c>
      <c r="D1108" t="s">
        <v>3356</v>
      </c>
      <c r="E1108" t="s">
        <v>3356</v>
      </c>
      <c r="M1108" t="s">
        <v>394</v>
      </c>
      <c r="N1108" t="s">
        <v>276</v>
      </c>
      <c r="P1108" t="s">
        <v>260</v>
      </c>
      <c r="Q1108" t="s">
        <v>260</v>
      </c>
      <c r="R1108" t="s">
        <v>283</v>
      </c>
      <c r="S1108" t="s">
        <v>21</v>
      </c>
      <c r="T1108">
        <v>100</v>
      </c>
      <c r="W1108" t="s">
        <v>262</v>
      </c>
    </row>
    <row r="1109" spans="1:23" x14ac:dyDescent="0.3">
      <c r="A1109" t="s">
        <v>21</v>
      </c>
      <c r="B1109" t="s">
        <v>3357</v>
      </c>
      <c r="C1109" t="s">
        <v>270</v>
      </c>
      <c r="D1109" t="s">
        <v>3358</v>
      </c>
      <c r="E1109" t="s">
        <v>3358</v>
      </c>
      <c r="M1109" t="s">
        <v>394</v>
      </c>
      <c r="N1109" t="s">
        <v>276</v>
      </c>
      <c r="P1109" t="s">
        <v>260</v>
      </c>
      <c r="Q1109" t="s">
        <v>260</v>
      </c>
      <c r="R1109" t="s">
        <v>283</v>
      </c>
      <c r="S1109" t="s">
        <v>21</v>
      </c>
      <c r="T1109">
        <v>100</v>
      </c>
      <c r="W1109" t="s">
        <v>262</v>
      </c>
    </row>
    <row r="1110" spans="1:23" x14ac:dyDescent="0.3">
      <c r="A1110" t="s">
        <v>21</v>
      </c>
      <c r="B1110" t="s">
        <v>3359</v>
      </c>
      <c r="C1110" t="s">
        <v>270</v>
      </c>
      <c r="D1110" t="s">
        <v>3360</v>
      </c>
      <c r="E1110" t="s">
        <v>3360</v>
      </c>
      <c r="M1110" t="s">
        <v>394</v>
      </c>
      <c r="N1110" t="s">
        <v>276</v>
      </c>
      <c r="P1110" t="s">
        <v>260</v>
      </c>
      <c r="Q1110" t="s">
        <v>260</v>
      </c>
      <c r="R1110" t="s">
        <v>283</v>
      </c>
      <c r="S1110" t="s">
        <v>21</v>
      </c>
      <c r="T1110">
        <v>100</v>
      </c>
      <c r="W1110" t="s">
        <v>262</v>
      </c>
    </row>
    <row r="1111" spans="1:23" x14ac:dyDescent="0.3">
      <c r="A1111" t="s">
        <v>21</v>
      </c>
      <c r="B1111" t="s">
        <v>3361</v>
      </c>
      <c r="C1111" t="s">
        <v>270</v>
      </c>
      <c r="D1111" t="s">
        <v>3362</v>
      </c>
      <c r="E1111" t="s">
        <v>3362</v>
      </c>
      <c r="M1111" t="s">
        <v>394</v>
      </c>
      <c r="N1111" t="s">
        <v>276</v>
      </c>
      <c r="P1111" t="s">
        <v>260</v>
      </c>
      <c r="Q1111" t="s">
        <v>260</v>
      </c>
      <c r="R1111" t="s">
        <v>283</v>
      </c>
      <c r="S1111" t="s">
        <v>21</v>
      </c>
      <c r="T1111">
        <v>100</v>
      </c>
      <c r="W1111" t="s">
        <v>262</v>
      </c>
    </row>
    <row r="1112" spans="1:23" x14ac:dyDescent="0.3">
      <c r="A1112" t="s">
        <v>21</v>
      </c>
      <c r="B1112" t="s">
        <v>3363</v>
      </c>
      <c r="C1112" t="s">
        <v>270</v>
      </c>
      <c r="D1112" t="s">
        <v>3364</v>
      </c>
      <c r="E1112" t="s">
        <v>3364</v>
      </c>
      <c r="M1112" t="s">
        <v>394</v>
      </c>
      <c r="N1112" t="s">
        <v>276</v>
      </c>
      <c r="P1112" t="s">
        <v>260</v>
      </c>
      <c r="Q1112" t="s">
        <v>260</v>
      </c>
      <c r="R1112" t="s">
        <v>283</v>
      </c>
      <c r="S1112" t="s">
        <v>21</v>
      </c>
      <c r="T1112">
        <v>100</v>
      </c>
      <c r="W1112" t="s">
        <v>262</v>
      </c>
    </row>
    <row r="1113" spans="1:23" x14ac:dyDescent="0.3">
      <c r="A1113" t="s">
        <v>21</v>
      </c>
      <c r="B1113" t="s">
        <v>3365</v>
      </c>
      <c r="C1113" t="s">
        <v>270</v>
      </c>
      <c r="D1113" t="s">
        <v>3366</v>
      </c>
      <c r="E1113" t="s">
        <v>3366</v>
      </c>
      <c r="M1113" t="s">
        <v>394</v>
      </c>
      <c r="N1113" t="s">
        <v>276</v>
      </c>
      <c r="P1113" t="s">
        <v>260</v>
      </c>
      <c r="Q1113" t="s">
        <v>260</v>
      </c>
      <c r="R1113" t="s">
        <v>283</v>
      </c>
      <c r="S1113" t="s">
        <v>21</v>
      </c>
      <c r="T1113">
        <v>100</v>
      </c>
      <c r="W1113" t="s">
        <v>262</v>
      </c>
    </row>
    <row r="1114" spans="1:23" x14ac:dyDescent="0.3">
      <c r="A1114" t="s">
        <v>21</v>
      </c>
      <c r="B1114" t="s">
        <v>3367</v>
      </c>
      <c r="C1114" t="s">
        <v>270</v>
      </c>
      <c r="D1114" t="s">
        <v>3368</v>
      </c>
      <c r="E1114" t="s">
        <v>3368</v>
      </c>
      <c r="M1114" t="s">
        <v>394</v>
      </c>
      <c r="N1114" t="s">
        <v>276</v>
      </c>
      <c r="P1114" t="s">
        <v>260</v>
      </c>
      <c r="Q1114" t="s">
        <v>260</v>
      </c>
      <c r="R1114" t="s">
        <v>283</v>
      </c>
      <c r="S1114" t="s">
        <v>21</v>
      </c>
      <c r="T1114">
        <v>100</v>
      </c>
      <c r="W1114" t="s">
        <v>262</v>
      </c>
    </row>
    <row r="1115" spans="1:23" x14ac:dyDescent="0.3">
      <c r="A1115" t="s">
        <v>21</v>
      </c>
      <c r="B1115" t="s">
        <v>3369</v>
      </c>
      <c r="C1115" t="s">
        <v>270</v>
      </c>
      <c r="D1115" t="s">
        <v>3370</v>
      </c>
      <c r="E1115" t="s">
        <v>3370</v>
      </c>
      <c r="M1115" t="s">
        <v>394</v>
      </c>
      <c r="N1115" t="s">
        <v>276</v>
      </c>
      <c r="P1115" t="s">
        <v>260</v>
      </c>
      <c r="Q1115" t="s">
        <v>260</v>
      </c>
      <c r="R1115" t="s">
        <v>283</v>
      </c>
      <c r="S1115" t="s">
        <v>21</v>
      </c>
      <c r="T1115">
        <v>100</v>
      </c>
      <c r="W1115" t="s">
        <v>262</v>
      </c>
    </row>
    <row r="1116" spans="1:23" x14ac:dyDescent="0.3">
      <c r="A1116" t="s">
        <v>21</v>
      </c>
      <c r="B1116" t="s">
        <v>3371</v>
      </c>
      <c r="C1116" t="s">
        <v>270</v>
      </c>
      <c r="D1116" t="s">
        <v>3372</v>
      </c>
      <c r="E1116" t="s">
        <v>3372</v>
      </c>
      <c r="M1116" t="s">
        <v>394</v>
      </c>
      <c r="N1116" t="s">
        <v>276</v>
      </c>
      <c r="P1116" t="s">
        <v>260</v>
      </c>
      <c r="Q1116" t="s">
        <v>260</v>
      </c>
      <c r="R1116" t="s">
        <v>283</v>
      </c>
      <c r="S1116" t="s">
        <v>21</v>
      </c>
      <c r="T1116">
        <v>100</v>
      </c>
      <c r="W1116" t="s">
        <v>262</v>
      </c>
    </row>
    <row r="1117" spans="1:23" x14ac:dyDescent="0.3">
      <c r="A1117" t="s">
        <v>21</v>
      </c>
      <c r="B1117" t="s">
        <v>3373</v>
      </c>
      <c r="C1117" t="s">
        <v>270</v>
      </c>
      <c r="D1117" t="s">
        <v>3374</v>
      </c>
      <c r="E1117" t="s">
        <v>3374</v>
      </c>
      <c r="M1117" t="s">
        <v>394</v>
      </c>
      <c r="N1117" t="s">
        <v>276</v>
      </c>
      <c r="P1117" t="s">
        <v>260</v>
      </c>
      <c r="Q1117" t="s">
        <v>260</v>
      </c>
      <c r="R1117" t="s">
        <v>283</v>
      </c>
      <c r="S1117" t="s">
        <v>21</v>
      </c>
      <c r="T1117">
        <v>100</v>
      </c>
      <c r="W1117" t="s">
        <v>262</v>
      </c>
    </row>
    <row r="1118" spans="1:23" x14ac:dyDescent="0.3">
      <c r="A1118" t="s">
        <v>21</v>
      </c>
      <c r="B1118" t="s">
        <v>3375</v>
      </c>
      <c r="C1118" t="s">
        <v>270</v>
      </c>
      <c r="D1118" t="s">
        <v>3376</v>
      </c>
      <c r="E1118" t="s">
        <v>3376</v>
      </c>
      <c r="M1118" t="s">
        <v>394</v>
      </c>
      <c r="N1118" t="s">
        <v>276</v>
      </c>
      <c r="P1118" t="s">
        <v>260</v>
      </c>
      <c r="Q1118" t="s">
        <v>260</v>
      </c>
      <c r="R1118" t="s">
        <v>283</v>
      </c>
      <c r="S1118" t="s">
        <v>21</v>
      </c>
      <c r="T1118">
        <v>100</v>
      </c>
      <c r="W1118" t="s">
        <v>262</v>
      </c>
    </row>
    <row r="1119" spans="1:23" x14ac:dyDescent="0.3">
      <c r="A1119" t="s">
        <v>21</v>
      </c>
      <c r="B1119" t="s">
        <v>3377</v>
      </c>
      <c r="C1119" t="s">
        <v>270</v>
      </c>
      <c r="D1119" t="s">
        <v>3378</v>
      </c>
      <c r="E1119" t="s">
        <v>3378</v>
      </c>
      <c r="M1119" t="s">
        <v>394</v>
      </c>
      <c r="N1119" t="s">
        <v>276</v>
      </c>
      <c r="P1119" t="s">
        <v>260</v>
      </c>
      <c r="Q1119" t="s">
        <v>260</v>
      </c>
      <c r="R1119" t="s">
        <v>283</v>
      </c>
      <c r="S1119" t="s">
        <v>21</v>
      </c>
      <c r="T1119">
        <v>100</v>
      </c>
      <c r="W1119" t="s">
        <v>262</v>
      </c>
    </row>
    <row r="1120" spans="1:23" x14ac:dyDescent="0.3">
      <c r="A1120" t="s">
        <v>21</v>
      </c>
      <c r="B1120" t="s">
        <v>3379</v>
      </c>
      <c r="C1120" t="s">
        <v>270</v>
      </c>
      <c r="D1120" t="s">
        <v>3380</v>
      </c>
      <c r="E1120" t="s">
        <v>3380</v>
      </c>
      <c r="M1120" t="s">
        <v>394</v>
      </c>
      <c r="N1120" t="s">
        <v>276</v>
      </c>
      <c r="P1120" t="s">
        <v>260</v>
      </c>
      <c r="Q1120" t="s">
        <v>260</v>
      </c>
      <c r="R1120" t="s">
        <v>283</v>
      </c>
      <c r="S1120" t="s">
        <v>21</v>
      </c>
      <c r="T1120">
        <v>100</v>
      </c>
      <c r="W1120" t="s">
        <v>262</v>
      </c>
    </row>
    <row r="1121" spans="1:23" x14ac:dyDescent="0.3">
      <c r="A1121" t="s">
        <v>21</v>
      </c>
      <c r="B1121" t="s">
        <v>3381</v>
      </c>
      <c r="C1121" t="s">
        <v>270</v>
      </c>
      <c r="D1121" t="s">
        <v>3382</v>
      </c>
      <c r="E1121" t="s">
        <v>3382</v>
      </c>
      <c r="F1121" t="s">
        <v>3382</v>
      </c>
      <c r="M1121" t="s">
        <v>297</v>
      </c>
      <c r="N1121" t="s">
        <v>276</v>
      </c>
      <c r="P1121" t="s">
        <v>260</v>
      </c>
      <c r="Q1121" t="s">
        <v>260</v>
      </c>
      <c r="R1121" t="s">
        <v>283</v>
      </c>
      <c r="S1121" t="s">
        <v>21</v>
      </c>
      <c r="T1121">
        <v>100</v>
      </c>
      <c r="W1121" t="s">
        <v>262</v>
      </c>
    </row>
    <row r="1122" spans="1:23" x14ac:dyDescent="0.3">
      <c r="A1122" t="s">
        <v>21</v>
      </c>
      <c r="B1122" t="s">
        <v>3383</v>
      </c>
      <c r="C1122" t="s">
        <v>270</v>
      </c>
      <c r="D1122" t="s">
        <v>3384</v>
      </c>
      <c r="E1122" t="s">
        <v>3384</v>
      </c>
      <c r="F1122" t="s">
        <v>3384</v>
      </c>
      <c r="M1122" t="s">
        <v>297</v>
      </c>
      <c r="N1122" t="s">
        <v>276</v>
      </c>
      <c r="P1122" t="s">
        <v>260</v>
      </c>
      <c r="Q1122" t="s">
        <v>260</v>
      </c>
      <c r="R1122" t="s">
        <v>283</v>
      </c>
      <c r="S1122" t="s">
        <v>21</v>
      </c>
      <c r="T1122">
        <v>100</v>
      </c>
      <c r="W1122" t="s">
        <v>262</v>
      </c>
    </row>
    <row r="1123" spans="1:23" x14ac:dyDescent="0.3">
      <c r="A1123" t="s">
        <v>21</v>
      </c>
      <c r="B1123" t="s">
        <v>3385</v>
      </c>
      <c r="C1123" t="s">
        <v>270</v>
      </c>
      <c r="D1123" t="s">
        <v>3386</v>
      </c>
      <c r="E1123" t="s">
        <v>3386</v>
      </c>
      <c r="M1123" t="s">
        <v>394</v>
      </c>
      <c r="N1123" t="s">
        <v>276</v>
      </c>
      <c r="P1123" t="s">
        <v>260</v>
      </c>
      <c r="Q1123" t="s">
        <v>260</v>
      </c>
      <c r="R1123" t="s">
        <v>283</v>
      </c>
      <c r="S1123" t="s">
        <v>21</v>
      </c>
      <c r="T1123">
        <v>100</v>
      </c>
      <c r="W1123" t="s">
        <v>262</v>
      </c>
    </row>
    <row r="1124" spans="1:23" x14ac:dyDescent="0.3">
      <c r="A1124" t="s">
        <v>21</v>
      </c>
      <c r="B1124" t="s">
        <v>3387</v>
      </c>
      <c r="C1124" t="s">
        <v>270</v>
      </c>
      <c r="D1124" t="s">
        <v>3388</v>
      </c>
      <c r="E1124" t="s">
        <v>3388</v>
      </c>
      <c r="M1124" t="s">
        <v>394</v>
      </c>
      <c r="N1124" t="s">
        <v>276</v>
      </c>
      <c r="P1124" t="s">
        <v>260</v>
      </c>
      <c r="Q1124" t="s">
        <v>260</v>
      </c>
      <c r="R1124" t="s">
        <v>283</v>
      </c>
      <c r="S1124" t="s">
        <v>21</v>
      </c>
      <c r="T1124">
        <v>100</v>
      </c>
      <c r="W1124" t="s">
        <v>262</v>
      </c>
    </row>
    <row r="1125" spans="1:23" x14ac:dyDescent="0.3">
      <c r="A1125" t="s">
        <v>21</v>
      </c>
      <c r="B1125" t="s">
        <v>3389</v>
      </c>
      <c r="C1125" t="s">
        <v>270</v>
      </c>
      <c r="D1125" t="s">
        <v>3390</v>
      </c>
      <c r="E1125" t="s">
        <v>3390</v>
      </c>
      <c r="M1125" t="s">
        <v>394</v>
      </c>
      <c r="N1125" t="s">
        <v>276</v>
      </c>
      <c r="P1125" t="s">
        <v>260</v>
      </c>
      <c r="Q1125" t="s">
        <v>260</v>
      </c>
      <c r="R1125" t="s">
        <v>283</v>
      </c>
      <c r="S1125" t="s">
        <v>21</v>
      </c>
      <c r="T1125">
        <v>100</v>
      </c>
      <c r="W1125" t="s">
        <v>262</v>
      </c>
    </row>
    <row r="1126" spans="1:23" x14ac:dyDescent="0.3">
      <c r="A1126" t="s">
        <v>21</v>
      </c>
      <c r="B1126" t="s">
        <v>3391</v>
      </c>
      <c r="C1126" t="s">
        <v>270</v>
      </c>
      <c r="D1126" t="s">
        <v>3392</v>
      </c>
      <c r="E1126" t="s">
        <v>3392</v>
      </c>
      <c r="M1126" t="s">
        <v>394</v>
      </c>
      <c r="N1126" t="s">
        <v>276</v>
      </c>
      <c r="P1126" t="s">
        <v>260</v>
      </c>
      <c r="Q1126" t="s">
        <v>260</v>
      </c>
      <c r="R1126" t="s">
        <v>283</v>
      </c>
      <c r="S1126" t="s">
        <v>21</v>
      </c>
      <c r="T1126">
        <v>100</v>
      </c>
      <c r="W1126" t="s">
        <v>262</v>
      </c>
    </row>
    <row r="1127" spans="1:23" x14ac:dyDescent="0.3">
      <c r="A1127" t="s">
        <v>21</v>
      </c>
      <c r="B1127" t="s">
        <v>3393</v>
      </c>
      <c r="C1127" t="s">
        <v>270</v>
      </c>
      <c r="D1127" t="s">
        <v>3394</v>
      </c>
      <c r="E1127" t="s">
        <v>3394</v>
      </c>
      <c r="M1127" t="s">
        <v>394</v>
      </c>
      <c r="N1127" t="s">
        <v>276</v>
      </c>
      <c r="P1127" t="s">
        <v>260</v>
      </c>
      <c r="Q1127" t="s">
        <v>260</v>
      </c>
      <c r="R1127" t="s">
        <v>283</v>
      </c>
      <c r="S1127" t="s">
        <v>21</v>
      </c>
      <c r="T1127">
        <v>100</v>
      </c>
      <c r="W1127" t="s">
        <v>262</v>
      </c>
    </row>
    <row r="1128" spans="1:23" x14ac:dyDescent="0.3">
      <c r="A1128" t="s">
        <v>21</v>
      </c>
      <c r="B1128" t="s">
        <v>3395</v>
      </c>
      <c r="C1128" t="s">
        <v>270</v>
      </c>
      <c r="D1128" t="s">
        <v>3396</v>
      </c>
      <c r="E1128" t="s">
        <v>3396</v>
      </c>
      <c r="M1128" t="s">
        <v>394</v>
      </c>
      <c r="N1128" t="s">
        <v>276</v>
      </c>
      <c r="P1128" t="s">
        <v>260</v>
      </c>
      <c r="Q1128" t="s">
        <v>260</v>
      </c>
      <c r="R1128" t="s">
        <v>283</v>
      </c>
      <c r="S1128" t="s">
        <v>21</v>
      </c>
      <c r="T1128">
        <v>100</v>
      </c>
      <c r="W1128" t="s">
        <v>262</v>
      </c>
    </row>
    <row r="1129" spans="1:23" x14ac:dyDescent="0.3">
      <c r="A1129" t="s">
        <v>21</v>
      </c>
      <c r="B1129" t="s">
        <v>3397</v>
      </c>
      <c r="C1129" t="s">
        <v>270</v>
      </c>
      <c r="D1129" t="s">
        <v>3398</v>
      </c>
      <c r="E1129" t="s">
        <v>3398</v>
      </c>
      <c r="M1129" t="s">
        <v>394</v>
      </c>
      <c r="N1129" t="s">
        <v>276</v>
      </c>
      <c r="P1129" t="s">
        <v>260</v>
      </c>
      <c r="Q1129" t="s">
        <v>260</v>
      </c>
      <c r="R1129" t="s">
        <v>283</v>
      </c>
      <c r="S1129" t="s">
        <v>21</v>
      </c>
      <c r="T1129">
        <v>100</v>
      </c>
      <c r="W1129" t="s">
        <v>262</v>
      </c>
    </row>
    <row r="1130" spans="1:23" x14ac:dyDescent="0.3">
      <c r="A1130" t="s">
        <v>21</v>
      </c>
      <c r="B1130" t="s">
        <v>3399</v>
      </c>
      <c r="C1130" t="s">
        <v>270</v>
      </c>
      <c r="D1130" t="s">
        <v>3400</v>
      </c>
      <c r="E1130" t="s">
        <v>3400</v>
      </c>
      <c r="M1130" t="s">
        <v>394</v>
      </c>
      <c r="N1130" t="s">
        <v>276</v>
      </c>
      <c r="P1130" t="s">
        <v>260</v>
      </c>
      <c r="Q1130" t="s">
        <v>260</v>
      </c>
      <c r="R1130" t="s">
        <v>283</v>
      </c>
      <c r="S1130" t="s">
        <v>21</v>
      </c>
      <c r="T1130">
        <v>100</v>
      </c>
      <c r="W1130" t="s">
        <v>262</v>
      </c>
    </row>
    <row r="1131" spans="1:23" x14ac:dyDescent="0.3">
      <c r="A1131" t="s">
        <v>21</v>
      </c>
      <c r="B1131" t="s">
        <v>3401</v>
      </c>
      <c r="C1131" t="s">
        <v>270</v>
      </c>
      <c r="D1131" t="s">
        <v>3402</v>
      </c>
      <c r="E1131" t="s">
        <v>3402</v>
      </c>
      <c r="F1131" t="s">
        <v>3402</v>
      </c>
      <c r="M1131" t="s">
        <v>297</v>
      </c>
      <c r="N1131" t="s">
        <v>276</v>
      </c>
      <c r="P1131" t="s">
        <v>260</v>
      </c>
      <c r="Q1131" t="s">
        <v>260</v>
      </c>
      <c r="R1131" t="s">
        <v>283</v>
      </c>
      <c r="S1131" t="s">
        <v>21</v>
      </c>
      <c r="T1131">
        <v>100</v>
      </c>
      <c r="W1131" t="s">
        <v>262</v>
      </c>
    </row>
    <row r="1132" spans="1:23" x14ac:dyDescent="0.3">
      <c r="A1132" t="s">
        <v>21</v>
      </c>
      <c r="B1132" t="s">
        <v>3403</v>
      </c>
      <c r="C1132" t="s">
        <v>270</v>
      </c>
      <c r="D1132" t="s">
        <v>3404</v>
      </c>
      <c r="E1132" t="s">
        <v>3404</v>
      </c>
      <c r="M1132" t="s">
        <v>394</v>
      </c>
      <c r="N1132" t="s">
        <v>276</v>
      </c>
      <c r="P1132" t="s">
        <v>260</v>
      </c>
      <c r="Q1132" t="s">
        <v>260</v>
      </c>
      <c r="R1132" t="s">
        <v>283</v>
      </c>
      <c r="S1132" t="s">
        <v>21</v>
      </c>
      <c r="T1132">
        <v>100</v>
      </c>
      <c r="W1132" t="s">
        <v>262</v>
      </c>
    </row>
    <row r="1133" spans="1:23" x14ac:dyDescent="0.3">
      <c r="A1133" t="s">
        <v>21</v>
      </c>
      <c r="B1133" t="s">
        <v>3405</v>
      </c>
      <c r="C1133" t="s">
        <v>270</v>
      </c>
      <c r="D1133" t="s">
        <v>1307</v>
      </c>
      <c r="E1133" t="s">
        <v>1307</v>
      </c>
      <c r="M1133" t="s">
        <v>394</v>
      </c>
      <c r="N1133" t="s">
        <v>276</v>
      </c>
      <c r="P1133" t="s">
        <v>260</v>
      </c>
      <c r="Q1133" t="s">
        <v>260</v>
      </c>
      <c r="R1133" t="s">
        <v>283</v>
      </c>
      <c r="S1133" t="s">
        <v>21</v>
      </c>
      <c r="T1133">
        <v>100</v>
      </c>
      <c r="W1133" t="s">
        <v>262</v>
      </c>
    </row>
    <row r="1134" spans="1:23" x14ac:dyDescent="0.3">
      <c r="A1134" t="s">
        <v>21</v>
      </c>
      <c r="B1134" t="s">
        <v>3406</v>
      </c>
      <c r="C1134" t="s">
        <v>270</v>
      </c>
      <c r="D1134" t="s">
        <v>3407</v>
      </c>
      <c r="E1134" t="s">
        <v>3407</v>
      </c>
      <c r="M1134" t="s">
        <v>394</v>
      </c>
      <c r="N1134" t="s">
        <v>276</v>
      </c>
      <c r="P1134" t="s">
        <v>260</v>
      </c>
      <c r="Q1134" t="s">
        <v>260</v>
      </c>
      <c r="R1134" t="s">
        <v>283</v>
      </c>
      <c r="S1134" t="s">
        <v>21</v>
      </c>
      <c r="T1134">
        <v>100</v>
      </c>
      <c r="W1134" t="s">
        <v>262</v>
      </c>
    </row>
    <row r="1135" spans="1:23" x14ac:dyDescent="0.3">
      <c r="A1135" t="s">
        <v>21</v>
      </c>
      <c r="B1135" t="s">
        <v>3408</v>
      </c>
      <c r="C1135" t="s">
        <v>270</v>
      </c>
      <c r="D1135" t="s">
        <v>3409</v>
      </c>
      <c r="E1135" t="s">
        <v>3409</v>
      </c>
      <c r="F1135" t="s">
        <v>3409</v>
      </c>
      <c r="M1135" t="s">
        <v>297</v>
      </c>
      <c r="N1135" t="s">
        <v>276</v>
      </c>
      <c r="P1135" t="s">
        <v>260</v>
      </c>
      <c r="Q1135" t="s">
        <v>260</v>
      </c>
      <c r="R1135" t="s">
        <v>283</v>
      </c>
      <c r="S1135" t="s">
        <v>21</v>
      </c>
      <c r="T1135">
        <v>100</v>
      </c>
      <c r="W1135" t="s">
        <v>262</v>
      </c>
    </row>
    <row r="1136" spans="1:23" x14ac:dyDescent="0.3">
      <c r="A1136" t="s">
        <v>21</v>
      </c>
      <c r="B1136" t="s">
        <v>3410</v>
      </c>
      <c r="C1136" t="s">
        <v>270</v>
      </c>
      <c r="D1136" t="s">
        <v>3411</v>
      </c>
      <c r="E1136" t="s">
        <v>3411</v>
      </c>
      <c r="M1136" t="s">
        <v>394</v>
      </c>
      <c r="N1136" t="s">
        <v>276</v>
      </c>
      <c r="P1136" t="s">
        <v>260</v>
      </c>
      <c r="Q1136" t="s">
        <v>260</v>
      </c>
      <c r="R1136" t="s">
        <v>283</v>
      </c>
      <c r="S1136" t="s">
        <v>21</v>
      </c>
      <c r="T1136">
        <v>100</v>
      </c>
      <c r="W1136" t="s">
        <v>262</v>
      </c>
    </row>
    <row r="1137" spans="1:23" x14ac:dyDescent="0.3">
      <c r="A1137" t="s">
        <v>21</v>
      </c>
      <c r="B1137" t="s">
        <v>3412</v>
      </c>
      <c r="C1137" t="s">
        <v>270</v>
      </c>
      <c r="D1137" t="s">
        <v>3413</v>
      </c>
      <c r="E1137" t="s">
        <v>3413</v>
      </c>
      <c r="M1137" t="s">
        <v>394</v>
      </c>
      <c r="N1137" t="s">
        <v>276</v>
      </c>
      <c r="P1137" t="s">
        <v>260</v>
      </c>
      <c r="Q1137" t="s">
        <v>260</v>
      </c>
      <c r="R1137" t="s">
        <v>283</v>
      </c>
      <c r="S1137" t="s">
        <v>21</v>
      </c>
      <c r="T1137">
        <v>100</v>
      </c>
      <c r="W1137" t="s">
        <v>262</v>
      </c>
    </row>
    <row r="1138" spans="1:23" x14ac:dyDescent="0.3">
      <c r="A1138" t="s">
        <v>21</v>
      </c>
      <c r="B1138" t="s">
        <v>3414</v>
      </c>
      <c r="C1138" t="s">
        <v>270</v>
      </c>
      <c r="D1138" t="s">
        <v>3415</v>
      </c>
      <c r="E1138" t="s">
        <v>3415</v>
      </c>
      <c r="M1138" t="s">
        <v>394</v>
      </c>
      <c r="N1138" t="s">
        <v>276</v>
      </c>
      <c r="P1138" t="s">
        <v>260</v>
      </c>
      <c r="Q1138" t="s">
        <v>260</v>
      </c>
      <c r="R1138" t="s">
        <v>283</v>
      </c>
      <c r="S1138" t="s">
        <v>21</v>
      </c>
      <c r="T1138">
        <v>100</v>
      </c>
      <c r="W1138" t="s">
        <v>262</v>
      </c>
    </row>
    <row r="1139" spans="1:23" x14ac:dyDescent="0.3">
      <c r="A1139" t="s">
        <v>21</v>
      </c>
      <c r="B1139" t="s">
        <v>3416</v>
      </c>
      <c r="C1139" t="s">
        <v>270</v>
      </c>
      <c r="D1139" t="s">
        <v>3417</v>
      </c>
      <c r="E1139" t="s">
        <v>3417</v>
      </c>
      <c r="M1139" t="s">
        <v>394</v>
      </c>
      <c r="N1139" t="s">
        <v>276</v>
      </c>
      <c r="P1139" t="s">
        <v>260</v>
      </c>
      <c r="Q1139" t="s">
        <v>260</v>
      </c>
      <c r="R1139" t="s">
        <v>283</v>
      </c>
      <c r="S1139" t="s">
        <v>21</v>
      </c>
      <c r="T1139">
        <v>100</v>
      </c>
      <c r="W1139" t="s">
        <v>262</v>
      </c>
    </row>
    <row r="1140" spans="1:23" x14ac:dyDescent="0.3">
      <c r="A1140" t="s">
        <v>21</v>
      </c>
      <c r="B1140" t="s">
        <v>3418</v>
      </c>
      <c r="C1140" t="s">
        <v>270</v>
      </c>
      <c r="D1140" t="s">
        <v>3419</v>
      </c>
      <c r="E1140" t="s">
        <v>3419</v>
      </c>
      <c r="M1140" t="s">
        <v>394</v>
      </c>
      <c r="N1140" t="s">
        <v>276</v>
      </c>
      <c r="P1140" t="s">
        <v>260</v>
      </c>
      <c r="Q1140" t="s">
        <v>260</v>
      </c>
      <c r="R1140" t="s">
        <v>283</v>
      </c>
      <c r="S1140" t="s">
        <v>21</v>
      </c>
      <c r="T1140">
        <v>100</v>
      </c>
      <c r="W1140" t="s">
        <v>262</v>
      </c>
    </row>
    <row r="1141" spans="1:23" x14ac:dyDescent="0.3">
      <c r="A1141" t="s">
        <v>21</v>
      </c>
      <c r="B1141" t="s">
        <v>3420</v>
      </c>
      <c r="C1141" t="s">
        <v>270</v>
      </c>
      <c r="D1141" t="s">
        <v>3421</v>
      </c>
      <c r="E1141" t="s">
        <v>3421</v>
      </c>
      <c r="F1141" t="s">
        <v>3421</v>
      </c>
      <c r="M1141" t="s">
        <v>297</v>
      </c>
      <c r="N1141" t="s">
        <v>276</v>
      </c>
      <c r="P1141" t="s">
        <v>260</v>
      </c>
      <c r="Q1141" t="s">
        <v>260</v>
      </c>
      <c r="R1141" t="s">
        <v>283</v>
      </c>
      <c r="S1141" t="s">
        <v>21</v>
      </c>
      <c r="T1141">
        <v>100</v>
      </c>
      <c r="W1141" t="s">
        <v>262</v>
      </c>
    </row>
    <row r="1142" spans="1:23" x14ac:dyDescent="0.3">
      <c r="A1142" t="s">
        <v>21</v>
      </c>
      <c r="B1142" t="s">
        <v>3422</v>
      </c>
      <c r="C1142" t="s">
        <v>270</v>
      </c>
      <c r="D1142" t="s">
        <v>3423</v>
      </c>
      <c r="E1142" t="s">
        <v>3423</v>
      </c>
      <c r="M1142" t="s">
        <v>394</v>
      </c>
      <c r="N1142" t="s">
        <v>276</v>
      </c>
      <c r="P1142" t="s">
        <v>260</v>
      </c>
      <c r="Q1142" t="s">
        <v>260</v>
      </c>
      <c r="R1142" t="s">
        <v>283</v>
      </c>
      <c r="S1142" t="s">
        <v>21</v>
      </c>
      <c r="T1142">
        <v>100</v>
      </c>
      <c r="W1142" t="s">
        <v>262</v>
      </c>
    </row>
    <row r="1143" spans="1:23" x14ac:dyDescent="0.3">
      <c r="A1143" t="s">
        <v>21</v>
      </c>
      <c r="B1143" t="s">
        <v>3424</v>
      </c>
      <c r="C1143" t="s">
        <v>270</v>
      </c>
      <c r="D1143" t="s">
        <v>3425</v>
      </c>
      <c r="E1143" t="s">
        <v>3425</v>
      </c>
      <c r="M1143" t="s">
        <v>394</v>
      </c>
      <c r="N1143" t="s">
        <v>276</v>
      </c>
      <c r="P1143" t="s">
        <v>260</v>
      </c>
      <c r="Q1143" t="s">
        <v>260</v>
      </c>
      <c r="R1143" t="s">
        <v>283</v>
      </c>
      <c r="S1143" t="s">
        <v>21</v>
      </c>
      <c r="T1143">
        <v>100</v>
      </c>
      <c r="W1143" t="s">
        <v>262</v>
      </c>
    </row>
    <row r="1144" spans="1:23" x14ac:dyDescent="0.3">
      <c r="A1144" t="s">
        <v>21</v>
      </c>
      <c r="B1144" t="s">
        <v>3426</v>
      </c>
      <c r="C1144" t="s">
        <v>270</v>
      </c>
      <c r="D1144" t="s">
        <v>3427</v>
      </c>
      <c r="E1144" t="s">
        <v>3427</v>
      </c>
      <c r="M1144" t="s">
        <v>394</v>
      </c>
      <c r="N1144" t="s">
        <v>276</v>
      </c>
      <c r="P1144" t="s">
        <v>260</v>
      </c>
      <c r="Q1144" t="s">
        <v>260</v>
      </c>
      <c r="R1144" t="s">
        <v>283</v>
      </c>
      <c r="S1144" t="s">
        <v>21</v>
      </c>
      <c r="T1144">
        <v>100</v>
      </c>
      <c r="W1144" t="s">
        <v>262</v>
      </c>
    </row>
    <row r="1145" spans="1:23" x14ac:dyDescent="0.3">
      <c r="A1145" t="s">
        <v>21</v>
      </c>
      <c r="B1145" t="s">
        <v>3428</v>
      </c>
      <c r="C1145" t="s">
        <v>270</v>
      </c>
      <c r="D1145" t="s">
        <v>3429</v>
      </c>
      <c r="E1145" t="s">
        <v>3429</v>
      </c>
      <c r="M1145" t="s">
        <v>394</v>
      </c>
      <c r="N1145" t="s">
        <v>276</v>
      </c>
      <c r="P1145" t="s">
        <v>260</v>
      </c>
      <c r="Q1145" t="s">
        <v>260</v>
      </c>
      <c r="R1145" t="s">
        <v>283</v>
      </c>
      <c r="S1145" t="s">
        <v>21</v>
      </c>
      <c r="T1145">
        <v>100</v>
      </c>
      <c r="W1145" t="s">
        <v>262</v>
      </c>
    </row>
    <row r="1146" spans="1:23" x14ac:dyDescent="0.3">
      <c r="A1146" t="s">
        <v>21</v>
      </c>
      <c r="B1146" t="s">
        <v>3430</v>
      </c>
      <c r="C1146" t="s">
        <v>270</v>
      </c>
      <c r="D1146" t="s">
        <v>3431</v>
      </c>
      <c r="E1146" t="s">
        <v>3431</v>
      </c>
      <c r="F1146" t="s">
        <v>3431</v>
      </c>
      <c r="M1146" t="s">
        <v>297</v>
      </c>
      <c r="N1146" t="s">
        <v>276</v>
      </c>
      <c r="P1146" t="s">
        <v>260</v>
      </c>
      <c r="Q1146" t="s">
        <v>260</v>
      </c>
      <c r="R1146" t="s">
        <v>283</v>
      </c>
      <c r="S1146" t="s">
        <v>21</v>
      </c>
      <c r="T1146">
        <v>100</v>
      </c>
      <c r="W1146" t="s">
        <v>262</v>
      </c>
    </row>
    <row r="1147" spans="1:23" x14ac:dyDescent="0.3">
      <c r="A1147" t="s">
        <v>21</v>
      </c>
      <c r="B1147" t="s">
        <v>3432</v>
      </c>
      <c r="C1147" t="s">
        <v>270</v>
      </c>
      <c r="D1147" t="s">
        <v>3433</v>
      </c>
      <c r="E1147" t="s">
        <v>3433</v>
      </c>
      <c r="F1147" t="s">
        <v>3433</v>
      </c>
      <c r="M1147" t="s">
        <v>297</v>
      </c>
      <c r="N1147" t="s">
        <v>276</v>
      </c>
      <c r="P1147" t="s">
        <v>260</v>
      </c>
      <c r="Q1147" t="s">
        <v>260</v>
      </c>
      <c r="R1147" t="s">
        <v>283</v>
      </c>
      <c r="S1147" t="s">
        <v>21</v>
      </c>
      <c r="T1147">
        <v>100</v>
      </c>
      <c r="W1147" t="s">
        <v>262</v>
      </c>
    </row>
    <row r="1148" spans="1:23" x14ac:dyDescent="0.3">
      <c r="A1148" t="s">
        <v>21</v>
      </c>
      <c r="B1148" t="s">
        <v>3434</v>
      </c>
      <c r="C1148" t="s">
        <v>270</v>
      </c>
      <c r="D1148" t="s">
        <v>3435</v>
      </c>
      <c r="E1148" t="s">
        <v>3435</v>
      </c>
      <c r="M1148" t="s">
        <v>394</v>
      </c>
      <c r="N1148" t="s">
        <v>276</v>
      </c>
      <c r="P1148" t="s">
        <v>260</v>
      </c>
      <c r="Q1148" t="s">
        <v>260</v>
      </c>
      <c r="R1148" t="s">
        <v>283</v>
      </c>
      <c r="S1148" t="s">
        <v>21</v>
      </c>
      <c r="T1148">
        <v>100</v>
      </c>
      <c r="W1148" t="s">
        <v>262</v>
      </c>
    </row>
    <row r="1149" spans="1:23" x14ac:dyDescent="0.3">
      <c r="A1149" t="s">
        <v>21</v>
      </c>
      <c r="B1149" t="s">
        <v>3436</v>
      </c>
      <c r="C1149" t="s">
        <v>270</v>
      </c>
      <c r="D1149" t="s">
        <v>3437</v>
      </c>
      <c r="E1149" t="s">
        <v>3437</v>
      </c>
      <c r="M1149" t="s">
        <v>394</v>
      </c>
      <c r="N1149" t="s">
        <v>276</v>
      </c>
      <c r="P1149" t="s">
        <v>260</v>
      </c>
      <c r="Q1149" t="s">
        <v>260</v>
      </c>
      <c r="R1149" t="s">
        <v>283</v>
      </c>
      <c r="S1149" t="s">
        <v>21</v>
      </c>
      <c r="T1149">
        <v>100</v>
      </c>
      <c r="W1149" t="s">
        <v>262</v>
      </c>
    </row>
    <row r="1150" spans="1:23" x14ac:dyDescent="0.3">
      <c r="A1150" t="s">
        <v>21</v>
      </c>
      <c r="B1150" t="s">
        <v>3438</v>
      </c>
      <c r="C1150" t="s">
        <v>270</v>
      </c>
      <c r="D1150" t="s">
        <v>3439</v>
      </c>
      <c r="E1150" t="s">
        <v>3439</v>
      </c>
      <c r="M1150" t="s">
        <v>394</v>
      </c>
      <c r="N1150" t="s">
        <v>276</v>
      </c>
      <c r="P1150" t="s">
        <v>260</v>
      </c>
      <c r="Q1150" t="s">
        <v>260</v>
      </c>
      <c r="R1150" t="s">
        <v>283</v>
      </c>
      <c r="S1150" t="s">
        <v>21</v>
      </c>
      <c r="T1150">
        <v>100</v>
      </c>
      <c r="W1150" t="s">
        <v>262</v>
      </c>
    </row>
    <row r="1151" spans="1:23" x14ac:dyDescent="0.3">
      <c r="A1151" t="s">
        <v>21</v>
      </c>
      <c r="B1151" t="s">
        <v>3440</v>
      </c>
      <c r="C1151" t="s">
        <v>270</v>
      </c>
      <c r="D1151" t="s">
        <v>3441</v>
      </c>
      <c r="E1151" t="s">
        <v>3441</v>
      </c>
      <c r="M1151" t="s">
        <v>394</v>
      </c>
      <c r="N1151" t="s">
        <v>276</v>
      </c>
      <c r="P1151" t="s">
        <v>260</v>
      </c>
      <c r="Q1151" t="s">
        <v>260</v>
      </c>
      <c r="R1151" t="s">
        <v>283</v>
      </c>
      <c r="S1151" t="s">
        <v>21</v>
      </c>
      <c r="T1151">
        <v>100</v>
      </c>
      <c r="W1151" t="s">
        <v>262</v>
      </c>
    </row>
    <row r="1152" spans="1:23" x14ac:dyDescent="0.3">
      <c r="A1152" t="s">
        <v>21</v>
      </c>
      <c r="B1152" t="s">
        <v>3442</v>
      </c>
      <c r="C1152" t="s">
        <v>270</v>
      </c>
      <c r="D1152" t="s">
        <v>3443</v>
      </c>
      <c r="E1152" t="s">
        <v>3443</v>
      </c>
      <c r="M1152" t="s">
        <v>394</v>
      </c>
      <c r="N1152" t="s">
        <v>276</v>
      </c>
      <c r="P1152" t="s">
        <v>260</v>
      </c>
      <c r="Q1152" t="s">
        <v>260</v>
      </c>
      <c r="R1152" t="s">
        <v>283</v>
      </c>
      <c r="S1152" t="s">
        <v>21</v>
      </c>
      <c r="T1152">
        <v>100</v>
      </c>
      <c r="W1152" t="s">
        <v>262</v>
      </c>
    </row>
    <row r="1153" spans="1:26" x14ac:dyDescent="0.3">
      <c r="A1153" t="s">
        <v>21</v>
      </c>
      <c r="B1153" t="s">
        <v>3444</v>
      </c>
      <c r="C1153" t="s">
        <v>270</v>
      </c>
      <c r="D1153" t="s">
        <v>444</v>
      </c>
      <c r="E1153" t="s">
        <v>3445</v>
      </c>
      <c r="F1153" t="s">
        <v>3445</v>
      </c>
      <c r="M1153" t="s">
        <v>403</v>
      </c>
      <c r="N1153" t="s">
        <v>276</v>
      </c>
      <c r="P1153" t="s">
        <v>260</v>
      </c>
      <c r="Q1153" t="s">
        <v>260</v>
      </c>
      <c r="R1153" t="s">
        <v>261</v>
      </c>
      <c r="S1153" t="s">
        <v>21</v>
      </c>
      <c r="T1153">
        <v>100</v>
      </c>
      <c r="W1153" t="s">
        <v>262</v>
      </c>
    </row>
    <row r="1154" spans="1:26" x14ac:dyDescent="0.3">
      <c r="A1154" t="s">
        <v>21</v>
      </c>
      <c r="B1154" t="s">
        <v>3446</v>
      </c>
      <c r="C1154" t="s">
        <v>270</v>
      </c>
      <c r="D1154" t="s">
        <v>3447</v>
      </c>
      <c r="E1154" t="s">
        <v>3447</v>
      </c>
      <c r="M1154" t="s">
        <v>411</v>
      </c>
      <c r="N1154" t="s">
        <v>259</v>
      </c>
      <c r="P1154" t="s">
        <v>260</v>
      </c>
      <c r="Q1154" t="s">
        <v>260</v>
      </c>
      <c r="R1154" t="s">
        <v>283</v>
      </c>
      <c r="S1154" t="s">
        <v>21</v>
      </c>
      <c r="T1154">
        <v>100</v>
      </c>
      <c r="W1154" t="s">
        <v>262</v>
      </c>
    </row>
    <row r="1155" spans="1:26" x14ac:dyDescent="0.3">
      <c r="A1155" t="s">
        <v>21</v>
      </c>
      <c r="B1155" t="s">
        <v>3448</v>
      </c>
      <c r="C1155" t="s">
        <v>528</v>
      </c>
      <c r="D1155" t="s">
        <v>843</v>
      </c>
      <c r="E1155" t="s">
        <v>3449</v>
      </c>
      <c r="G1155" t="s">
        <v>3450</v>
      </c>
      <c r="M1155" t="s">
        <v>503</v>
      </c>
      <c r="N1155" t="s">
        <v>259</v>
      </c>
      <c r="P1155" t="s">
        <v>260</v>
      </c>
      <c r="Q1155" t="s">
        <v>260</v>
      </c>
      <c r="R1155" t="s">
        <v>313</v>
      </c>
      <c r="S1155" t="s">
        <v>21</v>
      </c>
      <c r="T1155">
        <v>100</v>
      </c>
      <c r="V1155" s="9">
        <v>45107</v>
      </c>
      <c r="W1155" t="s">
        <v>262</v>
      </c>
      <c r="Z1155">
        <v>310</v>
      </c>
    </row>
    <row r="1156" spans="1:26" x14ac:dyDescent="0.3">
      <c r="A1156" t="s">
        <v>21</v>
      </c>
      <c r="B1156" t="s">
        <v>3451</v>
      </c>
      <c r="C1156" t="s">
        <v>528</v>
      </c>
      <c r="D1156" t="s">
        <v>3452</v>
      </c>
      <c r="E1156" t="s">
        <v>3453</v>
      </c>
      <c r="M1156" t="s">
        <v>312</v>
      </c>
      <c r="N1156" t="s">
        <v>259</v>
      </c>
      <c r="P1156" t="s">
        <v>260</v>
      </c>
      <c r="Q1156" t="s">
        <v>260</v>
      </c>
      <c r="R1156" t="s">
        <v>293</v>
      </c>
      <c r="S1156" t="s">
        <v>21</v>
      </c>
      <c r="T1156">
        <v>100</v>
      </c>
      <c r="W1156" t="s">
        <v>262</v>
      </c>
    </row>
    <row r="1157" spans="1:26" x14ac:dyDescent="0.3">
      <c r="A1157" t="s">
        <v>21</v>
      </c>
      <c r="B1157" t="s">
        <v>3454</v>
      </c>
      <c r="C1157" t="s">
        <v>528</v>
      </c>
      <c r="D1157" t="s">
        <v>3455</v>
      </c>
      <c r="E1157" t="s">
        <v>3455</v>
      </c>
      <c r="M1157" t="s">
        <v>411</v>
      </c>
      <c r="N1157" t="s">
        <v>259</v>
      </c>
      <c r="P1157" t="s">
        <v>260</v>
      </c>
      <c r="Q1157" t="s">
        <v>260</v>
      </c>
      <c r="R1157" t="s">
        <v>293</v>
      </c>
      <c r="S1157" t="s">
        <v>21</v>
      </c>
      <c r="T1157">
        <v>100</v>
      </c>
      <c r="W1157" t="s">
        <v>262</v>
      </c>
    </row>
    <row r="1158" spans="1:26" x14ac:dyDescent="0.3">
      <c r="A1158" t="s">
        <v>21</v>
      </c>
      <c r="B1158" t="s">
        <v>3456</v>
      </c>
      <c r="C1158" t="s">
        <v>528</v>
      </c>
      <c r="D1158" t="s">
        <v>3457</v>
      </c>
      <c r="E1158" t="s">
        <v>3457</v>
      </c>
      <c r="M1158" t="s">
        <v>411</v>
      </c>
      <c r="N1158" t="s">
        <v>259</v>
      </c>
      <c r="P1158" t="s">
        <v>260</v>
      </c>
      <c r="Q1158" t="s">
        <v>260</v>
      </c>
      <c r="R1158" t="s">
        <v>293</v>
      </c>
      <c r="S1158" t="s">
        <v>21</v>
      </c>
      <c r="T1158">
        <v>100</v>
      </c>
      <c r="W1158" t="s">
        <v>262</v>
      </c>
    </row>
    <row r="1159" spans="1:26" x14ac:dyDescent="0.3">
      <c r="A1159" t="s">
        <v>21</v>
      </c>
      <c r="B1159" t="s">
        <v>3458</v>
      </c>
      <c r="C1159" t="s">
        <v>528</v>
      </c>
      <c r="D1159" t="s">
        <v>3459</v>
      </c>
      <c r="E1159" t="s">
        <v>3460</v>
      </c>
      <c r="G1159" t="s">
        <v>3461</v>
      </c>
      <c r="M1159" t="s">
        <v>312</v>
      </c>
      <c r="N1159" t="s">
        <v>259</v>
      </c>
      <c r="P1159" t="s">
        <v>260</v>
      </c>
      <c r="Q1159" t="s">
        <v>260</v>
      </c>
      <c r="R1159" t="s">
        <v>293</v>
      </c>
      <c r="S1159" t="s">
        <v>21</v>
      </c>
      <c r="T1159">
        <v>100</v>
      </c>
      <c r="W1159" t="s">
        <v>262</v>
      </c>
    </row>
    <row r="1160" spans="1:26" x14ac:dyDescent="0.3">
      <c r="A1160" t="s">
        <v>21</v>
      </c>
      <c r="B1160" t="s">
        <v>3462</v>
      </c>
      <c r="C1160" t="s">
        <v>528</v>
      </c>
      <c r="D1160" t="s">
        <v>3463</v>
      </c>
      <c r="E1160" t="s">
        <v>3463</v>
      </c>
      <c r="M1160" t="s">
        <v>411</v>
      </c>
      <c r="N1160" t="s">
        <v>259</v>
      </c>
      <c r="P1160" t="s">
        <v>260</v>
      </c>
      <c r="Q1160" t="s">
        <v>260</v>
      </c>
      <c r="R1160" t="s">
        <v>293</v>
      </c>
      <c r="S1160" t="s">
        <v>21</v>
      </c>
      <c r="T1160">
        <v>100</v>
      </c>
      <c r="W1160" t="s">
        <v>262</v>
      </c>
    </row>
    <row r="1161" spans="1:26" x14ac:dyDescent="0.3">
      <c r="A1161" t="s">
        <v>21</v>
      </c>
      <c r="B1161" t="s">
        <v>3464</v>
      </c>
      <c r="C1161" t="s">
        <v>528</v>
      </c>
      <c r="D1161" t="s">
        <v>3465</v>
      </c>
      <c r="E1161" t="s">
        <v>3465</v>
      </c>
      <c r="M1161" t="s">
        <v>411</v>
      </c>
      <c r="N1161" t="s">
        <v>259</v>
      </c>
      <c r="P1161" t="s">
        <v>260</v>
      </c>
      <c r="Q1161" t="s">
        <v>260</v>
      </c>
      <c r="R1161" t="s">
        <v>1625</v>
      </c>
      <c r="S1161" t="s">
        <v>21</v>
      </c>
      <c r="T1161">
        <v>100</v>
      </c>
      <c r="W1161" t="s">
        <v>262</v>
      </c>
    </row>
    <row r="1162" spans="1:26" x14ac:dyDescent="0.3">
      <c r="A1162" t="s">
        <v>21</v>
      </c>
      <c r="B1162" t="s">
        <v>3466</v>
      </c>
      <c r="C1162" t="s">
        <v>528</v>
      </c>
      <c r="D1162" t="s">
        <v>3467</v>
      </c>
      <c r="E1162" t="s">
        <v>3467</v>
      </c>
      <c r="M1162" t="s">
        <v>411</v>
      </c>
      <c r="N1162" t="s">
        <v>259</v>
      </c>
      <c r="P1162" t="s">
        <v>260</v>
      </c>
      <c r="Q1162" t="s">
        <v>260</v>
      </c>
      <c r="R1162" t="s">
        <v>308</v>
      </c>
      <c r="S1162" t="s">
        <v>21</v>
      </c>
      <c r="T1162">
        <v>100</v>
      </c>
      <c r="W1162" t="s">
        <v>262</v>
      </c>
    </row>
    <row r="1163" spans="1:26" x14ac:dyDescent="0.3">
      <c r="A1163" t="s">
        <v>21</v>
      </c>
      <c r="B1163" t="s">
        <v>3468</v>
      </c>
      <c r="C1163" t="s">
        <v>528</v>
      </c>
      <c r="D1163" t="s">
        <v>3469</v>
      </c>
      <c r="E1163" t="s">
        <v>3469</v>
      </c>
      <c r="M1163" t="s">
        <v>411</v>
      </c>
      <c r="N1163" t="s">
        <v>259</v>
      </c>
      <c r="P1163" t="s">
        <v>260</v>
      </c>
      <c r="Q1163" t="s">
        <v>260</v>
      </c>
      <c r="R1163" t="s">
        <v>283</v>
      </c>
      <c r="S1163" t="s">
        <v>21</v>
      </c>
      <c r="T1163">
        <v>100</v>
      </c>
      <c r="W1163" t="s">
        <v>262</v>
      </c>
    </row>
    <row r="1164" spans="1:26" x14ac:dyDescent="0.3">
      <c r="A1164" t="s">
        <v>21</v>
      </c>
      <c r="B1164" t="s">
        <v>3470</v>
      </c>
      <c r="C1164" t="s">
        <v>528</v>
      </c>
      <c r="D1164" t="s">
        <v>3471</v>
      </c>
      <c r="E1164" t="s">
        <v>3471</v>
      </c>
      <c r="M1164" t="s">
        <v>411</v>
      </c>
      <c r="N1164" t="s">
        <v>259</v>
      </c>
      <c r="P1164" t="s">
        <v>260</v>
      </c>
      <c r="Q1164" t="s">
        <v>260</v>
      </c>
      <c r="R1164" t="s">
        <v>283</v>
      </c>
      <c r="S1164" t="s">
        <v>21</v>
      </c>
      <c r="T1164">
        <v>100</v>
      </c>
      <c r="W1164" t="s">
        <v>262</v>
      </c>
    </row>
    <row r="1165" spans="1:26" x14ac:dyDescent="0.3">
      <c r="A1165" t="s">
        <v>21</v>
      </c>
      <c r="B1165" t="s">
        <v>3472</v>
      </c>
      <c r="C1165" t="s">
        <v>528</v>
      </c>
      <c r="D1165" t="s">
        <v>3473</v>
      </c>
      <c r="E1165" t="s">
        <v>3473</v>
      </c>
      <c r="M1165" t="s">
        <v>411</v>
      </c>
      <c r="N1165" t="s">
        <v>259</v>
      </c>
      <c r="P1165" t="s">
        <v>260</v>
      </c>
      <c r="Q1165" t="s">
        <v>260</v>
      </c>
      <c r="R1165" t="s">
        <v>283</v>
      </c>
      <c r="S1165" t="s">
        <v>21</v>
      </c>
      <c r="T1165">
        <v>100</v>
      </c>
      <c r="W1165" t="s">
        <v>262</v>
      </c>
    </row>
    <row r="1166" spans="1:26" x14ac:dyDescent="0.3">
      <c r="A1166" t="s">
        <v>21</v>
      </c>
      <c r="B1166" t="s">
        <v>3474</v>
      </c>
      <c r="C1166" t="s">
        <v>528</v>
      </c>
      <c r="D1166" t="s">
        <v>3475</v>
      </c>
      <c r="E1166" t="s">
        <v>3475</v>
      </c>
      <c r="M1166" t="s">
        <v>411</v>
      </c>
      <c r="N1166" t="s">
        <v>259</v>
      </c>
      <c r="P1166" t="s">
        <v>260</v>
      </c>
      <c r="Q1166" t="s">
        <v>260</v>
      </c>
      <c r="R1166" t="s">
        <v>283</v>
      </c>
      <c r="S1166" t="s">
        <v>21</v>
      </c>
      <c r="T1166">
        <v>100</v>
      </c>
      <c r="W1166" t="s">
        <v>262</v>
      </c>
    </row>
    <row r="1167" spans="1:26" x14ac:dyDescent="0.3">
      <c r="A1167" t="s">
        <v>21</v>
      </c>
      <c r="B1167" t="s">
        <v>3476</v>
      </c>
      <c r="C1167" t="s">
        <v>528</v>
      </c>
      <c r="D1167" t="s">
        <v>3477</v>
      </c>
      <c r="E1167" t="s">
        <v>3477</v>
      </c>
      <c r="M1167" t="s">
        <v>411</v>
      </c>
      <c r="N1167" t="s">
        <v>259</v>
      </c>
      <c r="P1167" t="s">
        <v>260</v>
      </c>
      <c r="Q1167" t="s">
        <v>260</v>
      </c>
      <c r="R1167" t="s">
        <v>283</v>
      </c>
      <c r="S1167" t="s">
        <v>21</v>
      </c>
      <c r="T1167">
        <v>100</v>
      </c>
      <c r="W1167" t="s">
        <v>262</v>
      </c>
    </row>
    <row r="1168" spans="1:26" x14ac:dyDescent="0.3">
      <c r="A1168" t="s">
        <v>21</v>
      </c>
      <c r="B1168" t="s">
        <v>3478</v>
      </c>
      <c r="C1168" t="s">
        <v>528</v>
      </c>
      <c r="D1168" t="s">
        <v>3479</v>
      </c>
      <c r="E1168" t="s">
        <v>3479</v>
      </c>
      <c r="M1168" t="s">
        <v>411</v>
      </c>
      <c r="N1168" t="s">
        <v>259</v>
      </c>
      <c r="P1168" t="s">
        <v>260</v>
      </c>
      <c r="Q1168" t="s">
        <v>260</v>
      </c>
      <c r="R1168" t="s">
        <v>283</v>
      </c>
      <c r="S1168" t="s">
        <v>21</v>
      </c>
      <c r="T1168">
        <v>100</v>
      </c>
      <c r="W1168" t="s">
        <v>262</v>
      </c>
    </row>
    <row r="1169" spans="1:23" x14ac:dyDescent="0.3">
      <c r="A1169" t="s">
        <v>21</v>
      </c>
      <c r="B1169" t="s">
        <v>3480</v>
      </c>
      <c r="C1169" t="s">
        <v>528</v>
      </c>
      <c r="D1169" t="s">
        <v>3481</v>
      </c>
      <c r="E1169" t="s">
        <v>3481</v>
      </c>
      <c r="M1169" t="s">
        <v>411</v>
      </c>
      <c r="N1169" t="s">
        <v>259</v>
      </c>
      <c r="P1169" t="s">
        <v>260</v>
      </c>
      <c r="Q1169" t="s">
        <v>260</v>
      </c>
      <c r="R1169" t="s">
        <v>283</v>
      </c>
      <c r="S1169" t="s">
        <v>21</v>
      </c>
      <c r="T1169">
        <v>100</v>
      </c>
      <c r="W1169" t="s">
        <v>262</v>
      </c>
    </row>
    <row r="1170" spans="1:23" x14ac:dyDescent="0.3">
      <c r="A1170" t="s">
        <v>21</v>
      </c>
      <c r="B1170" t="s">
        <v>3482</v>
      </c>
      <c r="C1170" t="s">
        <v>528</v>
      </c>
      <c r="D1170" t="s">
        <v>3483</v>
      </c>
      <c r="E1170" t="s">
        <v>3483</v>
      </c>
      <c r="M1170" t="s">
        <v>411</v>
      </c>
      <c r="N1170" t="s">
        <v>259</v>
      </c>
      <c r="P1170" t="s">
        <v>260</v>
      </c>
      <c r="Q1170" t="s">
        <v>260</v>
      </c>
      <c r="R1170" t="s">
        <v>283</v>
      </c>
      <c r="S1170" t="s">
        <v>21</v>
      </c>
      <c r="T1170">
        <v>100</v>
      </c>
      <c r="W1170" t="s">
        <v>262</v>
      </c>
    </row>
    <row r="1171" spans="1:23" x14ac:dyDescent="0.3">
      <c r="A1171" t="s">
        <v>21</v>
      </c>
      <c r="B1171" t="s">
        <v>3484</v>
      </c>
      <c r="C1171" t="s">
        <v>528</v>
      </c>
      <c r="D1171" t="s">
        <v>3485</v>
      </c>
      <c r="E1171" t="s">
        <v>3485</v>
      </c>
      <c r="G1171" t="s">
        <v>3486</v>
      </c>
      <c r="M1171" t="s">
        <v>411</v>
      </c>
      <c r="N1171" t="s">
        <v>259</v>
      </c>
      <c r="P1171" t="s">
        <v>260</v>
      </c>
      <c r="Q1171" t="s">
        <v>260</v>
      </c>
      <c r="R1171" t="s">
        <v>283</v>
      </c>
      <c r="S1171" t="s">
        <v>21</v>
      </c>
      <c r="T1171">
        <v>100</v>
      </c>
      <c r="W1171" t="s">
        <v>262</v>
      </c>
    </row>
    <row r="1172" spans="1:23" x14ac:dyDescent="0.3">
      <c r="A1172" t="s">
        <v>21</v>
      </c>
      <c r="B1172" t="s">
        <v>3487</v>
      </c>
      <c r="C1172" t="s">
        <v>528</v>
      </c>
      <c r="D1172" t="s">
        <v>3488</v>
      </c>
      <c r="E1172" t="s">
        <v>3488</v>
      </c>
      <c r="G1172" t="s">
        <v>3489</v>
      </c>
      <c r="M1172" t="s">
        <v>411</v>
      </c>
      <c r="N1172" t="s">
        <v>259</v>
      </c>
      <c r="P1172" t="s">
        <v>260</v>
      </c>
      <c r="Q1172" t="s">
        <v>260</v>
      </c>
      <c r="R1172" t="s">
        <v>283</v>
      </c>
      <c r="S1172" t="s">
        <v>21</v>
      </c>
      <c r="T1172">
        <v>100</v>
      </c>
      <c r="W1172" t="s">
        <v>262</v>
      </c>
    </row>
    <row r="1173" spans="1:23" x14ac:dyDescent="0.3">
      <c r="A1173" t="s">
        <v>21</v>
      </c>
      <c r="B1173" t="s">
        <v>3490</v>
      </c>
      <c r="C1173" t="s">
        <v>528</v>
      </c>
      <c r="D1173" t="s">
        <v>3491</v>
      </c>
      <c r="E1173" t="s">
        <v>3491</v>
      </c>
      <c r="G1173" t="s">
        <v>3492</v>
      </c>
      <c r="M1173" t="s">
        <v>411</v>
      </c>
      <c r="N1173" t="s">
        <v>259</v>
      </c>
      <c r="P1173" t="s">
        <v>260</v>
      </c>
      <c r="Q1173" t="s">
        <v>260</v>
      </c>
      <c r="R1173" t="s">
        <v>283</v>
      </c>
      <c r="S1173" t="s">
        <v>21</v>
      </c>
      <c r="T1173">
        <v>100</v>
      </c>
      <c r="W1173" t="s">
        <v>262</v>
      </c>
    </row>
    <row r="1174" spans="1:23" x14ac:dyDescent="0.3">
      <c r="A1174" t="s">
        <v>21</v>
      </c>
      <c r="B1174" t="s">
        <v>3493</v>
      </c>
      <c r="C1174" t="s">
        <v>528</v>
      </c>
      <c r="D1174" t="s">
        <v>3494</v>
      </c>
      <c r="E1174" t="s">
        <v>3494</v>
      </c>
      <c r="G1174" t="s">
        <v>3495</v>
      </c>
      <c r="M1174" t="s">
        <v>411</v>
      </c>
      <c r="N1174" t="s">
        <v>259</v>
      </c>
      <c r="P1174" t="s">
        <v>260</v>
      </c>
      <c r="Q1174" t="s">
        <v>260</v>
      </c>
      <c r="R1174" t="s">
        <v>283</v>
      </c>
      <c r="S1174" t="s">
        <v>21</v>
      </c>
      <c r="T1174">
        <v>100</v>
      </c>
      <c r="W1174" t="s">
        <v>262</v>
      </c>
    </row>
    <row r="1175" spans="1:23" x14ac:dyDescent="0.3">
      <c r="A1175" t="s">
        <v>21</v>
      </c>
      <c r="B1175" t="s">
        <v>3496</v>
      </c>
      <c r="C1175" t="s">
        <v>528</v>
      </c>
      <c r="D1175" t="s">
        <v>3497</v>
      </c>
      <c r="E1175" t="s">
        <v>3498</v>
      </c>
      <c r="G1175" t="s">
        <v>3499</v>
      </c>
      <c r="M1175" t="s">
        <v>503</v>
      </c>
      <c r="N1175" t="s">
        <v>259</v>
      </c>
      <c r="P1175" t="s">
        <v>260</v>
      </c>
      <c r="Q1175" t="s">
        <v>260</v>
      </c>
      <c r="R1175" t="s">
        <v>283</v>
      </c>
      <c r="S1175" t="s">
        <v>21</v>
      </c>
      <c r="T1175">
        <v>100</v>
      </c>
      <c r="W1175" t="s">
        <v>262</v>
      </c>
    </row>
    <row r="1176" spans="1:23" x14ac:dyDescent="0.3">
      <c r="A1176" t="s">
        <v>21</v>
      </c>
      <c r="B1176" t="s">
        <v>3500</v>
      </c>
      <c r="C1176" t="s">
        <v>528</v>
      </c>
      <c r="D1176" t="s">
        <v>3501</v>
      </c>
      <c r="E1176" t="s">
        <v>3502</v>
      </c>
      <c r="G1176" t="s">
        <v>3503</v>
      </c>
      <c r="M1176" t="s">
        <v>503</v>
      </c>
      <c r="N1176" t="s">
        <v>259</v>
      </c>
      <c r="P1176" t="s">
        <v>260</v>
      </c>
      <c r="Q1176" t="s">
        <v>260</v>
      </c>
      <c r="R1176" t="s">
        <v>283</v>
      </c>
      <c r="S1176" t="s">
        <v>21</v>
      </c>
      <c r="T1176">
        <v>100</v>
      </c>
      <c r="W1176" t="s">
        <v>262</v>
      </c>
    </row>
    <row r="1177" spans="1:23" x14ac:dyDescent="0.3">
      <c r="A1177" t="s">
        <v>21</v>
      </c>
      <c r="B1177" t="s">
        <v>3504</v>
      </c>
      <c r="C1177" t="s">
        <v>528</v>
      </c>
      <c r="D1177" t="s">
        <v>3505</v>
      </c>
      <c r="E1177" t="s">
        <v>3506</v>
      </c>
      <c r="G1177" t="s">
        <v>3507</v>
      </c>
      <c r="M1177" t="s">
        <v>503</v>
      </c>
      <c r="N1177" t="s">
        <v>259</v>
      </c>
      <c r="P1177" t="s">
        <v>260</v>
      </c>
      <c r="Q1177" t="s">
        <v>260</v>
      </c>
      <c r="R1177" t="s">
        <v>283</v>
      </c>
      <c r="S1177" t="s">
        <v>21</v>
      </c>
      <c r="T1177">
        <v>100</v>
      </c>
      <c r="W1177" t="s">
        <v>262</v>
      </c>
    </row>
    <row r="1178" spans="1:23" x14ac:dyDescent="0.3">
      <c r="A1178" t="s">
        <v>21</v>
      </c>
      <c r="B1178" t="s">
        <v>3508</v>
      </c>
      <c r="C1178" t="s">
        <v>528</v>
      </c>
      <c r="D1178" t="s">
        <v>3509</v>
      </c>
      <c r="E1178" t="s">
        <v>3509</v>
      </c>
      <c r="G1178" t="s">
        <v>3510</v>
      </c>
      <c r="M1178" t="s">
        <v>411</v>
      </c>
      <c r="N1178" t="s">
        <v>259</v>
      </c>
      <c r="P1178" t="s">
        <v>260</v>
      </c>
      <c r="Q1178" t="s">
        <v>260</v>
      </c>
      <c r="R1178" t="s">
        <v>283</v>
      </c>
      <c r="S1178" t="s">
        <v>21</v>
      </c>
      <c r="T1178">
        <v>100</v>
      </c>
      <c r="W1178" t="s">
        <v>262</v>
      </c>
    </row>
    <row r="1179" spans="1:23" x14ac:dyDescent="0.3">
      <c r="A1179" t="s">
        <v>21</v>
      </c>
      <c r="B1179" t="s">
        <v>3511</v>
      </c>
      <c r="C1179" t="s">
        <v>528</v>
      </c>
      <c r="D1179" t="s">
        <v>3512</v>
      </c>
      <c r="E1179" t="s">
        <v>3512</v>
      </c>
      <c r="M1179" t="s">
        <v>411</v>
      </c>
      <c r="N1179" t="s">
        <v>259</v>
      </c>
      <c r="P1179" t="s">
        <v>260</v>
      </c>
      <c r="Q1179" t="s">
        <v>260</v>
      </c>
      <c r="R1179" t="s">
        <v>283</v>
      </c>
      <c r="S1179" t="s">
        <v>21</v>
      </c>
      <c r="T1179">
        <v>100</v>
      </c>
      <c r="W1179" t="s">
        <v>262</v>
      </c>
    </row>
    <row r="1180" spans="1:23" x14ac:dyDescent="0.3">
      <c r="A1180" t="s">
        <v>21</v>
      </c>
      <c r="B1180" t="s">
        <v>3513</v>
      </c>
      <c r="C1180" t="s">
        <v>528</v>
      </c>
      <c r="D1180" t="s">
        <v>3514</v>
      </c>
      <c r="E1180" t="s">
        <v>3514</v>
      </c>
      <c r="M1180" t="s">
        <v>312</v>
      </c>
      <c r="N1180" t="s">
        <v>259</v>
      </c>
      <c r="P1180" t="s">
        <v>260</v>
      </c>
      <c r="Q1180" t="s">
        <v>260</v>
      </c>
      <c r="R1180" t="s">
        <v>308</v>
      </c>
      <c r="S1180" t="s">
        <v>21</v>
      </c>
      <c r="T1180">
        <v>100</v>
      </c>
      <c r="V1180" s="9">
        <v>45199</v>
      </c>
      <c r="W1180" t="s">
        <v>262</v>
      </c>
    </row>
    <row r="1181" spans="1:23" x14ac:dyDescent="0.3">
      <c r="A1181" t="s">
        <v>21</v>
      </c>
      <c r="B1181" t="s">
        <v>3515</v>
      </c>
      <c r="C1181" t="s">
        <v>528</v>
      </c>
      <c r="D1181" t="s">
        <v>1785</v>
      </c>
      <c r="E1181" t="s">
        <v>1785</v>
      </c>
      <c r="M1181" t="s">
        <v>312</v>
      </c>
      <c r="N1181" t="s">
        <v>259</v>
      </c>
      <c r="P1181" t="s">
        <v>260</v>
      </c>
      <c r="Q1181" t="s">
        <v>260</v>
      </c>
      <c r="R1181" t="s">
        <v>513</v>
      </c>
      <c r="S1181" t="s">
        <v>21</v>
      </c>
      <c r="T1181">
        <v>100</v>
      </c>
      <c r="W1181" t="s">
        <v>262</v>
      </c>
    </row>
    <row r="1182" spans="1:23" x14ac:dyDescent="0.3">
      <c r="A1182" t="s">
        <v>21</v>
      </c>
      <c r="B1182" t="s">
        <v>3516</v>
      </c>
      <c r="C1182" t="s">
        <v>528</v>
      </c>
      <c r="D1182" t="s">
        <v>3517</v>
      </c>
      <c r="E1182" t="s">
        <v>3517</v>
      </c>
      <c r="M1182" t="s">
        <v>411</v>
      </c>
      <c r="N1182" t="s">
        <v>259</v>
      </c>
      <c r="P1182" t="s">
        <v>260</v>
      </c>
      <c r="Q1182" t="s">
        <v>260</v>
      </c>
      <c r="R1182" t="s">
        <v>513</v>
      </c>
      <c r="S1182" t="s">
        <v>21</v>
      </c>
      <c r="T1182">
        <v>100</v>
      </c>
      <c r="W1182" t="s">
        <v>262</v>
      </c>
    </row>
    <row r="1183" spans="1:23" x14ac:dyDescent="0.3">
      <c r="A1183" t="s">
        <v>21</v>
      </c>
      <c r="B1183" t="s">
        <v>3518</v>
      </c>
      <c r="C1183" t="s">
        <v>528</v>
      </c>
      <c r="D1183" t="s">
        <v>3519</v>
      </c>
      <c r="E1183" t="s">
        <v>3519</v>
      </c>
      <c r="M1183" t="s">
        <v>411</v>
      </c>
      <c r="N1183" t="s">
        <v>259</v>
      </c>
      <c r="P1183" t="s">
        <v>260</v>
      </c>
      <c r="Q1183" t="s">
        <v>260</v>
      </c>
      <c r="R1183" t="s">
        <v>268</v>
      </c>
      <c r="S1183" t="s">
        <v>21</v>
      </c>
      <c r="T1183">
        <v>100</v>
      </c>
      <c r="W1183" t="s">
        <v>262</v>
      </c>
    </row>
    <row r="1184" spans="1:23" x14ac:dyDescent="0.3">
      <c r="A1184" t="s">
        <v>21</v>
      </c>
      <c r="B1184" t="s">
        <v>3520</v>
      </c>
      <c r="C1184" t="s">
        <v>528</v>
      </c>
      <c r="D1184" t="s">
        <v>3521</v>
      </c>
      <c r="E1184" t="s">
        <v>3521</v>
      </c>
      <c r="M1184" t="s">
        <v>312</v>
      </c>
      <c r="N1184" t="s">
        <v>259</v>
      </c>
      <c r="P1184" t="s">
        <v>260</v>
      </c>
      <c r="Q1184" t="s">
        <v>260</v>
      </c>
      <c r="R1184" t="s">
        <v>268</v>
      </c>
      <c r="S1184" t="s">
        <v>21</v>
      </c>
      <c r="T1184">
        <v>100</v>
      </c>
      <c r="W1184" t="s">
        <v>262</v>
      </c>
    </row>
    <row r="1185" spans="1:23" x14ac:dyDescent="0.3">
      <c r="A1185" t="s">
        <v>21</v>
      </c>
      <c r="B1185" t="s">
        <v>3522</v>
      </c>
      <c r="C1185" t="s">
        <v>528</v>
      </c>
      <c r="D1185" t="s">
        <v>3523</v>
      </c>
      <c r="E1185" t="s">
        <v>3523</v>
      </c>
      <c r="M1185" t="s">
        <v>411</v>
      </c>
      <c r="N1185" t="s">
        <v>259</v>
      </c>
      <c r="P1185" t="s">
        <v>260</v>
      </c>
      <c r="Q1185" t="s">
        <v>260</v>
      </c>
      <c r="R1185" t="s">
        <v>268</v>
      </c>
      <c r="S1185" t="s">
        <v>21</v>
      </c>
      <c r="T1185">
        <v>100</v>
      </c>
      <c r="W1185" t="s">
        <v>262</v>
      </c>
    </row>
    <row r="1186" spans="1:23" x14ac:dyDescent="0.3">
      <c r="A1186" t="s">
        <v>21</v>
      </c>
      <c r="B1186" t="s">
        <v>3524</v>
      </c>
      <c r="C1186" t="s">
        <v>528</v>
      </c>
      <c r="D1186" t="s">
        <v>3525</v>
      </c>
      <c r="E1186" t="s">
        <v>3525</v>
      </c>
      <c r="M1186" t="s">
        <v>411</v>
      </c>
      <c r="N1186" t="s">
        <v>259</v>
      </c>
      <c r="P1186" t="s">
        <v>260</v>
      </c>
      <c r="Q1186" t="s">
        <v>260</v>
      </c>
      <c r="R1186" t="s">
        <v>268</v>
      </c>
      <c r="S1186" t="s">
        <v>21</v>
      </c>
      <c r="T1186">
        <v>100</v>
      </c>
      <c r="W1186" t="s">
        <v>262</v>
      </c>
    </row>
    <row r="1187" spans="1:23" x14ac:dyDescent="0.3">
      <c r="A1187" t="s">
        <v>21</v>
      </c>
      <c r="B1187" t="s">
        <v>3526</v>
      </c>
      <c r="C1187" t="s">
        <v>528</v>
      </c>
      <c r="D1187" t="s">
        <v>3527</v>
      </c>
      <c r="E1187" t="s">
        <v>3527</v>
      </c>
      <c r="M1187" t="s">
        <v>411</v>
      </c>
      <c r="N1187" t="s">
        <v>259</v>
      </c>
      <c r="P1187" t="s">
        <v>260</v>
      </c>
      <c r="Q1187" t="s">
        <v>260</v>
      </c>
      <c r="R1187" t="s">
        <v>268</v>
      </c>
      <c r="S1187" t="s">
        <v>21</v>
      </c>
      <c r="T1187">
        <v>100</v>
      </c>
      <c r="W1187" t="s">
        <v>262</v>
      </c>
    </row>
    <row r="1188" spans="1:23" x14ac:dyDescent="0.3">
      <c r="A1188" t="s">
        <v>21</v>
      </c>
      <c r="B1188" t="s">
        <v>3528</v>
      </c>
      <c r="C1188" t="s">
        <v>528</v>
      </c>
      <c r="D1188" t="s">
        <v>3529</v>
      </c>
      <c r="E1188" t="s">
        <v>3529</v>
      </c>
      <c r="M1188" t="s">
        <v>411</v>
      </c>
      <c r="N1188" t="s">
        <v>259</v>
      </c>
      <c r="P1188" t="s">
        <v>260</v>
      </c>
      <c r="Q1188" t="s">
        <v>260</v>
      </c>
      <c r="R1188" t="s">
        <v>268</v>
      </c>
      <c r="S1188" t="s">
        <v>21</v>
      </c>
      <c r="T1188">
        <v>100</v>
      </c>
      <c r="W1188" t="s">
        <v>262</v>
      </c>
    </row>
    <row r="1189" spans="1:23" x14ac:dyDescent="0.3">
      <c r="A1189" t="s">
        <v>21</v>
      </c>
      <c r="B1189" t="s">
        <v>3530</v>
      </c>
      <c r="C1189" t="s">
        <v>528</v>
      </c>
      <c r="D1189" t="s">
        <v>3531</v>
      </c>
      <c r="E1189" t="s">
        <v>3532</v>
      </c>
      <c r="G1189" t="s">
        <v>3533</v>
      </c>
      <c r="M1189" t="s">
        <v>282</v>
      </c>
      <c r="N1189" t="s">
        <v>259</v>
      </c>
      <c r="P1189" t="s">
        <v>260</v>
      </c>
      <c r="Q1189" t="s">
        <v>260</v>
      </c>
      <c r="R1189" t="s">
        <v>261</v>
      </c>
      <c r="S1189" t="s">
        <v>21</v>
      </c>
      <c r="T1189">
        <v>100</v>
      </c>
      <c r="W1189" t="s">
        <v>262</v>
      </c>
    </row>
    <row r="1190" spans="1:23" x14ac:dyDescent="0.3">
      <c r="A1190" t="s">
        <v>21</v>
      </c>
      <c r="B1190" t="s">
        <v>3534</v>
      </c>
      <c r="C1190" t="s">
        <v>528</v>
      </c>
      <c r="D1190" t="s">
        <v>3535</v>
      </c>
      <c r="E1190" t="s">
        <v>3535</v>
      </c>
      <c r="G1190" t="s">
        <v>3536</v>
      </c>
      <c r="M1190" t="s">
        <v>411</v>
      </c>
      <c r="N1190" t="s">
        <v>259</v>
      </c>
      <c r="P1190" t="s">
        <v>260</v>
      </c>
      <c r="Q1190" t="s">
        <v>260</v>
      </c>
      <c r="R1190" t="s">
        <v>261</v>
      </c>
      <c r="S1190" t="s">
        <v>21</v>
      </c>
      <c r="T1190">
        <v>100</v>
      </c>
      <c r="W1190" t="s">
        <v>262</v>
      </c>
    </row>
    <row r="1191" spans="1:23" x14ac:dyDescent="0.3">
      <c r="A1191" t="s">
        <v>21</v>
      </c>
      <c r="B1191" t="s">
        <v>3537</v>
      </c>
      <c r="C1191" t="s">
        <v>528</v>
      </c>
      <c r="D1191" t="s">
        <v>3538</v>
      </c>
      <c r="E1191" t="s">
        <v>3539</v>
      </c>
      <c r="G1191" t="s">
        <v>3540</v>
      </c>
      <c r="M1191" t="s">
        <v>307</v>
      </c>
      <c r="N1191" t="s">
        <v>259</v>
      </c>
      <c r="P1191" t="s">
        <v>260</v>
      </c>
      <c r="Q1191" t="s">
        <v>260</v>
      </c>
      <c r="R1191" t="s">
        <v>261</v>
      </c>
      <c r="S1191" t="s">
        <v>21</v>
      </c>
      <c r="T1191">
        <v>100</v>
      </c>
      <c r="W1191" t="s">
        <v>262</v>
      </c>
    </row>
    <row r="1192" spans="1:23" x14ac:dyDescent="0.3">
      <c r="A1192" t="s">
        <v>21</v>
      </c>
      <c r="B1192" t="s">
        <v>3541</v>
      </c>
      <c r="C1192" t="s">
        <v>528</v>
      </c>
      <c r="D1192" t="s">
        <v>3542</v>
      </c>
      <c r="E1192" t="s">
        <v>3542</v>
      </c>
      <c r="G1192" t="s">
        <v>3543</v>
      </c>
      <c r="M1192" t="s">
        <v>411</v>
      </c>
      <c r="N1192" t="s">
        <v>259</v>
      </c>
      <c r="P1192" t="s">
        <v>260</v>
      </c>
      <c r="Q1192" t="s">
        <v>260</v>
      </c>
      <c r="R1192" t="s">
        <v>261</v>
      </c>
      <c r="S1192" t="s">
        <v>21</v>
      </c>
      <c r="T1192">
        <v>100</v>
      </c>
      <c r="W1192" t="s">
        <v>262</v>
      </c>
    </row>
    <row r="1193" spans="1:23" x14ac:dyDescent="0.3">
      <c r="A1193" t="s">
        <v>21</v>
      </c>
      <c r="B1193" t="s">
        <v>3544</v>
      </c>
      <c r="C1193" t="s">
        <v>528</v>
      </c>
      <c r="D1193" t="s">
        <v>3545</v>
      </c>
      <c r="E1193" t="s">
        <v>3546</v>
      </c>
      <c r="G1193" t="s">
        <v>3547</v>
      </c>
      <c r="M1193" t="s">
        <v>302</v>
      </c>
      <c r="N1193" t="s">
        <v>259</v>
      </c>
      <c r="P1193" t="s">
        <v>260</v>
      </c>
      <c r="Q1193" t="s">
        <v>260</v>
      </c>
      <c r="R1193" t="s">
        <v>261</v>
      </c>
      <c r="S1193" t="s">
        <v>21</v>
      </c>
      <c r="T1193">
        <v>100</v>
      </c>
      <c r="W1193" t="s">
        <v>262</v>
      </c>
    </row>
    <row r="1194" spans="1:23" x14ac:dyDescent="0.3">
      <c r="A1194" t="s">
        <v>21</v>
      </c>
      <c r="B1194" t="s">
        <v>3548</v>
      </c>
      <c r="C1194" t="s">
        <v>528</v>
      </c>
      <c r="D1194" t="s">
        <v>3549</v>
      </c>
      <c r="E1194">
        <v>170968</v>
      </c>
      <c r="G1194" t="s">
        <v>3550</v>
      </c>
      <c r="M1194" t="s">
        <v>411</v>
      </c>
      <c r="N1194" t="s">
        <v>259</v>
      </c>
      <c r="P1194" t="s">
        <v>260</v>
      </c>
      <c r="Q1194" t="s">
        <v>260</v>
      </c>
      <c r="R1194" t="s">
        <v>261</v>
      </c>
      <c r="S1194" t="s">
        <v>21</v>
      </c>
      <c r="T1194">
        <v>100</v>
      </c>
      <c r="W1194" t="s">
        <v>262</v>
      </c>
    </row>
    <row r="1195" spans="1:23" x14ac:dyDescent="0.3">
      <c r="A1195" t="s">
        <v>21</v>
      </c>
      <c r="B1195" t="s">
        <v>3551</v>
      </c>
      <c r="C1195" t="s">
        <v>270</v>
      </c>
      <c r="D1195" t="s">
        <v>3552</v>
      </c>
      <c r="E1195" t="s">
        <v>3552</v>
      </c>
      <c r="M1195" t="s">
        <v>411</v>
      </c>
      <c r="N1195" t="s">
        <v>259</v>
      </c>
      <c r="P1195" t="s">
        <v>260</v>
      </c>
      <c r="Q1195" t="s">
        <v>260</v>
      </c>
      <c r="R1195" t="s">
        <v>261</v>
      </c>
      <c r="S1195" t="s">
        <v>21</v>
      </c>
      <c r="T1195">
        <v>100</v>
      </c>
      <c r="W1195" t="s">
        <v>262</v>
      </c>
    </row>
    <row r="1196" spans="1:23" x14ac:dyDescent="0.3">
      <c r="A1196" t="s">
        <v>21</v>
      </c>
      <c r="B1196" t="s">
        <v>3553</v>
      </c>
      <c r="C1196" t="s">
        <v>528</v>
      </c>
      <c r="D1196" t="s">
        <v>3554</v>
      </c>
      <c r="E1196" t="s">
        <v>3555</v>
      </c>
      <c r="G1196" t="s">
        <v>3556</v>
      </c>
      <c r="M1196" t="s">
        <v>537</v>
      </c>
      <c r="N1196" t="s">
        <v>259</v>
      </c>
      <c r="P1196" t="s">
        <v>260</v>
      </c>
      <c r="Q1196" t="s">
        <v>260</v>
      </c>
      <c r="R1196" t="s">
        <v>261</v>
      </c>
      <c r="S1196" t="s">
        <v>21</v>
      </c>
      <c r="T1196">
        <v>100</v>
      </c>
      <c r="W1196" t="s">
        <v>262</v>
      </c>
    </row>
    <row r="1197" spans="1:23" x14ac:dyDescent="0.3">
      <c r="A1197" t="s">
        <v>21</v>
      </c>
      <c r="B1197" t="s">
        <v>3557</v>
      </c>
      <c r="C1197" t="s">
        <v>528</v>
      </c>
      <c r="D1197" t="s">
        <v>3558</v>
      </c>
      <c r="E1197" t="s">
        <v>3559</v>
      </c>
      <c r="G1197" t="s">
        <v>3560</v>
      </c>
      <c r="M1197" t="s">
        <v>302</v>
      </c>
      <c r="N1197" t="s">
        <v>259</v>
      </c>
      <c r="P1197" t="s">
        <v>260</v>
      </c>
      <c r="Q1197" t="s">
        <v>260</v>
      </c>
      <c r="R1197" t="s">
        <v>261</v>
      </c>
      <c r="S1197" t="s">
        <v>21</v>
      </c>
      <c r="T1197">
        <v>100</v>
      </c>
      <c r="W1197" t="s">
        <v>262</v>
      </c>
    </row>
    <row r="1198" spans="1:23" x14ac:dyDescent="0.3">
      <c r="A1198" t="s">
        <v>21</v>
      </c>
      <c r="B1198" t="s">
        <v>3561</v>
      </c>
      <c r="C1198" t="s">
        <v>528</v>
      </c>
      <c r="D1198" t="s">
        <v>3562</v>
      </c>
      <c r="E1198" t="s">
        <v>3562</v>
      </c>
      <c r="G1198" t="s">
        <v>3563</v>
      </c>
      <c r="M1198" t="s">
        <v>411</v>
      </c>
      <c r="N1198" t="s">
        <v>259</v>
      </c>
      <c r="P1198" t="s">
        <v>260</v>
      </c>
      <c r="Q1198" t="s">
        <v>260</v>
      </c>
      <c r="R1198" t="s">
        <v>261</v>
      </c>
      <c r="S1198" t="s">
        <v>21</v>
      </c>
      <c r="T1198">
        <v>100</v>
      </c>
      <c r="W1198" t="s">
        <v>262</v>
      </c>
    </row>
    <row r="1199" spans="1:23" x14ac:dyDescent="0.3">
      <c r="A1199" t="s">
        <v>21</v>
      </c>
      <c r="B1199" t="s">
        <v>3564</v>
      </c>
      <c r="C1199" t="s">
        <v>528</v>
      </c>
      <c r="D1199" t="s">
        <v>2227</v>
      </c>
      <c r="E1199" t="s">
        <v>3565</v>
      </c>
      <c r="G1199" t="s">
        <v>3566</v>
      </c>
      <c r="M1199" t="s">
        <v>503</v>
      </c>
      <c r="N1199" t="s">
        <v>259</v>
      </c>
      <c r="P1199" t="s">
        <v>260</v>
      </c>
      <c r="Q1199" t="s">
        <v>260</v>
      </c>
      <c r="R1199" t="s">
        <v>261</v>
      </c>
      <c r="S1199" t="s">
        <v>21</v>
      </c>
      <c r="T1199">
        <v>100</v>
      </c>
      <c r="W1199" t="s">
        <v>262</v>
      </c>
    </row>
    <row r="1200" spans="1:23" x14ac:dyDescent="0.3">
      <c r="A1200" t="s">
        <v>21</v>
      </c>
      <c r="B1200" t="s">
        <v>3567</v>
      </c>
      <c r="C1200" t="s">
        <v>528</v>
      </c>
      <c r="D1200" t="s">
        <v>3568</v>
      </c>
      <c r="E1200">
        <v>170802</v>
      </c>
      <c r="M1200" t="s">
        <v>411</v>
      </c>
      <c r="N1200" t="s">
        <v>259</v>
      </c>
      <c r="P1200" t="s">
        <v>260</v>
      </c>
      <c r="Q1200" t="s">
        <v>260</v>
      </c>
      <c r="R1200" t="s">
        <v>261</v>
      </c>
      <c r="S1200" t="s">
        <v>21</v>
      </c>
      <c r="T1200">
        <v>100</v>
      </c>
      <c r="W1200" t="s">
        <v>262</v>
      </c>
    </row>
    <row r="1201" spans="1:26" x14ac:dyDescent="0.3">
      <c r="A1201" t="s">
        <v>21</v>
      </c>
      <c r="B1201" t="s">
        <v>3569</v>
      </c>
      <c r="C1201" t="s">
        <v>528</v>
      </c>
      <c r="D1201" t="s">
        <v>3570</v>
      </c>
      <c r="E1201" t="s">
        <v>3571</v>
      </c>
      <c r="M1201" t="s">
        <v>312</v>
      </c>
      <c r="N1201" t="s">
        <v>259</v>
      </c>
      <c r="P1201" t="s">
        <v>260</v>
      </c>
      <c r="Q1201" t="s">
        <v>260</v>
      </c>
      <c r="R1201" t="s">
        <v>283</v>
      </c>
      <c r="S1201" t="s">
        <v>21</v>
      </c>
      <c r="T1201">
        <v>100</v>
      </c>
      <c r="W1201" t="s">
        <v>262</v>
      </c>
    </row>
    <row r="1202" spans="1:26" x14ac:dyDescent="0.3">
      <c r="A1202" t="s">
        <v>21</v>
      </c>
      <c r="B1202" t="s">
        <v>3572</v>
      </c>
      <c r="C1202" t="s">
        <v>528</v>
      </c>
      <c r="D1202" t="s">
        <v>3573</v>
      </c>
      <c r="E1202" t="s">
        <v>3574</v>
      </c>
      <c r="M1202" t="s">
        <v>312</v>
      </c>
      <c r="N1202" t="s">
        <v>259</v>
      </c>
      <c r="P1202" t="s">
        <v>260</v>
      </c>
      <c r="Q1202" t="s">
        <v>260</v>
      </c>
      <c r="R1202" t="s">
        <v>283</v>
      </c>
      <c r="S1202" t="s">
        <v>21</v>
      </c>
      <c r="T1202">
        <v>100</v>
      </c>
      <c r="W1202" t="s">
        <v>262</v>
      </c>
    </row>
    <row r="1203" spans="1:26" x14ac:dyDescent="0.3">
      <c r="A1203" t="s">
        <v>21</v>
      </c>
      <c r="B1203" t="s">
        <v>3575</v>
      </c>
      <c r="C1203" t="s">
        <v>528</v>
      </c>
      <c r="D1203" t="s">
        <v>3576</v>
      </c>
      <c r="E1203" t="s">
        <v>3577</v>
      </c>
      <c r="M1203" t="s">
        <v>282</v>
      </c>
      <c r="N1203" t="s">
        <v>259</v>
      </c>
      <c r="P1203" t="s">
        <v>260</v>
      </c>
      <c r="Q1203" t="s">
        <v>260</v>
      </c>
      <c r="R1203" t="s">
        <v>283</v>
      </c>
      <c r="S1203" t="s">
        <v>21</v>
      </c>
      <c r="T1203">
        <v>100</v>
      </c>
      <c r="W1203" t="s">
        <v>262</v>
      </c>
    </row>
    <row r="1204" spans="1:26" x14ac:dyDescent="0.3">
      <c r="A1204" t="s">
        <v>21</v>
      </c>
      <c r="B1204" t="s">
        <v>3578</v>
      </c>
      <c r="C1204" t="s">
        <v>528</v>
      </c>
      <c r="D1204" t="s">
        <v>2181</v>
      </c>
      <c r="E1204" t="s">
        <v>3579</v>
      </c>
      <c r="M1204" t="s">
        <v>282</v>
      </c>
      <c r="N1204" t="s">
        <v>259</v>
      </c>
      <c r="P1204" t="s">
        <v>260</v>
      </c>
      <c r="Q1204" t="s">
        <v>260</v>
      </c>
      <c r="R1204" t="s">
        <v>283</v>
      </c>
      <c r="S1204" t="s">
        <v>21</v>
      </c>
      <c r="T1204">
        <v>100</v>
      </c>
      <c r="W1204" t="s">
        <v>262</v>
      </c>
    </row>
    <row r="1205" spans="1:26" x14ac:dyDescent="0.3">
      <c r="A1205" t="s">
        <v>21</v>
      </c>
      <c r="B1205" t="s">
        <v>3580</v>
      </c>
      <c r="C1205" t="s">
        <v>528</v>
      </c>
      <c r="D1205" t="s">
        <v>3581</v>
      </c>
      <c r="E1205" t="s">
        <v>3582</v>
      </c>
      <c r="M1205" t="s">
        <v>312</v>
      </c>
      <c r="N1205" t="s">
        <v>259</v>
      </c>
      <c r="P1205" t="s">
        <v>260</v>
      </c>
      <c r="Q1205" t="s">
        <v>260</v>
      </c>
      <c r="R1205" t="s">
        <v>283</v>
      </c>
      <c r="S1205" t="s">
        <v>21</v>
      </c>
      <c r="T1205">
        <v>100</v>
      </c>
      <c r="W1205" t="s">
        <v>262</v>
      </c>
    </row>
    <row r="1206" spans="1:26" x14ac:dyDescent="0.3">
      <c r="A1206" t="s">
        <v>21</v>
      </c>
      <c r="B1206" t="s">
        <v>3583</v>
      </c>
      <c r="C1206" t="s">
        <v>528</v>
      </c>
      <c r="D1206" t="s">
        <v>3584</v>
      </c>
      <c r="E1206" t="s">
        <v>3585</v>
      </c>
      <c r="G1206" t="s">
        <v>3586</v>
      </c>
      <c r="M1206" t="s">
        <v>312</v>
      </c>
      <c r="N1206" t="s">
        <v>259</v>
      </c>
      <c r="P1206" t="s">
        <v>260</v>
      </c>
      <c r="Q1206" t="s">
        <v>260</v>
      </c>
      <c r="R1206" t="s">
        <v>283</v>
      </c>
      <c r="S1206" t="s">
        <v>21</v>
      </c>
      <c r="T1206">
        <v>100</v>
      </c>
      <c r="W1206" t="s">
        <v>262</v>
      </c>
    </row>
    <row r="1207" spans="1:26" x14ac:dyDescent="0.3">
      <c r="A1207" t="s">
        <v>21</v>
      </c>
      <c r="B1207" t="s">
        <v>3587</v>
      </c>
      <c r="C1207" t="s">
        <v>528</v>
      </c>
      <c r="D1207" t="s">
        <v>3588</v>
      </c>
      <c r="E1207" t="s">
        <v>3589</v>
      </c>
      <c r="M1207" t="s">
        <v>312</v>
      </c>
      <c r="N1207" t="s">
        <v>259</v>
      </c>
      <c r="P1207" t="s">
        <v>260</v>
      </c>
      <c r="Q1207" t="s">
        <v>260</v>
      </c>
      <c r="R1207" t="s">
        <v>283</v>
      </c>
      <c r="S1207" t="s">
        <v>21</v>
      </c>
      <c r="T1207">
        <v>100</v>
      </c>
      <c r="W1207" t="s">
        <v>262</v>
      </c>
    </row>
    <row r="1208" spans="1:26" x14ac:dyDescent="0.3">
      <c r="A1208" t="s">
        <v>21</v>
      </c>
      <c r="B1208" t="s">
        <v>3590</v>
      </c>
      <c r="C1208" t="s">
        <v>528</v>
      </c>
      <c r="D1208" t="s">
        <v>3591</v>
      </c>
      <c r="E1208" t="s">
        <v>3592</v>
      </c>
      <c r="M1208" t="s">
        <v>312</v>
      </c>
      <c r="N1208" t="s">
        <v>259</v>
      </c>
      <c r="P1208" t="s">
        <v>260</v>
      </c>
      <c r="Q1208" t="s">
        <v>260</v>
      </c>
      <c r="R1208" t="s">
        <v>283</v>
      </c>
      <c r="S1208" t="s">
        <v>21</v>
      </c>
      <c r="T1208">
        <v>100</v>
      </c>
      <c r="W1208" t="s">
        <v>262</v>
      </c>
      <c r="Z1208">
        <v>310</v>
      </c>
    </row>
    <row r="1209" spans="1:26" x14ac:dyDescent="0.3">
      <c r="A1209" t="s">
        <v>21</v>
      </c>
      <c r="B1209" t="s">
        <v>3593</v>
      </c>
      <c r="C1209" t="s">
        <v>528</v>
      </c>
      <c r="D1209" t="s">
        <v>921</v>
      </c>
      <c r="M1209" t="s">
        <v>312</v>
      </c>
      <c r="N1209" t="s">
        <v>259</v>
      </c>
      <c r="P1209" t="s">
        <v>260</v>
      </c>
      <c r="Q1209" t="s">
        <v>260</v>
      </c>
      <c r="R1209" t="s">
        <v>283</v>
      </c>
      <c r="S1209" t="s">
        <v>21</v>
      </c>
      <c r="T1209">
        <v>100</v>
      </c>
      <c r="W1209" t="s">
        <v>262</v>
      </c>
    </row>
    <row r="1210" spans="1:26" x14ac:dyDescent="0.3">
      <c r="A1210" t="s">
        <v>21</v>
      </c>
      <c r="B1210" t="s">
        <v>3594</v>
      </c>
      <c r="C1210" t="s">
        <v>270</v>
      </c>
      <c r="D1210" t="s">
        <v>3595</v>
      </c>
      <c r="E1210" t="s">
        <v>3595</v>
      </c>
      <c r="M1210" t="s">
        <v>411</v>
      </c>
      <c r="N1210" t="s">
        <v>259</v>
      </c>
      <c r="P1210" t="s">
        <v>260</v>
      </c>
      <c r="Q1210" t="s">
        <v>260</v>
      </c>
      <c r="R1210" t="s">
        <v>283</v>
      </c>
      <c r="S1210" t="s">
        <v>21</v>
      </c>
      <c r="T1210">
        <v>100</v>
      </c>
      <c r="W1210" t="s">
        <v>262</v>
      </c>
    </row>
    <row r="1211" spans="1:26" x14ac:dyDescent="0.3">
      <c r="A1211" t="s">
        <v>21</v>
      </c>
      <c r="B1211" t="s">
        <v>3596</v>
      </c>
      <c r="C1211" t="s">
        <v>270</v>
      </c>
      <c r="D1211" t="s">
        <v>3597</v>
      </c>
      <c r="E1211" t="s">
        <v>3597</v>
      </c>
      <c r="F1211" t="s">
        <v>3597</v>
      </c>
      <c r="M1211" t="s">
        <v>297</v>
      </c>
      <c r="N1211" t="s">
        <v>276</v>
      </c>
      <c r="P1211" t="s">
        <v>260</v>
      </c>
      <c r="Q1211" t="s">
        <v>260</v>
      </c>
      <c r="R1211" t="s">
        <v>283</v>
      </c>
      <c r="S1211" t="s">
        <v>21</v>
      </c>
      <c r="T1211">
        <v>100</v>
      </c>
      <c r="W1211" t="s">
        <v>262</v>
      </c>
    </row>
    <row r="1212" spans="1:26" x14ac:dyDescent="0.3">
      <c r="A1212" t="s">
        <v>21</v>
      </c>
      <c r="B1212" t="s">
        <v>3598</v>
      </c>
      <c r="C1212" t="s">
        <v>270</v>
      </c>
      <c r="D1212" t="s">
        <v>3599</v>
      </c>
      <c r="E1212" t="s">
        <v>3600</v>
      </c>
      <c r="H1212" t="s">
        <v>2433</v>
      </c>
      <c r="I1212" t="s">
        <v>1343</v>
      </c>
      <c r="J1212" t="s">
        <v>297</v>
      </c>
      <c r="K1212">
        <v>2104</v>
      </c>
      <c r="L1212" t="s">
        <v>276</v>
      </c>
      <c r="M1212" t="s">
        <v>631</v>
      </c>
      <c r="N1212" t="s">
        <v>276</v>
      </c>
      <c r="P1212" t="s">
        <v>260</v>
      </c>
      <c r="Q1212" t="s">
        <v>260</v>
      </c>
      <c r="R1212" t="s">
        <v>283</v>
      </c>
      <c r="S1212" t="s">
        <v>21</v>
      </c>
      <c r="T1212">
        <v>100</v>
      </c>
      <c r="W1212" t="s">
        <v>262</v>
      </c>
      <c r="X1212">
        <v>-37.008299999999998</v>
      </c>
      <c r="Y1212">
        <v>174.87049999999999</v>
      </c>
    </row>
    <row r="1213" spans="1:26" x14ac:dyDescent="0.3">
      <c r="A1213" t="s">
        <v>21</v>
      </c>
      <c r="B1213" t="s">
        <v>3601</v>
      </c>
      <c r="C1213" t="s">
        <v>270</v>
      </c>
      <c r="D1213" t="s">
        <v>3602</v>
      </c>
      <c r="E1213" t="s">
        <v>3603</v>
      </c>
      <c r="H1213" t="s">
        <v>2433</v>
      </c>
      <c r="I1213" t="s">
        <v>1343</v>
      </c>
      <c r="J1213" t="s">
        <v>297</v>
      </c>
      <c r="K1213">
        <v>2104</v>
      </c>
      <c r="L1213" t="s">
        <v>276</v>
      </c>
      <c r="M1213" t="s">
        <v>631</v>
      </c>
      <c r="N1213" t="s">
        <v>276</v>
      </c>
      <c r="P1213" t="s">
        <v>260</v>
      </c>
      <c r="Q1213" t="s">
        <v>260</v>
      </c>
      <c r="R1213" t="s">
        <v>283</v>
      </c>
      <c r="S1213" t="s">
        <v>21</v>
      </c>
      <c r="T1213">
        <v>100</v>
      </c>
      <c r="W1213" t="s">
        <v>262</v>
      </c>
      <c r="X1213">
        <v>-37.008299999999998</v>
      </c>
      <c r="Y1213">
        <v>174.87049999999999</v>
      </c>
    </row>
    <row r="1214" spans="1:26" x14ac:dyDescent="0.3">
      <c r="A1214" t="s">
        <v>21</v>
      </c>
      <c r="B1214" t="s">
        <v>3604</v>
      </c>
      <c r="C1214" t="s">
        <v>270</v>
      </c>
      <c r="D1214" t="s">
        <v>2145</v>
      </c>
      <c r="E1214" t="s">
        <v>3605</v>
      </c>
      <c r="H1214" t="s">
        <v>2433</v>
      </c>
      <c r="I1214" t="s">
        <v>1343</v>
      </c>
      <c r="J1214" t="s">
        <v>297</v>
      </c>
      <c r="K1214">
        <v>2104</v>
      </c>
      <c r="L1214" t="s">
        <v>276</v>
      </c>
      <c r="M1214" t="s">
        <v>631</v>
      </c>
      <c r="N1214" t="s">
        <v>276</v>
      </c>
      <c r="P1214" t="s">
        <v>260</v>
      </c>
      <c r="Q1214" t="s">
        <v>260</v>
      </c>
      <c r="R1214" t="s">
        <v>283</v>
      </c>
      <c r="S1214" t="s">
        <v>21</v>
      </c>
      <c r="T1214">
        <v>100</v>
      </c>
      <c r="W1214" t="s">
        <v>262</v>
      </c>
      <c r="X1214">
        <v>-37.008299999999998</v>
      </c>
      <c r="Y1214">
        <v>174.87049999999999</v>
      </c>
    </row>
    <row r="1215" spans="1:26" x14ac:dyDescent="0.3">
      <c r="A1215" t="s">
        <v>21</v>
      </c>
      <c r="B1215" t="s">
        <v>3606</v>
      </c>
      <c r="C1215" t="s">
        <v>270</v>
      </c>
      <c r="D1215" t="s">
        <v>3607</v>
      </c>
      <c r="E1215" t="s">
        <v>3608</v>
      </c>
      <c r="H1215" t="s">
        <v>2433</v>
      </c>
      <c r="I1215" t="s">
        <v>1343</v>
      </c>
      <c r="J1215" t="s">
        <v>297</v>
      </c>
      <c r="K1215">
        <v>2104</v>
      </c>
      <c r="L1215" t="s">
        <v>276</v>
      </c>
      <c r="M1215" t="s">
        <v>631</v>
      </c>
      <c r="N1215" t="s">
        <v>276</v>
      </c>
      <c r="P1215" t="s">
        <v>260</v>
      </c>
      <c r="Q1215" t="s">
        <v>260</v>
      </c>
      <c r="R1215" t="s">
        <v>283</v>
      </c>
      <c r="S1215" t="s">
        <v>21</v>
      </c>
      <c r="T1215">
        <v>100</v>
      </c>
      <c r="W1215" t="s">
        <v>262</v>
      </c>
      <c r="X1215">
        <v>-37.008299999999998</v>
      </c>
      <c r="Y1215">
        <v>174.87049999999999</v>
      </c>
    </row>
    <row r="1216" spans="1:26" x14ac:dyDescent="0.3">
      <c r="A1216" t="s">
        <v>21</v>
      </c>
      <c r="B1216" t="s">
        <v>3609</v>
      </c>
      <c r="C1216" t="s">
        <v>270</v>
      </c>
      <c r="D1216" t="s">
        <v>3610</v>
      </c>
      <c r="E1216" t="s">
        <v>3611</v>
      </c>
      <c r="H1216" t="s">
        <v>2433</v>
      </c>
      <c r="I1216" t="s">
        <v>1343</v>
      </c>
      <c r="J1216" t="s">
        <v>297</v>
      </c>
      <c r="K1216">
        <v>2104</v>
      </c>
      <c r="L1216" t="s">
        <v>276</v>
      </c>
      <c r="M1216" t="s">
        <v>631</v>
      </c>
      <c r="N1216" t="s">
        <v>276</v>
      </c>
      <c r="P1216" t="s">
        <v>260</v>
      </c>
      <c r="Q1216" t="s">
        <v>260</v>
      </c>
      <c r="R1216" t="s">
        <v>283</v>
      </c>
      <c r="S1216" t="s">
        <v>21</v>
      </c>
      <c r="T1216">
        <v>100</v>
      </c>
      <c r="W1216" t="s">
        <v>262</v>
      </c>
      <c r="X1216">
        <v>-37.008299999999998</v>
      </c>
      <c r="Y1216">
        <v>174.87049999999999</v>
      </c>
    </row>
    <row r="1217" spans="1:26" x14ac:dyDescent="0.3">
      <c r="A1217" t="s">
        <v>21</v>
      </c>
      <c r="B1217" t="s">
        <v>3612</v>
      </c>
      <c r="C1217" t="s">
        <v>270</v>
      </c>
      <c r="D1217" t="s">
        <v>3613</v>
      </c>
      <c r="E1217" t="s">
        <v>3614</v>
      </c>
      <c r="H1217" t="s">
        <v>2433</v>
      </c>
      <c r="I1217" t="s">
        <v>1343</v>
      </c>
      <c r="J1217" t="s">
        <v>297</v>
      </c>
      <c r="K1217">
        <v>2104</v>
      </c>
      <c r="L1217" t="s">
        <v>276</v>
      </c>
      <c r="M1217" t="s">
        <v>631</v>
      </c>
      <c r="N1217" t="s">
        <v>276</v>
      </c>
      <c r="P1217" t="s">
        <v>260</v>
      </c>
      <c r="Q1217" t="s">
        <v>260</v>
      </c>
      <c r="R1217" t="s">
        <v>283</v>
      </c>
      <c r="S1217" t="s">
        <v>21</v>
      </c>
      <c r="T1217">
        <v>100</v>
      </c>
      <c r="W1217" t="s">
        <v>262</v>
      </c>
      <c r="X1217">
        <v>-37.008299999999998</v>
      </c>
      <c r="Y1217">
        <v>174.87049999999999</v>
      </c>
    </row>
    <row r="1218" spans="1:26" x14ac:dyDescent="0.3">
      <c r="A1218" t="s">
        <v>21</v>
      </c>
      <c r="B1218" t="s">
        <v>3615</v>
      </c>
      <c r="C1218" t="s">
        <v>270</v>
      </c>
      <c r="D1218" t="s">
        <v>3616</v>
      </c>
      <c r="E1218" t="s">
        <v>3617</v>
      </c>
      <c r="M1218" t="s">
        <v>631</v>
      </c>
      <c r="N1218" t="s">
        <v>276</v>
      </c>
      <c r="P1218" t="s">
        <v>260</v>
      </c>
      <c r="Q1218" t="s">
        <v>260</v>
      </c>
      <c r="R1218" t="s">
        <v>283</v>
      </c>
      <c r="S1218" t="s">
        <v>21</v>
      </c>
      <c r="T1218">
        <v>100</v>
      </c>
      <c r="W1218" t="s">
        <v>262</v>
      </c>
    </row>
    <row r="1219" spans="1:26" x14ac:dyDescent="0.3">
      <c r="A1219" t="s">
        <v>21</v>
      </c>
      <c r="B1219" t="s">
        <v>3618</v>
      </c>
      <c r="C1219" t="s">
        <v>278</v>
      </c>
      <c r="D1219" t="s">
        <v>3619</v>
      </c>
      <c r="E1219">
        <v>241615</v>
      </c>
      <c r="M1219" t="s">
        <v>3620</v>
      </c>
      <c r="N1219" t="s">
        <v>259</v>
      </c>
      <c r="P1219" t="s">
        <v>260</v>
      </c>
      <c r="Q1219" t="s">
        <v>260</v>
      </c>
      <c r="R1219" t="s">
        <v>283</v>
      </c>
      <c r="S1219" t="s">
        <v>21</v>
      </c>
      <c r="T1219">
        <v>100</v>
      </c>
      <c r="W1219" t="s">
        <v>262</v>
      </c>
    </row>
    <row r="1220" spans="1:26" x14ac:dyDescent="0.3">
      <c r="A1220" t="s">
        <v>21</v>
      </c>
      <c r="B1220" t="s">
        <v>3621</v>
      </c>
      <c r="C1220" t="s">
        <v>278</v>
      </c>
      <c r="D1220" t="s">
        <v>3622</v>
      </c>
      <c r="E1220" t="s">
        <v>3623</v>
      </c>
      <c r="G1220" t="s">
        <v>3624</v>
      </c>
      <c r="M1220" t="s">
        <v>282</v>
      </c>
      <c r="N1220" t="s">
        <v>259</v>
      </c>
      <c r="P1220" t="s">
        <v>260</v>
      </c>
      <c r="Q1220" t="s">
        <v>260</v>
      </c>
      <c r="R1220" t="s">
        <v>283</v>
      </c>
      <c r="S1220" t="s">
        <v>21</v>
      </c>
      <c r="T1220">
        <v>100</v>
      </c>
      <c r="W1220" t="s">
        <v>262</v>
      </c>
    </row>
    <row r="1221" spans="1:26" x14ac:dyDescent="0.3">
      <c r="A1221" t="s">
        <v>21</v>
      </c>
      <c r="B1221" t="s">
        <v>3625</v>
      </c>
      <c r="C1221" t="s">
        <v>264</v>
      </c>
      <c r="D1221" t="s">
        <v>3626</v>
      </c>
      <c r="G1221" t="s">
        <v>3627</v>
      </c>
      <c r="H1221" t="s">
        <v>3628</v>
      </c>
      <c r="I1221" t="s">
        <v>3625</v>
      </c>
      <c r="J1221" t="s">
        <v>305</v>
      </c>
      <c r="K1221">
        <v>5094</v>
      </c>
      <c r="L1221" t="s">
        <v>259</v>
      </c>
      <c r="M1221" t="s">
        <v>307</v>
      </c>
      <c r="N1221" t="s">
        <v>259</v>
      </c>
      <c r="P1221" t="s">
        <v>260</v>
      </c>
      <c r="Q1221" t="s">
        <v>260</v>
      </c>
      <c r="R1221" t="s">
        <v>293</v>
      </c>
      <c r="S1221" t="s">
        <v>21</v>
      </c>
      <c r="T1221">
        <v>100</v>
      </c>
      <c r="W1221" t="s">
        <v>262</v>
      </c>
    </row>
    <row r="1222" spans="1:26" x14ac:dyDescent="0.3">
      <c r="A1222" t="s">
        <v>21</v>
      </c>
      <c r="B1222" t="s">
        <v>3629</v>
      </c>
      <c r="C1222" t="s">
        <v>299</v>
      </c>
      <c r="D1222" t="s">
        <v>3630</v>
      </c>
      <c r="E1222" t="s">
        <v>3631</v>
      </c>
      <c r="M1222" t="s">
        <v>307</v>
      </c>
      <c r="N1222" t="s">
        <v>259</v>
      </c>
      <c r="P1222" t="s">
        <v>260</v>
      </c>
      <c r="Q1222" t="s">
        <v>260</v>
      </c>
      <c r="R1222" t="s">
        <v>261</v>
      </c>
      <c r="S1222" t="s">
        <v>21</v>
      </c>
      <c r="T1222">
        <v>100</v>
      </c>
      <c r="W1222" t="s">
        <v>262</v>
      </c>
    </row>
    <row r="1223" spans="1:26" x14ac:dyDescent="0.3">
      <c r="A1223" t="s">
        <v>21</v>
      </c>
      <c r="B1223" t="s">
        <v>3632</v>
      </c>
      <c r="C1223" t="s">
        <v>299</v>
      </c>
      <c r="D1223" t="s">
        <v>3633</v>
      </c>
      <c r="M1223" t="s">
        <v>307</v>
      </c>
      <c r="N1223" t="s">
        <v>259</v>
      </c>
      <c r="P1223" t="s">
        <v>260</v>
      </c>
      <c r="Q1223" t="s">
        <v>260</v>
      </c>
      <c r="R1223" t="s">
        <v>261</v>
      </c>
      <c r="S1223" t="s">
        <v>21</v>
      </c>
      <c r="T1223">
        <v>100</v>
      </c>
      <c r="W1223" t="s">
        <v>262</v>
      </c>
    </row>
    <row r="1224" spans="1:26" x14ac:dyDescent="0.3">
      <c r="A1224" t="s">
        <v>21</v>
      </c>
      <c r="B1224" t="s">
        <v>3634</v>
      </c>
      <c r="C1224" t="s">
        <v>299</v>
      </c>
      <c r="D1224" t="s">
        <v>3635</v>
      </c>
      <c r="E1224" t="s">
        <v>3635</v>
      </c>
      <c r="H1224" t="s">
        <v>3636</v>
      </c>
      <c r="I1224" t="s">
        <v>3637</v>
      </c>
      <c r="J1224" t="s">
        <v>305</v>
      </c>
      <c r="K1224">
        <v>5013</v>
      </c>
      <c r="L1224" t="s">
        <v>259</v>
      </c>
      <c r="M1224" t="s">
        <v>307</v>
      </c>
      <c r="N1224" t="s">
        <v>259</v>
      </c>
      <c r="P1224" t="s">
        <v>260</v>
      </c>
      <c r="Q1224" t="s">
        <v>260</v>
      </c>
      <c r="R1224" t="s">
        <v>261</v>
      </c>
      <c r="S1224" t="s">
        <v>21</v>
      </c>
      <c r="T1224">
        <v>100</v>
      </c>
      <c r="W1224" t="s">
        <v>262</v>
      </c>
      <c r="X1224">
        <v>-34.841000000000001</v>
      </c>
      <c r="Y1224">
        <v>138.52799999999999</v>
      </c>
      <c r="Z1224">
        <v>310</v>
      </c>
    </row>
    <row r="1225" spans="1:26" ht="165" customHeight="1" x14ac:dyDescent="0.3">
      <c r="A1225" t="s">
        <v>21</v>
      </c>
      <c r="B1225" t="s">
        <v>3638</v>
      </c>
      <c r="C1225" t="s">
        <v>3639</v>
      </c>
      <c r="D1225" t="s">
        <v>3640</v>
      </c>
      <c r="E1225">
        <v>91201</v>
      </c>
      <c r="G1225" s="10" t="s">
        <v>3641</v>
      </c>
      <c r="M1225" t="s">
        <v>669</v>
      </c>
      <c r="N1225" t="s">
        <v>276</v>
      </c>
      <c r="P1225" t="s">
        <v>260</v>
      </c>
      <c r="Q1225" t="s">
        <v>260</v>
      </c>
      <c r="R1225" t="s">
        <v>261</v>
      </c>
      <c r="S1225" t="s">
        <v>21</v>
      </c>
      <c r="T1225">
        <v>100</v>
      </c>
      <c r="W1225" t="s">
        <v>262</v>
      </c>
    </row>
    <row r="1226" spans="1:26" x14ac:dyDescent="0.3">
      <c r="A1226" t="s">
        <v>21</v>
      </c>
      <c r="B1226" t="s">
        <v>3642</v>
      </c>
      <c r="C1226" t="s">
        <v>270</v>
      </c>
      <c r="D1226" t="s">
        <v>3643</v>
      </c>
      <c r="E1226">
        <v>91200</v>
      </c>
      <c r="H1226" t="s">
        <v>3644</v>
      </c>
      <c r="I1226" t="s">
        <v>669</v>
      </c>
      <c r="J1226" t="s">
        <v>669</v>
      </c>
      <c r="K1226">
        <v>4010</v>
      </c>
      <c r="L1226" t="s">
        <v>276</v>
      </c>
      <c r="M1226" t="s">
        <v>669</v>
      </c>
      <c r="N1226" t="s">
        <v>276</v>
      </c>
      <c r="P1226" t="s">
        <v>260</v>
      </c>
      <c r="Q1226" t="s">
        <v>260</v>
      </c>
      <c r="R1226" t="s">
        <v>293</v>
      </c>
      <c r="S1226" t="s">
        <v>21</v>
      </c>
      <c r="T1226">
        <v>100</v>
      </c>
      <c r="W1226" t="s">
        <v>262</v>
      </c>
      <c r="X1226">
        <v>-38.666800000000002</v>
      </c>
      <c r="Y1226">
        <v>178.0258</v>
      </c>
    </row>
    <row r="1227" spans="1:26" x14ac:dyDescent="0.3">
      <c r="A1227" t="s">
        <v>21</v>
      </c>
      <c r="B1227" t="s">
        <v>3645</v>
      </c>
      <c r="C1227" t="s">
        <v>270</v>
      </c>
      <c r="D1227" t="s">
        <v>3646</v>
      </c>
      <c r="E1227">
        <v>54985</v>
      </c>
      <c r="M1227" t="s">
        <v>669</v>
      </c>
      <c r="N1227" t="s">
        <v>276</v>
      </c>
      <c r="P1227" t="s">
        <v>260</v>
      </c>
      <c r="Q1227" t="s">
        <v>260</v>
      </c>
      <c r="R1227" t="s">
        <v>261</v>
      </c>
      <c r="S1227" t="s">
        <v>21</v>
      </c>
      <c r="T1227">
        <v>100</v>
      </c>
      <c r="W1227" t="s">
        <v>262</v>
      </c>
    </row>
    <row r="1228" spans="1:26" x14ac:dyDescent="0.3">
      <c r="A1228" t="s">
        <v>21</v>
      </c>
      <c r="B1228" t="s">
        <v>3647</v>
      </c>
      <c r="C1228" t="s">
        <v>270</v>
      </c>
      <c r="D1228" t="s">
        <v>3648</v>
      </c>
      <c r="E1228">
        <v>55580</v>
      </c>
      <c r="F1228">
        <v>898161</v>
      </c>
      <c r="H1228" t="s">
        <v>3649</v>
      </c>
      <c r="I1228" t="s">
        <v>3650</v>
      </c>
      <c r="J1228" t="s">
        <v>669</v>
      </c>
      <c r="K1228">
        <v>4010</v>
      </c>
      <c r="L1228" t="s">
        <v>276</v>
      </c>
      <c r="M1228" t="s">
        <v>669</v>
      </c>
      <c r="N1228" t="s">
        <v>276</v>
      </c>
      <c r="P1228" t="s">
        <v>260</v>
      </c>
      <c r="Q1228" t="s">
        <v>260</v>
      </c>
      <c r="R1228" t="s">
        <v>261</v>
      </c>
      <c r="S1228" t="s">
        <v>21</v>
      </c>
      <c r="T1228">
        <v>100</v>
      </c>
      <c r="W1228" t="s">
        <v>262</v>
      </c>
      <c r="X1228">
        <v>-38.668100000000003</v>
      </c>
      <c r="Y1228">
        <v>178.00219999999999</v>
      </c>
    </row>
    <row r="1229" spans="1:26" x14ac:dyDescent="0.3">
      <c r="A1229" t="s">
        <v>21</v>
      </c>
      <c r="B1229" t="s">
        <v>3651</v>
      </c>
      <c r="C1229" t="s">
        <v>270</v>
      </c>
      <c r="D1229" t="s">
        <v>3652</v>
      </c>
      <c r="E1229">
        <v>10169</v>
      </c>
      <c r="G1229">
        <v>10.169</v>
      </c>
      <c r="H1229" t="s">
        <v>2433</v>
      </c>
      <c r="I1229" t="s">
        <v>1343</v>
      </c>
      <c r="J1229" t="s">
        <v>297</v>
      </c>
      <c r="K1229">
        <v>2104</v>
      </c>
      <c r="L1229" t="s">
        <v>276</v>
      </c>
      <c r="M1229" t="s">
        <v>631</v>
      </c>
      <c r="N1229" t="s">
        <v>276</v>
      </c>
      <c r="P1229" t="s">
        <v>260</v>
      </c>
      <c r="Q1229" t="s">
        <v>260</v>
      </c>
      <c r="R1229" t="s">
        <v>283</v>
      </c>
      <c r="S1229" t="s">
        <v>21</v>
      </c>
      <c r="T1229">
        <v>100</v>
      </c>
      <c r="W1229" t="s">
        <v>262</v>
      </c>
      <c r="X1229">
        <v>-37.008299999999998</v>
      </c>
      <c r="Y1229">
        <v>174.87049999999999</v>
      </c>
    </row>
    <row r="1230" spans="1:26" x14ac:dyDescent="0.3">
      <c r="A1230" t="s">
        <v>21</v>
      </c>
      <c r="B1230" t="s">
        <v>3653</v>
      </c>
      <c r="C1230" t="s">
        <v>270</v>
      </c>
      <c r="D1230" t="s">
        <v>3654</v>
      </c>
      <c r="E1230" t="s">
        <v>3654</v>
      </c>
      <c r="M1230" t="s">
        <v>411</v>
      </c>
      <c r="N1230" t="s">
        <v>259</v>
      </c>
      <c r="P1230" t="s">
        <v>260</v>
      </c>
      <c r="Q1230" t="s">
        <v>260</v>
      </c>
      <c r="R1230" t="s">
        <v>283</v>
      </c>
      <c r="S1230" t="s">
        <v>21</v>
      </c>
      <c r="T1230">
        <v>100</v>
      </c>
      <c r="W1230" t="s">
        <v>262</v>
      </c>
    </row>
    <row r="1231" spans="1:26" x14ac:dyDescent="0.3">
      <c r="A1231" t="s">
        <v>21</v>
      </c>
      <c r="B1231" t="s">
        <v>3655</v>
      </c>
      <c r="C1231" t="s">
        <v>270</v>
      </c>
      <c r="D1231" t="s">
        <v>2358</v>
      </c>
      <c r="E1231">
        <v>3201</v>
      </c>
      <c r="M1231" t="s">
        <v>631</v>
      </c>
      <c r="N1231" t="s">
        <v>276</v>
      </c>
      <c r="P1231" t="s">
        <v>260</v>
      </c>
      <c r="Q1231" t="s">
        <v>260</v>
      </c>
      <c r="R1231" t="s">
        <v>261</v>
      </c>
      <c r="S1231" t="s">
        <v>21</v>
      </c>
      <c r="T1231">
        <v>100</v>
      </c>
      <c r="W1231" t="s">
        <v>262</v>
      </c>
    </row>
    <row r="1232" spans="1:26" x14ac:dyDescent="0.3">
      <c r="A1232" t="s">
        <v>21</v>
      </c>
      <c r="B1232" t="s">
        <v>3656</v>
      </c>
      <c r="C1232" t="s">
        <v>270</v>
      </c>
      <c r="D1232" t="s">
        <v>987</v>
      </c>
      <c r="E1232">
        <v>3202</v>
      </c>
      <c r="F1232">
        <v>1041511</v>
      </c>
      <c r="H1232" t="s">
        <v>3657</v>
      </c>
      <c r="I1232" t="s">
        <v>3658</v>
      </c>
      <c r="J1232" t="s">
        <v>297</v>
      </c>
      <c r="K1232">
        <v>1061</v>
      </c>
      <c r="L1232" t="s">
        <v>276</v>
      </c>
      <c r="M1232" t="s">
        <v>990</v>
      </c>
      <c r="N1232" t="s">
        <v>276</v>
      </c>
      <c r="P1232" t="s">
        <v>260</v>
      </c>
      <c r="Q1232" t="s">
        <v>260</v>
      </c>
      <c r="R1232" t="s">
        <v>261</v>
      </c>
      <c r="S1232" t="s">
        <v>21</v>
      </c>
      <c r="T1232">
        <v>100</v>
      </c>
      <c r="W1232" t="s">
        <v>262</v>
      </c>
      <c r="X1232">
        <v>-36.930199999999999</v>
      </c>
      <c r="Y1232">
        <v>174.8066</v>
      </c>
    </row>
    <row r="1233" spans="1:26" x14ac:dyDescent="0.3">
      <c r="A1233" t="s">
        <v>21</v>
      </c>
      <c r="B1233" t="s">
        <v>3659</v>
      </c>
      <c r="C1233" t="s">
        <v>270</v>
      </c>
      <c r="D1233" t="s">
        <v>3660</v>
      </c>
      <c r="E1233">
        <v>1003</v>
      </c>
      <c r="M1233" t="s">
        <v>312</v>
      </c>
      <c r="N1233" t="s">
        <v>259</v>
      </c>
      <c r="P1233" t="s">
        <v>260</v>
      </c>
      <c r="Q1233" t="s">
        <v>260</v>
      </c>
      <c r="R1233" t="s">
        <v>293</v>
      </c>
      <c r="S1233" t="s">
        <v>21</v>
      </c>
      <c r="T1233">
        <v>100</v>
      </c>
      <c r="W1233" t="s">
        <v>262</v>
      </c>
      <c r="X1233">
        <v>-33.793999999999997</v>
      </c>
      <c r="Y1233">
        <v>151.13900000000001</v>
      </c>
      <c r="Z1233">
        <v>729</v>
      </c>
    </row>
    <row r="1234" spans="1:26" x14ac:dyDescent="0.3">
      <c r="A1234" t="s">
        <v>21</v>
      </c>
      <c r="B1234" t="s">
        <v>3661</v>
      </c>
      <c r="C1234" t="s">
        <v>270</v>
      </c>
      <c r="D1234" t="s">
        <v>3662</v>
      </c>
      <c r="E1234" t="s">
        <v>3662</v>
      </c>
      <c r="G1234" t="s">
        <v>3663</v>
      </c>
      <c r="H1234" t="s">
        <v>3664</v>
      </c>
      <c r="I1234" t="s">
        <v>411</v>
      </c>
      <c r="J1234" t="s">
        <v>312</v>
      </c>
      <c r="K1234">
        <v>2113</v>
      </c>
      <c r="L1234" t="s">
        <v>259</v>
      </c>
      <c r="M1234" t="s">
        <v>297</v>
      </c>
      <c r="N1234" t="s">
        <v>276</v>
      </c>
      <c r="P1234" t="s">
        <v>260</v>
      </c>
      <c r="Q1234" t="s">
        <v>260</v>
      </c>
      <c r="R1234" t="s">
        <v>293</v>
      </c>
      <c r="S1234" t="s">
        <v>21</v>
      </c>
      <c r="T1234">
        <v>100</v>
      </c>
      <c r="W1234" t="s">
        <v>262</v>
      </c>
      <c r="X1234">
        <v>-33.793999999999997</v>
      </c>
      <c r="Y1234">
        <v>151.13900000000001</v>
      </c>
      <c r="Z1234">
        <v>729</v>
      </c>
    </row>
    <row r="1235" spans="1:26" x14ac:dyDescent="0.3">
      <c r="A1235" t="s">
        <v>21</v>
      </c>
      <c r="B1235" t="s">
        <v>3665</v>
      </c>
      <c r="C1235" t="s">
        <v>270</v>
      </c>
      <c r="D1235" t="s">
        <v>3666</v>
      </c>
      <c r="E1235" t="s">
        <v>3662</v>
      </c>
      <c r="M1235" t="s">
        <v>1001</v>
      </c>
      <c r="N1235" t="s">
        <v>259</v>
      </c>
      <c r="P1235" t="s">
        <v>260</v>
      </c>
      <c r="Q1235" t="s">
        <v>260</v>
      </c>
      <c r="R1235" t="s">
        <v>293</v>
      </c>
      <c r="S1235" t="s">
        <v>21</v>
      </c>
      <c r="T1235">
        <v>100</v>
      </c>
      <c r="W1235" t="s">
        <v>262</v>
      </c>
      <c r="Z1235">
        <v>729</v>
      </c>
    </row>
    <row r="1236" spans="1:26" x14ac:dyDescent="0.3">
      <c r="A1236" t="s">
        <v>21</v>
      </c>
      <c r="B1236" t="s">
        <v>3667</v>
      </c>
      <c r="C1236" t="s">
        <v>270</v>
      </c>
      <c r="D1236" t="s">
        <v>3668</v>
      </c>
      <c r="E1236" t="s">
        <v>3668</v>
      </c>
      <c r="F1236" t="s">
        <v>3668</v>
      </c>
      <c r="M1236" t="s">
        <v>297</v>
      </c>
      <c r="N1236" t="s">
        <v>276</v>
      </c>
      <c r="P1236" t="s">
        <v>260</v>
      </c>
      <c r="Q1236" t="s">
        <v>260</v>
      </c>
      <c r="R1236" t="s">
        <v>283</v>
      </c>
      <c r="S1236" t="s">
        <v>21</v>
      </c>
      <c r="T1236">
        <v>100</v>
      </c>
      <c r="W1236" t="s">
        <v>262</v>
      </c>
    </row>
    <row r="1237" spans="1:26" x14ac:dyDescent="0.3">
      <c r="A1237" t="s">
        <v>21</v>
      </c>
      <c r="B1237" t="s">
        <v>3669</v>
      </c>
      <c r="C1237" t="s">
        <v>270</v>
      </c>
      <c r="D1237" t="s">
        <v>3670</v>
      </c>
      <c r="E1237" t="s">
        <v>3670</v>
      </c>
      <c r="M1237" t="s">
        <v>411</v>
      </c>
      <c r="N1237" t="s">
        <v>259</v>
      </c>
      <c r="P1237" t="s">
        <v>260</v>
      </c>
      <c r="Q1237" t="s">
        <v>260</v>
      </c>
      <c r="R1237" t="s">
        <v>283</v>
      </c>
      <c r="S1237" t="s">
        <v>21</v>
      </c>
      <c r="T1237">
        <v>100</v>
      </c>
      <c r="W1237" t="s">
        <v>262</v>
      </c>
    </row>
    <row r="1238" spans="1:26" x14ac:dyDescent="0.3">
      <c r="A1238" t="s">
        <v>21</v>
      </c>
      <c r="B1238" t="s">
        <v>3671</v>
      </c>
      <c r="C1238" t="s">
        <v>270</v>
      </c>
      <c r="D1238" t="s">
        <v>3670</v>
      </c>
      <c r="E1238" t="s">
        <v>3670</v>
      </c>
      <c r="M1238" t="s">
        <v>411</v>
      </c>
      <c r="N1238" t="s">
        <v>259</v>
      </c>
      <c r="P1238" t="s">
        <v>260</v>
      </c>
      <c r="Q1238" t="s">
        <v>260</v>
      </c>
      <c r="R1238" t="s">
        <v>283</v>
      </c>
      <c r="S1238" t="s">
        <v>21</v>
      </c>
      <c r="T1238">
        <v>100</v>
      </c>
      <c r="W1238" t="s">
        <v>262</v>
      </c>
    </row>
    <row r="1239" spans="1:26" x14ac:dyDescent="0.3">
      <c r="A1239" t="s">
        <v>21</v>
      </c>
      <c r="B1239" t="s">
        <v>3672</v>
      </c>
      <c r="C1239" t="s">
        <v>270</v>
      </c>
      <c r="D1239" t="s">
        <v>3673</v>
      </c>
      <c r="E1239">
        <v>3203</v>
      </c>
      <c r="G1239" t="s">
        <v>3674</v>
      </c>
      <c r="M1239" t="s">
        <v>297</v>
      </c>
      <c r="N1239" t="s">
        <v>276</v>
      </c>
      <c r="P1239" t="s">
        <v>260</v>
      </c>
      <c r="Q1239" t="s">
        <v>260</v>
      </c>
      <c r="R1239" t="s">
        <v>261</v>
      </c>
      <c r="S1239" t="s">
        <v>21</v>
      </c>
      <c r="T1239">
        <v>100</v>
      </c>
      <c r="W1239" t="s">
        <v>262</v>
      </c>
    </row>
    <row r="1240" spans="1:26" x14ac:dyDescent="0.3">
      <c r="A1240" t="s">
        <v>21</v>
      </c>
      <c r="B1240" t="s">
        <v>3675</v>
      </c>
      <c r="C1240" t="s">
        <v>299</v>
      </c>
      <c r="D1240" t="s">
        <v>3676</v>
      </c>
      <c r="G1240" t="s">
        <v>3677</v>
      </c>
      <c r="H1240" t="s">
        <v>3678</v>
      </c>
      <c r="I1240" t="s">
        <v>3679</v>
      </c>
      <c r="J1240" t="s">
        <v>335</v>
      </c>
      <c r="K1240">
        <v>3061</v>
      </c>
      <c r="M1240" t="s">
        <v>282</v>
      </c>
      <c r="N1240" t="s">
        <v>259</v>
      </c>
      <c r="P1240" t="s">
        <v>260</v>
      </c>
      <c r="Q1240" t="s">
        <v>260</v>
      </c>
      <c r="R1240" t="s">
        <v>283</v>
      </c>
      <c r="S1240" t="s">
        <v>21</v>
      </c>
      <c r="T1240">
        <v>100</v>
      </c>
      <c r="W1240" t="s">
        <v>262</v>
      </c>
    </row>
    <row r="1241" spans="1:26" x14ac:dyDescent="0.3">
      <c r="A1241" t="s">
        <v>21</v>
      </c>
      <c r="B1241" t="s">
        <v>3680</v>
      </c>
      <c r="C1241" t="s">
        <v>356</v>
      </c>
      <c r="D1241" t="s">
        <v>3681</v>
      </c>
      <c r="E1241">
        <v>142</v>
      </c>
      <c r="H1241" t="s">
        <v>3682</v>
      </c>
      <c r="I1241" t="s">
        <v>3680</v>
      </c>
      <c r="J1241" t="s">
        <v>318</v>
      </c>
      <c r="K1241">
        <v>4570</v>
      </c>
      <c r="L1241" t="s">
        <v>259</v>
      </c>
      <c r="M1241" t="s">
        <v>302</v>
      </c>
      <c r="N1241" t="s">
        <v>259</v>
      </c>
      <c r="P1241" t="s">
        <v>260</v>
      </c>
      <c r="Q1241" t="s">
        <v>260</v>
      </c>
      <c r="R1241" t="s">
        <v>261</v>
      </c>
      <c r="S1241" t="s">
        <v>21</v>
      </c>
      <c r="T1241">
        <v>100</v>
      </c>
      <c r="W1241" t="s">
        <v>262</v>
      </c>
      <c r="X1241">
        <v>-26.227</v>
      </c>
      <c r="Y1241">
        <v>152.691</v>
      </c>
      <c r="Z1241">
        <v>170</v>
      </c>
    </row>
    <row r="1242" spans="1:26" x14ac:dyDescent="0.3">
      <c r="A1242" t="s">
        <v>21</v>
      </c>
      <c r="B1242" t="s">
        <v>3683</v>
      </c>
      <c r="C1242" t="s">
        <v>270</v>
      </c>
      <c r="D1242" t="s">
        <v>3684</v>
      </c>
      <c r="E1242">
        <v>10259</v>
      </c>
      <c r="G1242">
        <v>10.259</v>
      </c>
      <c r="H1242" t="s">
        <v>2433</v>
      </c>
      <c r="I1242" t="s">
        <v>1343</v>
      </c>
      <c r="J1242" t="s">
        <v>297</v>
      </c>
      <c r="K1242">
        <v>2104</v>
      </c>
      <c r="L1242" t="s">
        <v>276</v>
      </c>
      <c r="M1242" t="s">
        <v>631</v>
      </c>
      <c r="N1242" t="s">
        <v>276</v>
      </c>
      <c r="P1242" t="s">
        <v>260</v>
      </c>
      <c r="Q1242" t="s">
        <v>260</v>
      </c>
      <c r="R1242" t="s">
        <v>283</v>
      </c>
      <c r="S1242" t="s">
        <v>21</v>
      </c>
      <c r="T1242">
        <v>100</v>
      </c>
      <c r="W1242" t="s">
        <v>262</v>
      </c>
      <c r="X1242">
        <v>-37.008299999999998</v>
      </c>
      <c r="Y1242">
        <v>174.87049999999999</v>
      </c>
    </row>
    <row r="1243" spans="1:26" x14ac:dyDescent="0.3">
      <c r="A1243" t="s">
        <v>21</v>
      </c>
      <c r="B1243" t="s">
        <v>3685</v>
      </c>
      <c r="C1243" t="s">
        <v>270</v>
      </c>
      <c r="D1243" t="s">
        <v>3686</v>
      </c>
      <c r="E1243" t="s">
        <v>3686</v>
      </c>
      <c r="F1243" t="s">
        <v>3686</v>
      </c>
      <c r="M1243" t="s">
        <v>411</v>
      </c>
      <c r="N1243" t="s">
        <v>259</v>
      </c>
      <c r="P1243" t="s">
        <v>260</v>
      </c>
      <c r="Q1243" t="s">
        <v>260</v>
      </c>
      <c r="R1243" t="s">
        <v>283</v>
      </c>
      <c r="S1243" t="s">
        <v>21</v>
      </c>
      <c r="T1243">
        <v>100</v>
      </c>
      <c r="W1243" t="s">
        <v>262</v>
      </c>
    </row>
    <row r="1244" spans="1:26" x14ac:dyDescent="0.3">
      <c r="A1244" t="s">
        <v>21</v>
      </c>
      <c r="B1244" t="s">
        <v>3687</v>
      </c>
      <c r="C1244" t="s">
        <v>270</v>
      </c>
      <c r="D1244" t="s">
        <v>3688</v>
      </c>
      <c r="E1244">
        <v>91411</v>
      </c>
      <c r="G1244" t="s">
        <v>3689</v>
      </c>
      <c r="M1244" t="s">
        <v>379</v>
      </c>
      <c r="N1244" t="s">
        <v>276</v>
      </c>
      <c r="P1244" t="s">
        <v>260</v>
      </c>
      <c r="Q1244" t="s">
        <v>260</v>
      </c>
      <c r="R1244" t="s">
        <v>293</v>
      </c>
      <c r="S1244" t="s">
        <v>21</v>
      </c>
      <c r="T1244">
        <v>100</v>
      </c>
      <c r="W1244" t="s">
        <v>262</v>
      </c>
    </row>
    <row r="1245" spans="1:26" x14ac:dyDescent="0.3">
      <c r="A1245" t="s">
        <v>21</v>
      </c>
      <c r="B1245" t="s">
        <v>3690</v>
      </c>
      <c r="C1245" t="s">
        <v>270</v>
      </c>
      <c r="D1245" t="s">
        <v>3691</v>
      </c>
      <c r="E1245">
        <v>2000003728</v>
      </c>
      <c r="F1245">
        <v>2000003728</v>
      </c>
      <c r="M1245" t="s">
        <v>379</v>
      </c>
      <c r="N1245" t="s">
        <v>276</v>
      </c>
      <c r="P1245" t="s">
        <v>260</v>
      </c>
      <c r="Q1245" t="s">
        <v>260</v>
      </c>
      <c r="R1245" t="s">
        <v>268</v>
      </c>
      <c r="S1245" t="s">
        <v>21</v>
      </c>
      <c r="T1245">
        <v>100</v>
      </c>
      <c r="W1245" t="s">
        <v>262</v>
      </c>
    </row>
    <row r="1246" spans="1:26" x14ac:dyDescent="0.3">
      <c r="A1246" t="s">
        <v>21</v>
      </c>
      <c r="B1246" t="s">
        <v>3692</v>
      </c>
      <c r="C1246" t="s">
        <v>270</v>
      </c>
      <c r="D1246" t="s">
        <v>671</v>
      </c>
      <c r="E1246">
        <v>55540</v>
      </c>
      <c r="H1246" t="s">
        <v>3693</v>
      </c>
      <c r="I1246" t="s">
        <v>3694</v>
      </c>
      <c r="J1246" t="s">
        <v>379</v>
      </c>
      <c r="K1246">
        <v>3204</v>
      </c>
      <c r="L1246" t="s">
        <v>276</v>
      </c>
      <c r="M1246" t="s">
        <v>379</v>
      </c>
      <c r="N1246" t="s">
        <v>276</v>
      </c>
      <c r="P1246" t="s">
        <v>260</v>
      </c>
      <c r="Q1246" t="s">
        <v>260</v>
      </c>
      <c r="R1246" t="s">
        <v>261</v>
      </c>
      <c r="S1246" t="s">
        <v>21</v>
      </c>
      <c r="T1246">
        <v>100</v>
      </c>
      <c r="W1246" t="s">
        <v>262</v>
      </c>
      <c r="X1246">
        <v>-37.800400000000003</v>
      </c>
      <c r="Y1246">
        <v>175.25790000000001</v>
      </c>
    </row>
    <row r="1247" spans="1:26" x14ac:dyDescent="0.3">
      <c r="A1247" t="s">
        <v>21</v>
      </c>
      <c r="B1247" t="s">
        <v>3695</v>
      </c>
      <c r="C1247" t="s">
        <v>270</v>
      </c>
      <c r="D1247" t="s">
        <v>3696</v>
      </c>
      <c r="E1247">
        <v>10173</v>
      </c>
      <c r="M1247" t="s">
        <v>631</v>
      </c>
      <c r="N1247" t="s">
        <v>276</v>
      </c>
      <c r="P1247" t="s">
        <v>260</v>
      </c>
      <c r="Q1247" t="s">
        <v>260</v>
      </c>
      <c r="R1247" t="s">
        <v>283</v>
      </c>
      <c r="S1247" t="s">
        <v>21</v>
      </c>
      <c r="T1247">
        <v>100</v>
      </c>
      <c r="W1247" t="s">
        <v>262</v>
      </c>
    </row>
    <row r="1248" spans="1:26" x14ac:dyDescent="0.3">
      <c r="A1248" t="s">
        <v>21</v>
      </c>
      <c r="B1248" t="s">
        <v>3697</v>
      </c>
      <c r="C1248" t="s">
        <v>270</v>
      </c>
      <c r="D1248" t="s">
        <v>3698</v>
      </c>
      <c r="E1248">
        <v>10172</v>
      </c>
      <c r="G1248">
        <v>10.172000000000001</v>
      </c>
      <c r="H1248" t="s">
        <v>2433</v>
      </c>
      <c r="I1248" t="s">
        <v>1343</v>
      </c>
      <c r="J1248" t="s">
        <v>297</v>
      </c>
      <c r="K1248">
        <v>2104</v>
      </c>
      <c r="L1248" t="s">
        <v>276</v>
      </c>
      <c r="M1248" t="s">
        <v>631</v>
      </c>
      <c r="N1248" t="s">
        <v>276</v>
      </c>
      <c r="P1248" t="s">
        <v>260</v>
      </c>
      <c r="Q1248" t="s">
        <v>260</v>
      </c>
      <c r="R1248" t="s">
        <v>283</v>
      </c>
      <c r="S1248" t="s">
        <v>21</v>
      </c>
      <c r="T1248">
        <v>100</v>
      </c>
      <c r="W1248" t="s">
        <v>262</v>
      </c>
      <c r="X1248">
        <v>-37.008299999999998</v>
      </c>
      <c r="Y1248">
        <v>174.87049999999999</v>
      </c>
    </row>
    <row r="1249" spans="1:26" x14ac:dyDescent="0.3">
      <c r="A1249" t="s">
        <v>21</v>
      </c>
      <c r="B1249" t="s">
        <v>3699</v>
      </c>
      <c r="C1249" t="s">
        <v>270</v>
      </c>
      <c r="D1249" t="s">
        <v>3700</v>
      </c>
      <c r="E1249">
        <v>91324</v>
      </c>
      <c r="H1249" t="s">
        <v>3701</v>
      </c>
      <c r="I1249" t="s">
        <v>665</v>
      </c>
      <c r="J1249" t="s">
        <v>665</v>
      </c>
      <c r="K1249">
        <v>7334</v>
      </c>
      <c r="L1249" t="s">
        <v>276</v>
      </c>
      <c r="M1249" t="s">
        <v>665</v>
      </c>
      <c r="N1249" t="s">
        <v>276</v>
      </c>
      <c r="P1249" t="s">
        <v>260</v>
      </c>
      <c r="Q1249" t="s">
        <v>260</v>
      </c>
      <c r="R1249" t="s">
        <v>293</v>
      </c>
      <c r="S1249" t="s">
        <v>21</v>
      </c>
      <c r="T1249">
        <v>100</v>
      </c>
      <c r="W1249" t="s">
        <v>262</v>
      </c>
      <c r="X1249">
        <v>-42.571599999999997</v>
      </c>
      <c r="Y1249">
        <v>172.79660000000001</v>
      </c>
    </row>
    <row r="1250" spans="1:26" x14ac:dyDescent="0.3">
      <c r="A1250" t="s">
        <v>21</v>
      </c>
      <c r="B1250" t="s">
        <v>3702</v>
      </c>
      <c r="C1250" t="s">
        <v>270</v>
      </c>
      <c r="D1250" t="s">
        <v>3703</v>
      </c>
      <c r="E1250" t="s">
        <v>3703</v>
      </c>
      <c r="M1250" t="s">
        <v>411</v>
      </c>
      <c r="N1250" t="s">
        <v>259</v>
      </c>
      <c r="P1250" t="s">
        <v>260</v>
      </c>
      <c r="Q1250" t="s">
        <v>260</v>
      </c>
      <c r="R1250" t="s">
        <v>283</v>
      </c>
      <c r="S1250" t="s">
        <v>21</v>
      </c>
      <c r="T1250">
        <v>100</v>
      </c>
      <c r="W1250" t="s">
        <v>262</v>
      </c>
    </row>
    <row r="1251" spans="1:26" x14ac:dyDescent="0.3">
      <c r="A1251" t="s">
        <v>21</v>
      </c>
      <c r="B1251" t="s">
        <v>3704</v>
      </c>
      <c r="C1251" t="s">
        <v>270</v>
      </c>
      <c r="D1251" t="s">
        <v>3705</v>
      </c>
      <c r="E1251">
        <v>91327</v>
      </c>
      <c r="M1251" t="s">
        <v>631</v>
      </c>
      <c r="N1251" t="s">
        <v>276</v>
      </c>
      <c r="P1251" t="s">
        <v>260</v>
      </c>
      <c r="Q1251" t="s">
        <v>260</v>
      </c>
      <c r="R1251" t="s">
        <v>293</v>
      </c>
      <c r="S1251" t="s">
        <v>21</v>
      </c>
      <c r="T1251">
        <v>100</v>
      </c>
      <c r="W1251" t="s">
        <v>262</v>
      </c>
    </row>
    <row r="1252" spans="1:26" x14ac:dyDescent="0.3">
      <c r="A1252" t="s">
        <v>21</v>
      </c>
      <c r="B1252" t="s">
        <v>3706</v>
      </c>
      <c r="C1252" t="s">
        <v>3707</v>
      </c>
      <c r="D1252" t="s">
        <v>3708</v>
      </c>
      <c r="E1252" t="s">
        <v>3709</v>
      </c>
      <c r="G1252" t="s">
        <v>3710</v>
      </c>
      <c r="M1252" t="s">
        <v>297</v>
      </c>
      <c r="N1252" t="s">
        <v>276</v>
      </c>
      <c r="P1252" t="s">
        <v>260</v>
      </c>
      <c r="Q1252" t="s">
        <v>260</v>
      </c>
      <c r="R1252" t="s">
        <v>261</v>
      </c>
      <c r="S1252" t="s">
        <v>21</v>
      </c>
      <c r="T1252">
        <v>100</v>
      </c>
      <c r="W1252" t="s">
        <v>262</v>
      </c>
    </row>
    <row r="1253" spans="1:26" x14ac:dyDescent="0.3">
      <c r="A1253" t="s">
        <v>21</v>
      </c>
      <c r="B1253" t="s">
        <v>3711</v>
      </c>
      <c r="C1253" t="s">
        <v>270</v>
      </c>
      <c r="D1253" t="s">
        <v>673</v>
      </c>
      <c r="E1253">
        <v>55582</v>
      </c>
      <c r="H1253" t="s">
        <v>3712</v>
      </c>
      <c r="I1253" t="s">
        <v>3713</v>
      </c>
      <c r="J1253" t="s">
        <v>3713</v>
      </c>
      <c r="K1253">
        <v>4175</v>
      </c>
      <c r="L1253" t="s">
        <v>276</v>
      </c>
      <c r="M1253" t="s">
        <v>675</v>
      </c>
      <c r="N1253" t="s">
        <v>276</v>
      </c>
      <c r="P1253" t="s">
        <v>260</v>
      </c>
      <c r="Q1253" t="s">
        <v>260</v>
      </c>
      <c r="R1253" t="s">
        <v>261</v>
      </c>
      <c r="S1253" t="s">
        <v>21</v>
      </c>
      <c r="T1253">
        <v>100</v>
      </c>
      <c r="W1253" t="s">
        <v>262</v>
      </c>
      <c r="X1253">
        <v>-39.611400000000003</v>
      </c>
      <c r="Y1253">
        <v>176.78800000000001</v>
      </c>
    </row>
    <row r="1254" spans="1:26" x14ac:dyDescent="0.3">
      <c r="A1254" t="s">
        <v>21</v>
      </c>
      <c r="B1254" t="s">
        <v>3714</v>
      </c>
      <c r="C1254" t="s">
        <v>270</v>
      </c>
      <c r="D1254" t="s">
        <v>2152</v>
      </c>
      <c r="E1254" t="s">
        <v>3715</v>
      </c>
      <c r="H1254" t="s">
        <v>2433</v>
      </c>
      <c r="I1254" t="s">
        <v>1343</v>
      </c>
      <c r="J1254" t="s">
        <v>297</v>
      </c>
      <c r="K1254">
        <v>2104</v>
      </c>
      <c r="L1254" t="s">
        <v>276</v>
      </c>
      <c r="M1254" t="s">
        <v>631</v>
      </c>
      <c r="N1254" t="s">
        <v>276</v>
      </c>
      <c r="P1254" t="s">
        <v>260</v>
      </c>
      <c r="Q1254" t="s">
        <v>260</v>
      </c>
      <c r="R1254" t="s">
        <v>283</v>
      </c>
      <c r="S1254" t="s">
        <v>21</v>
      </c>
      <c r="T1254">
        <v>100</v>
      </c>
      <c r="W1254" t="s">
        <v>262</v>
      </c>
      <c r="X1254">
        <v>-37.008299999999998</v>
      </c>
      <c r="Y1254">
        <v>174.87049999999999</v>
      </c>
    </row>
    <row r="1255" spans="1:26" x14ac:dyDescent="0.3">
      <c r="A1255" t="s">
        <v>21</v>
      </c>
      <c r="B1255" t="s">
        <v>3716</v>
      </c>
      <c r="C1255" t="s">
        <v>270</v>
      </c>
      <c r="D1255" t="s">
        <v>3717</v>
      </c>
      <c r="E1255">
        <v>91253</v>
      </c>
      <c r="H1255" t="s">
        <v>3718</v>
      </c>
      <c r="I1255" t="s">
        <v>3719</v>
      </c>
      <c r="J1255" t="s">
        <v>3720</v>
      </c>
      <c r="K1255">
        <v>4673</v>
      </c>
      <c r="M1255" t="s">
        <v>631</v>
      </c>
      <c r="N1255" t="s">
        <v>276</v>
      </c>
      <c r="P1255" t="s">
        <v>260</v>
      </c>
      <c r="Q1255" t="s">
        <v>260</v>
      </c>
      <c r="R1255" t="s">
        <v>293</v>
      </c>
      <c r="S1255" t="s">
        <v>21</v>
      </c>
      <c r="T1255">
        <v>100</v>
      </c>
      <c r="W1255" t="s">
        <v>262</v>
      </c>
    </row>
    <row r="1256" spans="1:26" x14ac:dyDescent="0.3">
      <c r="A1256" t="s">
        <v>21</v>
      </c>
      <c r="B1256" t="s">
        <v>3721</v>
      </c>
      <c r="C1256" t="s">
        <v>270</v>
      </c>
      <c r="D1256" t="s">
        <v>678</v>
      </c>
      <c r="E1256">
        <v>55570</v>
      </c>
      <c r="H1256" t="s">
        <v>679</v>
      </c>
      <c r="I1256" t="s">
        <v>680</v>
      </c>
      <c r="J1256" t="s">
        <v>680</v>
      </c>
      <c r="K1256">
        <v>4610</v>
      </c>
      <c r="L1256" t="s">
        <v>276</v>
      </c>
      <c r="M1256" t="s">
        <v>680</v>
      </c>
      <c r="N1256" t="s">
        <v>276</v>
      </c>
      <c r="P1256" t="s">
        <v>260</v>
      </c>
      <c r="Q1256" t="s">
        <v>260</v>
      </c>
      <c r="R1256" t="s">
        <v>261</v>
      </c>
      <c r="S1256" t="s">
        <v>21</v>
      </c>
      <c r="T1256">
        <v>100</v>
      </c>
      <c r="W1256" t="s">
        <v>262</v>
      </c>
      <c r="X1256">
        <v>-39.580500000000001</v>
      </c>
      <c r="Y1256">
        <v>174.28120000000001</v>
      </c>
    </row>
    <row r="1257" spans="1:26" x14ac:dyDescent="0.3">
      <c r="A1257" t="s">
        <v>21</v>
      </c>
      <c r="B1257" t="s">
        <v>3722</v>
      </c>
      <c r="C1257" t="s">
        <v>270</v>
      </c>
      <c r="D1257" t="s">
        <v>3723</v>
      </c>
      <c r="E1257">
        <v>10193</v>
      </c>
      <c r="G1257">
        <v>10.193</v>
      </c>
      <c r="H1257" t="s">
        <v>2433</v>
      </c>
      <c r="I1257" t="s">
        <v>1343</v>
      </c>
      <c r="J1257" t="s">
        <v>297</v>
      </c>
      <c r="K1257">
        <v>2104</v>
      </c>
      <c r="L1257" t="s">
        <v>276</v>
      </c>
      <c r="M1257" t="s">
        <v>631</v>
      </c>
      <c r="N1257" t="s">
        <v>276</v>
      </c>
      <c r="P1257" t="s">
        <v>260</v>
      </c>
      <c r="Q1257" t="s">
        <v>260</v>
      </c>
      <c r="R1257" t="s">
        <v>283</v>
      </c>
      <c r="S1257" t="s">
        <v>21</v>
      </c>
      <c r="T1257">
        <v>100</v>
      </c>
      <c r="W1257" t="s">
        <v>262</v>
      </c>
      <c r="X1257">
        <v>-37.008299999999998</v>
      </c>
      <c r="Y1257">
        <v>174.87049999999999</v>
      </c>
    </row>
    <row r="1258" spans="1:26" x14ac:dyDescent="0.3">
      <c r="A1258" t="s">
        <v>21</v>
      </c>
      <c r="B1258" t="s">
        <v>3724</v>
      </c>
      <c r="C1258" t="s">
        <v>270</v>
      </c>
      <c r="D1258" t="s">
        <v>2143</v>
      </c>
      <c r="E1258">
        <v>10247</v>
      </c>
      <c r="G1258">
        <v>10.247</v>
      </c>
      <c r="H1258" t="s">
        <v>2433</v>
      </c>
      <c r="I1258" t="s">
        <v>1343</v>
      </c>
      <c r="J1258" t="s">
        <v>297</v>
      </c>
      <c r="K1258">
        <v>2104</v>
      </c>
      <c r="L1258" t="s">
        <v>276</v>
      </c>
      <c r="M1258" t="s">
        <v>631</v>
      </c>
      <c r="N1258" t="s">
        <v>276</v>
      </c>
      <c r="P1258" t="s">
        <v>260</v>
      </c>
      <c r="Q1258" t="s">
        <v>260</v>
      </c>
      <c r="R1258" t="s">
        <v>283</v>
      </c>
      <c r="S1258" t="s">
        <v>21</v>
      </c>
      <c r="T1258">
        <v>100</v>
      </c>
      <c r="W1258" t="s">
        <v>262</v>
      </c>
      <c r="X1258">
        <v>-37.008299999999998</v>
      </c>
      <c r="Y1258">
        <v>174.87049999999999</v>
      </c>
    </row>
    <row r="1259" spans="1:26" x14ac:dyDescent="0.3">
      <c r="A1259" t="s">
        <v>21</v>
      </c>
      <c r="B1259" t="s">
        <v>3725</v>
      </c>
      <c r="C1259" t="s">
        <v>270</v>
      </c>
      <c r="D1259" t="s">
        <v>3726</v>
      </c>
      <c r="E1259" t="s">
        <v>3726</v>
      </c>
      <c r="H1259" t="s">
        <v>2433</v>
      </c>
      <c r="I1259" t="s">
        <v>1343</v>
      </c>
      <c r="J1259" t="s">
        <v>297</v>
      </c>
      <c r="K1259">
        <v>2104</v>
      </c>
      <c r="L1259" t="s">
        <v>276</v>
      </c>
      <c r="M1259" t="s">
        <v>631</v>
      </c>
      <c r="N1259" t="s">
        <v>276</v>
      </c>
      <c r="P1259" t="s">
        <v>260</v>
      </c>
      <c r="Q1259" t="s">
        <v>260</v>
      </c>
      <c r="R1259" t="s">
        <v>261</v>
      </c>
      <c r="S1259" t="s">
        <v>21</v>
      </c>
      <c r="T1259">
        <v>100</v>
      </c>
      <c r="W1259" t="s">
        <v>262</v>
      </c>
      <c r="X1259">
        <v>-37.008299999999998</v>
      </c>
      <c r="Y1259">
        <v>174.87049999999999</v>
      </c>
    </row>
    <row r="1260" spans="1:26" x14ac:dyDescent="0.3">
      <c r="A1260" t="s">
        <v>21</v>
      </c>
      <c r="B1260" t="s">
        <v>3727</v>
      </c>
      <c r="C1260" t="s">
        <v>270</v>
      </c>
      <c r="D1260" t="s">
        <v>3728</v>
      </c>
      <c r="E1260">
        <v>9010</v>
      </c>
      <c r="H1260" t="s">
        <v>2433</v>
      </c>
      <c r="I1260" t="s">
        <v>1343</v>
      </c>
      <c r="J1260" t="s">
        <v>297</v>
      </c>
      <c r="K1260">
        <v>2104</v>
      </c>
      <c r="L1260" t="s">
        <v>276</v>
      </c>
      <c r="M1260" t="s">
        <v>631</v>
      </c>
      <c r="N1260" t="s">
        <v>276</v>
      </c>
      <c r="P1260" t="s">
        <v>260</v>
      </c>
      <c r="Q1260" t="s">
        <v>260</v>
      </c>
      <c r="R1260" t="s">
        <v>293</v>
      </c>
      <c r="S1260" t="s">
        <v>21</v>
      </c>
      <c r="T1260">
        <v>100</v>
      </c>
      <c r="W1260" t="s">
        <v>262</v>
      </c>
      <c r="X1260">
        <v>-37.008299999999998</v>
      </c>
      <c r="Y1260">
        <v>174.87049999999999</v>
      </c>
    </row>
    <row r="1261" spans="1:26" x14ac:dyDescent="0.3">
      <c r="A1261" t="s">
        <v>21</v>
      </c>
      <c r="B1261" t="s">
        <v>3729</v>
      </c>
      <c r="C1261" t="s">
        <v>3730</v>
      </c>
      <c r="D1261" t="s">
        <v>3731</v>
      </c>
      <c r="E1261" t="s">
        <v>3732</v>
      </c>
      <c r="G1261" t="s">
        <v>3733</v>
      </c>
      <c r="M1261" t="s">
        <v>3734</v>
      </c>
      <c r="N1261" t="s">
        <v>276</v>
      </c>
      <c r="P1261" t="s">
        <v>260</v>
      </c>
      <c r="Q1261" t="s">
        <v>260</v>
      </c>
      <c r="R1261" t="s">
        <v>261</v>
      </c>
      <c r="S1261" t="s">
        <v>21</v>
      </c>
      <c r="T1261">
        <v>100</v>
      </c>
      <c r="W1261" t="s">
        <v>262</v>
      </c>
    </row>
    <row r="1262" spans="1:26" x14ac:dyDescent="0.3">
      <c r="A1262" t="s">
        <v>21</v>
      </c>
      <c r="B1262" t="s">
        <v>3735</v>
      </c>
      <c r="C1262" t="s">
        <v>270</v>
      </c>
      <c r="D1262" t="s">
        <v>3736</v>
      </c>
      <c r="E1262">
        <v>54938</v>
      </c>
      <c r="G1262" t="s">
        <v>3737</v>
      </c>
      <c r="M1262" t="s">
        <v>3734</v>
      </c>
      <c r="N1262" t="s">
        <v>276</v>
      </c>
      <c r="P1262" t="s">
        <v>260</v>
      </c>
      <c r="Q1262" t="s">
        <v>260</v>
      </c>
      <c r="R1262" t="s">
        <v>261</v>
      </c>
      <c r="S1262" t="s">
        <v>21</v>
      </c>
      <c r="T1262">
        <v>100</v>
      </c>
      <c r="W1262" t="s">
        <v>262</v>
      </c>
    </row>
    <row r="1263" spans="1:26" x14ac:dyDescent="0.3">
      <c r="A1263" t="s">
        <v>21</v>
      </c>
      <c r="B1263" t="s">
        <v>3738</v>
      </c>
      <c r="C1263" t="s">
        <v>270</v>
      </c>
      <c r="D1263" t="s">
        <v>3739</v>
      </c>
      <c r="E1263" t="s">
        <v>3740</v>
      </c>
      <c r="M1263" t="s">
        <v>631</v>
      </c>
      <c r="N1263" t="s">
        <v>276</v>
      </c>
      <c r="P1263" t="s">
        <v>260</v>
      </c>
      <c r="Q1263" t="s">
        <v>260</v>
      </c>
      <c r="R1263" t="s">
        <v>261</v>
      </c>
      <c r="S1263" t="s">
        <v>21</v>
      </c>
      <c r="T1263">
        <v>100</v>
      </c>
      <c r="W1263" t="s">
        <v>262</v>
      </c>
    </row>
    <row r="1264" spans="1:26" x14ac:dyDescent="0.3">
      <c r="A1264" t="s">
        <v>21</v>
      </c>
      <c r="B1264" t="s">
        <v>3741</v>
      </c>
      <c r="C1264" t="s">
        <v>299</v>
      </c>
      <c r="D1264" t="s">
        <v>1796</v>
      </c>
      <c r="E1264">
        <v>68</v>
      </c>
      <c r="F1264">
        <v>68</v>
      </c>
      <c r="M1264" t="s">
        <v>282</v>
      </c>
      <c r="N1264" t="s">
        <v>259</v>
      </c>
      <c r="P1264" t="s">
        <v>260</v>
      </c>
      <c r="Q1264" t="s">
        <v>260</v>
      </c>
      <c r="R1264" t="s">
        <v>513</v>
      </c>
      <c r="S1264" t="s">
        <v>21</v>
      </c>
      <c r="T1264">
        <v>100</v>
      </c>
      <c r="W1264" t="s">
        <v>262</v>
      </c>
      <c r="X1264">
        <v>-38.077848000000003</v>
      </c>
      <c r="Y1264">
        <v>145.54337699999999</v>
      </c>
      <c r="Z1264">
        <v>310</v>
      </c>
    </row>
    <row r="1265" spans="1:26" x14ac:dyDescent="0.3">
      <c r="A1265" t="s">
        <v>21</v>
      </c>
      <c r="B1265" t="s">
        <v>3742</v>
      </c>
      <c r="C1265" t="s">
        <v>270</v>
      </c>
      <c r="D1265" t="s">
        <v>3743</v>
      </c>
      <c r="E1265">
        <v>551024</v>
      </c>
      <c r="M1265" t="s">
        <v>297</v>
      </c>
      <c r="N1265" t="s">
        <v>276</v>
      </c>
      <c r="P1265" t="s">
        <v>260</v>
      </c>
      <c r="Q1265" t="s">
        <v>260</v>
      </c>
      <c r="R1265" t="s">
        <v>261</v>
      </c>
      <c r="S1265" t="s">
        <v>21</v>
      </c>
      <c r="T1265">
        <v>100</v>
      </c>
      <c r="W1265" t="s">
        <v>262</v>
      </c>
    </row>
    <row r="1266" spans="1:26" x14ac:dyDescent="0.3">
      <c r="A1266" t="s">
        <v>21</v>
      </c>
      <c r="B1266" t="s">
        <v>3744</v>
      </c>
      <c r="C1266" t="s">
        <v>270</v>
      </c>
      <c r="D1266" t="s">
        <v>3745</v>
      </c>
      <c r="E1266">
        <v>2000004705</v>
      </c>
      <c r="H1266" t="s">
        <v>2433</v>
      </c>
      <c r="I1266" t="s">
        <v>1343</v>
      </c>
      <c r="J1266" t="s">
        <v>297</v>
      </c>
      <c r="K1266">
        <v>2104</v>
      </c>
      <c r="L1266" t="s">
        <v>276</v>
      </c>
      <c r="M1266" t="s">
        <v>631</v>
      </c>
      <c r="N1266" t="s">
        <v>276</v>
      </c>
      <c r="P1266" t="s">
        <v>260</v>
      </c>
      <c r="Q1266" t="s">
        <v>260</v>
      </c>
      <c r="R1266" t="s">
        <v>268</v>
      </c>
      <c r="S1266" t="s">
        <v>21</v>
      </c>
      <c r="T1266">
        <v>100</v>
      </c>
      <c r="W1266" t="s">
        <v>262</v>
      </c>
      <c r="X1266">
        <v>-37.008299999999998</v>
      </c>
      <c r="Y1266">
        <v>174.87049999999999</v>
      </c>
    </row>
    <row r="1267" spans="1:26" x14ac:dyDescent="0.3">
      <c r="A1267" t="s">
        <v>21</v>
      </c>
      <c r="B1267" t="s">
        <v>3746</v>
      </c>
      <c r="C1267" t="s">
        <v>270</v>
      </c>
      <c r="D1267" t="s">
        <v>794</v>
      </c>
      <c r="E1267">
        <v>55528</v>
      </c>
      <c r="H1267" t="s">
        <v>3747</v>
      </c>
      <c r="I1267" t="s">
        <v>3748</v>
      </c>
      <c r="J1267" t="s">
        <v>297</v>
      </c>
      <c r="K1267">
        <v>612</v>
      </c>
      <c r="L1267" t="s">
        <v>276</v>
      </c>
      <c r="M1267" t="s">
        <v>797</v>
      </c>
      <c r="N1267" t="s">
        <v>276</v>
      </c>
      <c r="P1267" t="s">
        <v>260</v>
      </c>
      <c r="Q1267" t="s">
        <v>260</v>
      </c>
      <c r="R1267" t="s">
        <v>261</v>
      </c>
      <c r="S1267" t="s">
        <v>21</v>
      </c>
      <c r="T1267">
        <v>100</v>
      </c>
      <c r="W1267" t="s">
        <v>262</v>
      </c>
      <c r="X1267">
        <v>-36.8874</v>
      </c>
      <c r="Y1267">
        <v>174.63050000000001</v>
      </c>
    </row>
    <row r="1268" spans="1:26" x14ac:dyDescent="0.3">
      <c r="A1268" t="s">
        <v>21</v>
      </c>
      <c r="B1268" t="s">
        <v>3749</v>
      </c>
      <c r="C1268" t="s">
        <v>270</v>
      </c>
      <c r="D1268" t="s">
        <v>2104</v>
      </c>
      <c r="E1268">
        <v>1024</v>
      </c>
      <c r="M1268" t="s">
        <v>1001</v>
      </c>
      <c r="N1268" t="s">
        <v>259</v>
      </c>
      <c r="P1268" t="s">
        <v>260</v>
      </c>
      <c r="Q1268" t="s">
        <v>260</v>
      </c>
      <c r="R1268" t="s">
        <v>293</v>
      </c>
      <c r="S1268" t="s">
        <v>21</v>
      </c>
      <c r="T1268">
        <v>100</v>
      </c>
      <c r="W1268" t="s">
        <v>262</v>
      </c>
    </row>
    <row r="1269" spans="1:26" x14ac:dyDescent="0.3">
      <c r="A1269" t="s">
        <v>21</v>
      </c>
      <c r="B1269" t="s">
        <v>3750</v>
      </c>
      <c r="C1269" t="s">
        <v>560</v>
      </c>
      <c r="D1269" t="s">
        <v>1003</v>
      </c>
      <c r="E1269" t="s">
        <v>3751</v>
      </c>
      <c r="H1269" t="s">
        <v>3752</v>
      </c>
      <c r="I1269" t="s">
        <v>3753</v>
      </c>
      <c r="J1269" t="s">
        <v>366</v>
      </c>
      <c r="K1269">
        <v>2322</v>
      </c>
      <c r="L1269" t="s">
        <v>259</v>
      </c>
      <c r="M1269" t="s">
        <v>312</v>
      </c>
      <c r="N1269" t="s">
        <v>259</v>
      </c>
      <c r="P1269" t="s">
        <v>260</v>
      </c>
      <c r="Q1269" t="s">
        <v>260</v>
      </c>
      <c r="R1269" t="s">
        <v>293</v>
      </c>
      <c r="S1269" t="s">
        <v>21</v>
      </c>
      <c r="T1269">
        <v>100</v>
      </c>
      <c r="W1269" t="s">
        <v>262</v>
      </c>
      <c r="Z1269">
        <v>729</v>
      </c>
    </row>
    <row r="1270" spans="1:26" x14ac:dyDescent="0.3">
      <c r="A1270" t="s">
        <v>21</v>
      </c>
      <c r="B1270" t="s">
        <v>3754</v>
      </c>
      <c r="C1270" t="s">
        <v>270</v>
      </c>
      <c r="D1270" t="s">
        <v>3755</v>
      </c>
      <c r="E1270">
        <v>4040</v>
      </c>
      <c r="M1270" t="s">
        <v>297</v>
      </c>
      <c r="N1270" t="s">
        <v>276</v>
      </c>
      <c r="P1270" t="s">
        <v>260</v>
      </c>
      <c r="Q1270" t="s">
        <v>260</v>
      </c>
      <c r="R1270" t="s">
        <v>293</v>
      </c>
      <c r="S1270" t="s">
        <v>21</v>
      </c>
      <c r="T1270">
        <v>100</v>
      </c>
      <c r="W1270" t="s">
        <v>262</v>
      </c>
    </row>
    <row r="1271" spans="1:26" x14ac:dyDescent="0.3">
      <c r="A1271" t="s">
        <v>21</v>
      </c>
      <c r="B1271" t="s">
        <v>3756</v>
      </c>
      <c r="C1271" t="s">
        <v>2464</v>
      </c>
      <c r="D1271" t="s">
        <v>3757</v>
      </c>
      <c r="E1271" t="s">
        <v>3758</v>
      </c>
      <c r="G1271" t="s">
        <v>3759</v>
      </c>
      <c r="M1271" t="s">
        <v>297</v>
      </c>
      <c r="N1271" t="s">
        <v>276</v>
      </c>
      <c r="P1271" t="s">
        <v>260</v>
      </c>
      <c r="Q1271" t="s">
        <v>260</v>
      </c>
      <c r="R1271" t="s">
        <v>261</v>
      </c>
      <c r="S1271" t="s">
        <v>21</v>
      </c>
      <c r="T1271">
        <v>100</v>
      </c>
      <c r="W1271" t="s">
        <v>262</v>
      </c>
    </row>
    <row r="1272" spans="1:26" x14ac:dyDescent="0.3">
      <c r="A1272" t="s">
        <v>21</v>
      </c>
      <c r="B1272" t="s">
        <v>3760</v>
      </c>
      <c r="C1272" t="s">
        <v>270</v>
      </c>
      <c r="D1272" t="s">
        <v>3761</v>
      </c>
      <c r="E1272" t="s">
        <v>3761</v>
      </c>
      <c r="M1272" t="s">
        <v>394</v>
      </c>
      <c r="N1272" t="s">
        <v>276</v>
      </c>
      <c r="P1272" t="s">
        <v>260</v>
      </c>
      <c r="Q1272" t="s">
        <v>260</v>
      </c>
      <c r="R1272" t="s">
        <v>283</v>
      </c>
      <c r="S1272" t="s">
        <v>21</v>
      </c>
      <c r="T1272">
        <v>100</v>
      </c>
      <c r="W1272" t="s">
        <v>262</v>
      </c>
    </row>
    <row r="1273" spans="1:26" x14ac:dyDescent="0.3">
      <c r="A1273" t="s">
        <v>21</v>
      </c>
      <c r="B1273" t="s">
        <v>3762</v>
      </c>
      <c r="C1273" t="s">
        <v>270</v>
      </c>
      <c r="D1273" t="s">
        <v>682</v>
      </c>
      <c r="E1273">
        <v>55604</v>
      </c>
      <c r="H1273" t="s">
        <v>683</v>
      </c>
      <c r="I1273" t="s">
        <v>3763</v>
      </c>
      <c r="J1273" t="s">
        <v>684</v>
      </c>
      <c r="K1273">
        <v>5510</v>
      </c>
      <c r="L1273" t="s">
        <v>276</v>
      </c>
      <c r="M1273" t="s">
        <v>684</v>
      </c>
      <c r="N1273" t="s">
        <v>276</v>
      </c>
      <c r="P1273" t="s">
        <v>260</v>
      </c>
      <c r="Q1273" t="s">
        <v>260</v>
      </c>
      <c r="R1273" t="s">
        <v>261</v>
      </c>
      <c r="S1273" t="s">
        <v>21</v>
      </c>
      <c r="T1273">
        <v>100</v>
      </c>
      <c r="W1273" t="s">
        <v>262</v>
      </c>
      <c r="X1273">
        <v>-40.6252</v>
      </c>
      <c r="Y1273">
        <v>175.2576</v>
      </c>
    </row>
    <row r="1274" spans="1:26" x14ac:dyDescent="0.3">
      <c r="A1274" t="s">
        <v>21</v>
      </c>
      <c r="B1274" t="s">
        <v>3764</v>
      </c>
      <c r="C1274" t="s">
        <v>299</v>
      </c>
      <c r="D1274" t="s">
        <v>3765</v>
      </c>
      <c r="E1274">
        <v>2027</v>
      </c>
      <c r="H1274" t="s">
        <v>3766</v>
      </c>
      <c r="I1274" t="s">
        <v>3767</v>
      </c>
      <c r="J1274" t="s">
        <v>335</v>
      </c>
      <c r="K1274">
        <v>3400</v>
      </c>
      <c r="L1274" t="s">
        <v>259</v>
      </c>
      <c r="M1274" t="s">
        <v>282</v>
      </c>
      <c r="N1274" t="s">
        <v>259</v>
      </c>
      <c r="P1274" t="s">
        <v>260</v>
      </c>
      <c r="Q1274" t="s">
        <v>260</v>
      </c>
      <c r="R1274" t="s">
        <v>283</v>
      </c>
      <c r="S1274" t="s">
        <v>21</v>
      </c>
      <c r="T1274">
        <v>100</v>
      </c>
      <c r="W1274" t="s">
        <v>262</v>
      </c>
    </row>
    <row r="1275" spans="1:26" x14ac:dyDescent="0.3">
      <c r="A1275" t="s">
        <v>21</v>
      </c>
      <c r="B1275" t="s">
        <v>3768</v>
      </c>
      <c r="C1275" t="s">
        <v>270</v>
      </c>
      <c r="D1275" t="s">
        <v>3769</v>
      </c>
      <c r="E1275">
        <v>63950</v>
      </c>
      <c r="M1275" t="s">
        <v>631</v>
      </c>
      <c r="N1275" t="s">
        <v>276</v>
      </c>
      <c r="P1275" t="s">
        <v>260</v>
      </c>
      <c r="Q1275" t="s">
        <v>260</v>
      </c>
      <c r="R1275" t="s">
        <v>283</v>
      </c>
      <c r="S1275" t="s">
        <v>21</v>
      </c>
      <c r="T1275">
        <v>100</v>
      </c>
      <c r="W1275" t="s">
        <v>262</v>
      </c>
    </row>
    <row r="1276" spans="1:26" x14ac:dyDescent="0.3">
      <c r="A1276" t="s">
        <v>21</v>
      </c>
      <c r="B1276" t="s">
        <v>3770</v>
      </c>
      <c r="C1276" t="s">
        <v>1421</v>
      </c>
      <c r="D1276" t="s">
        <v>3771</v>
      </c>
      <c r="E1276">
        <v>552411</v>
      </c>
      <c r="G1276" t="s">
        <v>3772</v>
      </c>
      <c r="M1276" t="s">
        <v>403</v>
      </c>
      <c r="N1276" t="s">
        <v>276</v>
      </c>
      <c r="P1276" t="s">
        <v>260</v>
      </c>
      <c r="Q1276" t="s">
        <v>260</v>
      </c>
      <c r="R1276" t="s">
        <v>261</v>
      </c>
      <c r="S1276" t="s">
        <v>21</v>
      </c>
      <c r="T1276">
        <v>100</v>
      </c>
      <c r="W1276" t="s">
        <v>262</v>
      </c>
    </row>
    <row r="1277" spans="1:26" x14ac:dyDescent="0.3">
      <c r="A1277" t="s">
        <v>21</v>
      </c>
      <c r="B1277" t="s">
        <v>3773</v>
      </c>
      <c r="C1277" t="s">
        <v>270</v>
      </c>
      <c r="D1277" t="s">
        <v>3774</v>
      </c>
      <c r="E1277">
        <v>63960</v>
      </c>
      <c r="H1277" t="s">
        <v>2433</v>
      </c>
      <c r="I1277" t="s">
        <v>1343</v>
      </c>
      <c r="J1277" t="s">
        <v>297</v>
      </c>
      <c r="K1277">
        <v>2104</v>
      </c>
      <c r="L1277" t="s">
        <v>276</v>
      </c>
      <c r="M1277" t="s">
        <v>631</v>
      </c>
      <c r="N1277" t="s">
        <v>276</v>
      </c>
      <c r="P1277" t="s">
        <v>260</v>
      </c>
      <c r="Q1277" t="s">
        <v>260</v>
      </c>
      <c r="R1277" t="s">
        <v>283</v>
      </c>
      <c r="S1277" t="s">
        <v>21</v>
      </c>
      <c r="T1277">
        <v>100</v>
      </c>
      <c r="W1277" t="s">
        <v>262</v>
      </c>
      <c r="X1277">
        <v>-37.008299999999998</v>
      </c>
      <c r="Y1277">
        <v>174.87049999999999</v>
      </c>
    </row>
    <row r="1278" spans="1:26" x14ac:dyDescent="0.3">
      <c r="A1278" t="s">
        <v>21</v>
      </c>
      <c r="B1278" t="s">
        <v>3775</v>
      </c>
      <c r="C1278" t="s">
        <v>270</v>
      </c>
      <c r="D1278" t="s">
        <v>3776</v>
      </c>
      <c r="E1278">
        <v>55910</v>
      </c>
      <c r="H1278" t="s">
        <v>2433</v>
      </c>
      <c r="I1278" t="s">
        <v>1343</v>
      </c>
      <c r="J1278" t="s">
        <v>297</v>
      </c>
      <c r="K1278">
        <v>2104</v>
      </c>
      <c r="L1278" t="s">
        <v>276</v>
      </c>
      <c r="M1278" t="s">
        <v>631</v>
      </c>
      <c r="N1278" t="s">
        <v>276</v>
      </c>
      <c r="P1278" t="s">
        <v>260</v>
      </c>
      <c r="Q1278" t="s">
        <v>260</v>
      </c>
      <c r="R1278" t="s">
        <v>261</v>
      </c>
      <c r="S1278" t="s">
        <v>21</v>
      </c>
      <c r="T1278">
        <v>100</v>
      </c>
      <c r="W1278" t="s">
        <v>262</v>
      </c>
      <c r="X1278">
        <v>-37.008299999999998</v>
      </c>
      <c r="Y1278">
        <v>174.87049999999999</v>
      </c>
    </row>
    <row r="1279" spans="1:26" x14ac:dyDescent="0.3">
      <c r="A1279" t="s">
        <v>21</v>
      </c>
      <c r="B1279" t="s">
        <v>3777</v>
      </c>
      <c r="C1279" t="s">
        <v>299</v>
      </c>
      <c r="D1279" t="s">
        <v>3778</v>
      </c>
      <c r="M1279" t="s">
        <v>267</v>
      </c>
      <c r="N1279" t="s">
        <v>259</v>
      </c>
      <c r="P1279" t="s">
        <v>260</v>
      </c>
      <c r="Q1279" t="s">
        <v>260</v>
      </c>
      <c r="R1279" t="s">
        <v>261</v>
      </c>
      <c r="S1279" t="s">
        <v>21</v>
      </c>
      <c r="T1279">
        <v>100</v>
      </c>
      <c r="W1279" t="s">
        <v>262</v>
      </c>
    </row>
    <row r="1280" spans="1:26" x14ac:dyDescent="0.3">
      <c r="A1280" t="s">
        <v>21</v>
      </c>
      <c r="B1280" t="s">
        <v>3779</v>
      </c>
      <c r="C1280" t="s">
        <v>270</v>
      </c>
      <c r="D1280" t="s">
        <v>3780</v>
      </c>
      <c r="E1280" t="s">
        <v>3781</v>
      </c>
      <c r="H1280" t="s">
        <v>3782</v>
      </c>
      <c r="I1280" t="s">
        <v>3783</v>
      </c>
      <c r="J1280" t="s">
        <v>703</v>
      </c>
      <c r="K1280">
        <v>5010</v>
      </c>
      <c r="L1280" t="s">
        <v>276</v>
      </c>
      <c r="M1280" t="s">
        <v>703</v>
      </c>
      <c r="N1280" t="s">
        <v>276</v>
      </c>
      <c r="P1280" t="s">
        <v>260</v>
      </c>
      <c r="Q1280" t="s">
        <v>260</v>
      </c>
      <c r="R1280" t="s">
        <v>261</v>
      </c>
      <c r="S1280" t="s">
        <v>21</v>
      </c>
      <c r="T1280">
        <v>100</v>
      </c>
      <c r="W1280" t="s">
        <v>262</v>
      </c>
      <c r="X1280">
        <v>-41.215800000000002</v>
      </c>
      <c r="Y1280">
        <v>174.90209999999999</v>
      </c>
    </row>
    <row r="1281" spans="1:25" x14ac:dyDescent="0.3">
      <c r="A1281" t="s">
        <v>21</v>
      </c>
      <c r="B1281" t="s">
        <v>3784</v>
      </c>
      <c r="C1281" t="s">
        <v>270</v>
      </c>
      <c r="D1281" t="s">
        <v>3785</v>
      </c>
      <c r="E1281">
        <v>10163</v>
      </c>
      <c r="G1281">
        <v>10.163</v>
      </c>
      <c r="H1281" t="s">
        <v>2433</v>
      </c>
      <c r="I1281" t="s">
        <v>1343</v>
      </c>
      <c r="J1281" t="s">
        <v>297</v>
      </c>
      <c r="K1281">
        <v>2104</v>
      </c>
      <c r="L1281" t="s">
        <v>276</v>
      </c>
      <c r="M1281" t="s">
        <v>631</v>
      </c>
      <c r="N1281" t="s">
        <v>276</v>
      </c>
      <c r="P1281" t="s">
        <v>260</v>
      </c>
      <c r="Q1281" t="s">
        <v>260</v>
      </c>
      <c r="R1281" t="s">
        <v>283</v>
      </c>
      <c r="S1281" t="s">
        <v>21</v>
      </c>
      <c r="T1281">
        <v>100</v>
      </c>
      <c r="W1281" t="s">
        <v>262</v>
      </c>
      <c r="X1281">
        <v>-37.008299999999998</v>
      </c>
      <c r="Y1281">
        <v>174.87049999999999</v>
      </c>
    </row>
    <row r="1282" spans="1:25" x14ac:dyDescent="0.3">
      <c r="A1282" t="s">
        <v>21</v>
      </c>
      <c r="B1282" t="s">
        <v>3786</v>
      </c>
      <c r="C1282" t="s">
        <v>278</v>
      </c>
      <c r="D1282" t="s">
        <v>3787</v>
      </c>
      <c r="E1282">
        <v>37740124</v>
      </c>
      <c r="M1282" t="s">
        <v>3788</v>
      </c>
      <c r="N1282" t="s">
        <v>259</v>
      </c>
      <c r="P1282" t="s">
        <v>260</v>
      </c>
      <c r="Q1282" t="s">
        <v>260</v>
      </c>
      <c r="R1282" t="s">
        <v>283</v>
      </c>
      <c r="S1282" t="s">
        <v>21</v>
      </c>
      <c r="T1282">
        <v>100</v>
      </c>
      <c r="U1282" s="9">
        <v>45505</v>
      </c>
      <c r="W1282" t="s">
        <v>262</v>
      </c>
    </row>
    <row r="1283" spans="1:25" x14ac:dyDescent="0.3">
      <c r="A1283" t="s">
        <v>21</v>
      </c>
      <c r="B1283" t="s">
        <v>3789</v>
      </c>
      <c r="C1283" t="s">
        <v>270</v>
      </c>
      <c r="D1283" t="s">
        <v>3790</v>
      </c>
      <c r="E1283">
        <v>56132</v>
      </c>
      <c r="H1283" t="s">
        <v>2433</v>
      </c>
      <c r="I1283" t="s">
        <v>1343</v>
      </c>
      <c r="J1283" t="s">
        <v>297</v>
      </c>
      <c r="K1283">
        <v>2104</v>
      </c>
      <c r="L1283" t="s">
        <v>276</v>
      </c>
      <c r="M1283" t="s">
        <v>631</v>
      </c>
      <c r="N1283" t="s">
        <v>276</v>
      </c>
      <c r="P1283" t="s">
        <v>260</v>
      </c>
      <c r="Q1283" t="s">
        <v>260</v>
      </c>
      <c r="R1283" t="s">
        <v>283</v>
      </c>
      <c r="S1283" t="s">
        <v>21</v>
      </c>
      <c r="T1283">
        <v>100</v>
      </c>
      <c r="W1283" t="s">
        <v>262</v>
      </c>
      <c r="X1283">
        <v>-37.008299999999998</v>
      </c>
      <c r="Y1283">
        <v>174.87049999999999</v>
      </c>
    </row>
    <row r="1284" spans="1:25" x14ac:dyDescent="0.3">
      <c r="A1284" t="s">
        <v>21</v>
      </c>
      <c r="B1284" t="s">
        <v>3791</v>
      </c>
      <c r="C1284" t="s">
        <v>270</v>
      </c>
      <c r="D1284" t="s">
        <v>3790</v>
      </c>
      <c r="E1284" t="s">
        <v>3790</v>
      </c>
      <c r="M1284" t="s">
        <v>394</v>
      </c>
      <c r="N1284" t="s">
        <v>276</v>
      </c>
      <c r="P1284" t="s">
        <v>260</v>
      </c>
      <c r="Q1284" t="s">
        <v>260</v>
      </c>
      <c r="R1284" t="s">
        <v>283</v>
      </c>
      <c r="S1284" t="s">
        <v>21</v>
      </c>
      <c r="T1284">
        <v>100</v>
      </c>
      <c r="W1284" t="s">
        <v>262</v>
      </c>
    </row>
    <row r="1285" spans="1:25" x14ac:dyDescent="0.3">
      <c r="A1285" t="s">
        <v>21</v>
      </c>
      <c r="B1285" t="s">
        <v>3792</v>
      </c>
      <c r="C1285" t="s">
        <v>270</v>
      </c>
      <c r="D1285" t="s">
        <v>3793</v>
      </c>
      <c r="E1285" t="s">
        <v>3794</v>
      </c>
      <c r="H1285" t="s">
        <v>3795</v>
      </c>
      <c r="I1285" t="s">
        <v>384</v>
      </c>
      <c r="J1285" t="s">
        <v>384</v>
      </c>
      <c r="K1285">
        <v>9810</v>
      </c>
      <c r="L1285" t="s">
        <v>276</v>
      </c>
      <c r="M1285" t="s">
        <v>384</v>
      </c>
      <c r="N1285" t="s">
        <v>276</v>
      </c>
      <c r="P1285" t="s">
        <v>260</v>
      </c>
      <c r="Q1285" t="s">
        <v>260</v>
      </c>
      <c r="R1285" t="s">
        <v>261</v>
      </c>
      <c r="S1285" t="s">
        <v>21</v>
      </c>
      <c r="T1285">
        <v>100</v>
      </c>
      <c r="W1285" t="s">
        <v>262</v>
      </c>
      <c r="X1285">
        <v>-46.410899999999998</v>
      </c>
      <c r="Y1285">
        <v>168.35210000000001</v>
      </c>
    </row>
    <row r="1286" spans="1:25" x14ac:dyDescent="0.3">
      <c r="A1286" t="s">
        <v>21</v>
      </c>
      <c r="B1286" t="s">
        <v>3796</v>
      </c>
      <c r="C1286" t="s">
        <v>270</v>
      </c>
      <c r="D1286" t="s">
        <v>3797</v>
      </c>
      <c r="E1286" t="s">
        <v>3797</v>
      </c>
      <c r="M1286" t="s">
        <v>411</v>
      </c>
      <c r="N1286" t="s">
        <v>259</v>
      </c>
      <c r="P1286" t="s">
        <v>260</v>
      </c>
      <c r="Q1286" t="s">
        <v>260</v>
      </c>
      <c r="R1286" t="s">
        <v>283</v>
      </c>
      <c r="S1286" t="s">
        <v>21</v>
      </c>
      <c r="T1286">
        <v>100</v>
      </c>
      <c r="W1286" t="s">
        <v>262</v>
      </c>
    </row>
    <row r="1287" spans="1:25" x14ac:dyDescent="0.3">
      <c r="A1287" t="s">
        <v>21</v>
      </c>
      <c r="B1287" t="s">
        <v>3798</v>
      </c>
      <c r="C1287" t="s">
        <v>270</v>
      </c>
      <c r="D1287" t="s">
        <v>3799</v>
      </c>
      <c r="E1287" t="s">
        <v>3799</v>
      </c>
      <c r="M1287" t="s">
        <v>411</v>
      </c>
      <c r="N1287" t="s">
        <v>259</v>
      </c>
      <c r="P1287" t="s">
        <v>260</v>
      </c>
      <c r="Q1287" t="s">
        <v>260</v>
      </c>
      <c r="R1287" t="s">
        <v>283</v>
      </c>
      <c r="S1287" t="s">
        <v>21</v>
      </c>
      <c r="T1287">
        <v>100</v>
      </c>
      <c r="W1287" t="s">
        <v>262</v>
      </c>
    </row>
    <row r="1288" spans="1:25" x14ac:dyDescent="0.3">
      <c r="A1288" t="s">
        <v>21</v>
      </c>
      <c r="B1288" t="s">
        <v>3800</v>
      </c>
      <c r="C1288" t="s">
        <v>270</v>
      </c>
      <c r="D1288" t="s">
        <v>3801</v>
      </c>
      <c r="E1288" t="s">
        <v>3801</v>
      </c>
      <c r="M1288" t="s">
        <v>411</v>
      </c>
      <c r="N1288" t="s">
        <v>259</v>
      </c>
      <c r="P1288" t="s">
        <v>260</v>
      </c>
      <c r="Q1288" t="s">
        <v>260</v>
      </c>
      <c r="R1288" t="s">
        <v>283</v>
      </c>
      <c r="S1288" t="s">
        <v>21</v>
      </c>
      <c r="T1288">
        <v>100</v>
      </c>
      <c r="W1288" t="s">
        <v>262</v>
      </c>
    </row>
    <row r="1289" spans="1:25" x14ac:dyDescent="0.3">
      <c r="A1289" t="s">
        <v>21</v>
      </c>
      <c r="B1289" t="s">
        <v>3802</v>
      </c>
      <c r="C1289" t="s">
        <v>270</v>
      </c>
      <c r="D1289" t="s">
        <v>3803</v>
      </c>
      <c r="E1289">
        <v>8801</v>
      </c>
      <c r="G1289" t="s">
        <v>3804</v>
      </c>
      <c r="M1289" t="s">
        <v>394</v>
      </c>
      <c r="N1289" t="s">
        <v>276</v>
      </c>
      <c r="P1289" t="s">
        <v>260</v>
      </c>
      <c r="Q1289" t="s">
        <v>260</v>
      </c>
      <c r="R1289" t="s">
        <v>261</v>
      </c>
      <c r="S1289" t="s">
        <v>21</v>
      </c>
      <c r="T1289">
        <v>100</v>
      </c>
      <c r="W1289" t="s">
        <v>262</v>
      </c>
    </row>
    <row r="1290" spans="1:25" x14ac:dyDescent="0.3">
      <c r="A1290" t="s">
        <v>21</v>
      </c>
      <c r="B1290" t="s">
        <v>3805</v>
      </c>
      <c r="C1290" t="s">
        <v>270</v>
      </c>
      <c r="D1290" t="s">
        <v>3806</v>
      </c>
      <c r="E1290">
        <v>8805</v>
      </c>
      <c r="M1290" t="s">
        <v>297</v>
      </c>
      <c r="N1290" t="s">
        <v>276</v>
      </c>
      <c r="P1290" t="s">
        <v>260</v>
      </c>
      <c r="Q1290" t="s">
        <v>260</v>
      </c>
      <c r="R1290" t="s">
        <v>261</v>
      </c>
      <c r="S1290" t="s">
        <v>21</v>
      </c>
      <c r="T1290">
        <v>100</v>
      </c>
      <c r="W1290" t="s">
        <v>262</v>
      </c>
    </row>
    <row r="1291" spans="1:25" x14ac:dyDescent="0.3">
      <c r="A1291" t="s">
        <v>21</v>
      </c>
      <c r="B1291" t="s">
        <v>3807</v>
      </c>
      <c r="C1291" t="s">
        <v>270</v>
      </c>
      <c r="D1291" t="s">
        <v>3808</v>
      </c>
      <c r="E1291" t="s">
        <v>3808</v>
      </c>
      <c r="M1291" t="s">
        <v>411</v>
      </c>
      <c r="N1291" t="s">
        <v>259</v>
      </c>
      <c r="P1291" t="s">
        <v>260</v>
      </c>
      <c r="Q1291" t="s">
        <v>260</v>
      </c>
      <c r="R1291" t="s">
        <v>283</v>
      </c>
      <c r="S1291" t="s">
        <v>21</v>
      </c>
      <c r="T1291">
        <v>100</v>
      </c>
      <c r="W1291" t="s">
        <v>262</v>
      </c>
    </row>
    <row r="1292" spans="1:25" x14ac:dyDescent="0.3">
      <c r="A1292" t="s">
        <v>21</v>
      </c>
      <c r="B1292" t="s">
        <v>3809</v>
      </c>
      <c r="C1292" t="s">
        <v>270</v>
      </c>
      <c r="D1292" t="s">
        <v>3810</v>
      </c>
      <c r="E1292" t="s">
        <v>3810</v>
      </c>
      <c r="M1292" t="s">
        <v>394</v>
      </c>
      <c r="N1292" t="s">
        <v>276</v>
      </c>
      <c r="P1292" t="s">
        <v>260</v>
      </c>
      <c r="Q1292" t="s">
        <v>260</v>
      </c>
      <c r="R1292" t="s">
        <v>283</v>
      </c>
      <c r="S1292" t="s">
        <v>21</v>
      </c>
      <c r="T1292">
        <v>100</v>
      </c>
      <c r="W1292" t="s">
        <v>262</v>
      </c>
    </row>
    <row r="1293" spans="1:25" x14ac:dyDescent="0.3">
      <c r="A1293" t="s">
        <v>21</v>
      </c>
      <c r="B1293" t="s">
        <v>3811</v>
      </c>
      <c r="C1293" t="s">
        <v>270</v>
      </c>
      <c r="D1293" t="s">
        <v>3812</v>
      </c>
      <c r="E1293">
        <v>91364</v>
      </c>
      <c r="H1293" t="s">
        <v>3813</v>
      </c>
      <c r="I1293" t="s">
        <v>3814</v>
      </c>
      <c r="J1293" t="s">
        <v>384</v>
      </c>
      <c r="K1293">
        <v>9810</v>
      </c>
      <c r="L1293" t="s">
        <v>276</v>
      </c>
      <c r="M1293" t="s">
        <v>384</v>
      </c>
      <c r="N1293" t="s">
        <v>276</v>
      </c>
      <c r="P1293" t="s">
        <v>260</v>
      </c>
      <c r="Q1293" t="s">
        <v>260</v>
      </c>
      <c r="R1293" t="s">
        <v>293</v>
      </c>
      <c r="S1293" t="s">
        <v>21</v>
      </c>
      <c r="T1293">
        <v>100</v>
      </c>
      <c r="W1293" t="s">
        <v>262</v>
      </c>
      <c r="X1293">
        <v>-46.387599999999999</v>
      </c>
      <c r="Y1293">
        <v>168.37719999999999</v>
      </c>
    </row>
    <row r="1294" spans="1:25" ht="225" customHeight="1" x14ac:dyDescent="0.3">
      <c r="A1294" t="s">
        <v>21</v>
      </c>
      <c r="B1294" t="s">
        <v>3815</v>
      </c>
      <c r="C1294" t="s">
        <v>2777</v>
      </c>
      <c r="D1294" t="s">
        <v>3816</v>
      </c>
      <c r="E1294">
        <v>91405</v>
      </c>
      <c r="G1294" s="10" t="s">
        <v>3817</v>
      </c>
      <c r="M1294" t="s">
        <v>384</v>
      </c>
      <c r="N1294" t="s">
        <v>276</v>
      </c>
      <c r="P1294" t="s">
        <v>260</v>
      </c>
      <c r="Q1294" t="s">
        <v>260</v>
      </c>
      <c r="R1294" t="s">
        <v>293</v>
      </c>
      <c r="S1294" t="s">
        <v>21</v>
      </c>
      <c r="T1294">
        <v>100</v>
      </c>
      <c r="W1294" t="s">
        <v>262</v>
      </c>
    </row>
    <row r="1295" spans="1:25" x14ac:dyDescent="0.3">
      <c r="A1295" t="s">
        <v>21</v>
      </c>
      <c r="B1295" t="s">
        <v>3818</v>
      </c>
      <c r="C1295" t="s">
        <v>270</v>
      </c>
      <c r="D1295" t="s">
        <v>3819</v>
      </c>
      <c r="E1295">
        <v>91368</v>
      </c>
      <c r="H1295" t="s">
        <v>3820</v>
      </c>
      <c r="I1295" t="s">
        <v>3821</v>
      </c>
      <c r="J1295" t="s">
        <v>384</v>
      </c>
      <c r="K1295">
        <v>9812</v>
      </c>
      <c r="L1295" t="s">
        <v>276</v>
      </c>
      <c r="M1295" t="s">
        <v>384</v>
      </c>
      <c r="N1295" t="s">
        <v>276</v>
      </c>
      <c r="P1295" t="s">
        <v>260</v>
      </c>
      <c r="Q1295" t="s">
        <v>260</v>
      </c>
      <c r="R1295" t="s">
        <v>293</v>
      </c>
      <c r="S1295" t="s">
        <v>21</v>
      </c>
      <c r="T1295">
        <v>100</v>
      </c>
      <c r="W1295" t="s">
        <v>262</v>
      </c>
      <c r="X1295">
        <v>-46.434800000000003</v>
      </c>
      <c r="Y1295">
        <v>168.37780000000001</v>
      </c>
    </row>
    <row r="1296" spans="1:25" x14ac:dyDescent="0.3">
      <c r="A1296" t="s">
        <v>21</v>
      </c>
      <c r="B1296" t="s">
        <v>3822</v>
      </c>
      <c r="C1296" t="s">
        <v>270</v>
      </c>
      <c r="D1296" t="s">
        <v>3823</v>
      </c>
      <c r="E1296">
        <v>561531</v>
      </c>
      <c r="H1296" t="s">
        <v>3824</v>
      </c>
      <c r="I1296" t="s">
        <v>3824</v>
      </c>
      <c r="J1296" t="s">
        <v>3824</v>
      </c>
      <c r="K1296">
        <v>9793</v>
      </c>
      <c r="L1296" t="s">
        <v>276</v>
      </c>
      <c r="M1296" t="s">
        <v>3825</v>
      </c>
      <c r="N1296" t="s">
        <v>276</v>
      </c>
      <c r="P1296" t="s">
        <v>260</v>
      </c>
      <c r="Q1296" t="s">
        <v>260</v>
      </c>
      <c r="R1296" t="s">
        <v>283</v>
      </c>
      <c r="S1296" t="s">
        <v>21</v>
      </c>
      <c r="T1296">
        <v>100</v>
      </c>
      <c r="W1296" t="s">
        <v>262</v>
      </c>
      <c r="X1296">
        <v>-45.5627</v>
      </c>
      <c r="Y1296">
        <v>168.56059999999999</v>
      </c>
    </row>
    <row r="1297" spans="1:26" x14ac:dyDescent="0.3">
      <c r="A1297" t="s">
        <v>21</v>
      </c>
      <c r="B1297" t="s">
        <v>3826</v>
      </c>
      <c r="C1297" t="s">
        <v>270</v>
      </c>
      <c r="D1297" t="s">
        <v>687</v>
      </c>
      <c r="E1297">
        <v>55670</v>
      </c>
      <c r="H1297" t="s">
        <v>3827</v>
      </c>
      <c r="I1297" t="s">
        <v>384</v>
      </c>
      <c r="J1297" t="s">
        <v>384</v>
      </c>
      <c r="K1297">
        <v>9810</v>
      </c>
      <c r="L1297" t="s">
        <v>276</v>
      </c>
      <c r="M1297" t="s">
        <v>384</v>
      </c>
      <c r="N1297" t="s">
        <v>276</v>
      </c>
      <c r="P1297" t="s">
        <v>260</v>
      </c>
      <c r="Q1297" t="s">
        <v>260</v>
      </c>
      <c r="R1297" t="s">
        <v>261</v>
      </c>
      <c r="S1297" t="s">
        <v>21</v>
      </c>
      <c r="T1297">
        <v>100</v>
      </c>
      <c r="W1297" t="s">
        <v>262</v>
      </c>
      <c r="X1297">
        <v>-46.421500000000002</v>
      </c>
      <c r="Y1297">
        <v>168.34530000000001</v>
      </c>
    </row>
    <row r="1298" spans="1:26" x14ac:dyDescent="0.3">
      <c r="A1298" t="s">
        <v>21</v>
      </c>
      <c r="B1298" t="s">
        <v>3828</v>
      </c>
      <c r="C1298" t="s">
        <v>270</v>
      </c>
      <c r="D1298" t="s">
        <v>3829</v>
      </c>
      <c r="E1298">
        <v>91366</v>
      </c>
      <c r="H1298" t="s">
        <v>3830</v>
      </c>
      <c r="I1298" t="s">
        <v>3831</v>
      </c>
      <c r="J1298" t="s">
        <v>384</v>
      </c>
      <c r="K1298">
        <v>9810</v>
      </c>
      <c r="L1298" t="s">
        <v>276</v>
      </c>
      <c r="M1298" t="s">
        <v>384</v>
      </c>
      <c r="N1298" t="s">
        <v>276</v>
      </c>
      <c r="P1298" t="s">
        <v>260</v>
      </c>
      <c r="Q1298" t="s">
        <v>260</v>
      </c>
      <c r="R1298" t="s">
        <v>293</v>
      </c>
      <c r="S1298" t="s">
        <v>21</v>
      </c>
      <c r="T1298">
        <v>100</v>
      </c>
      <c r="W1298" t="s">
        <v>262</v>
      </c>
      <c r="X1298">
        <v>-46.412799999999997</v>
      </c>
      <c r="Y1298">
        <v>168.36930000000001</v>
      </c>
    </row>
    <row r="1299" spans="1:26" x14ac:dyDescent="0.3">
      <c r="A1299" t="s">
        <v>21</v>
      </c>
      <c r="B1299" t="s">
        <v>3832</v>
      </c>
      <c r="C1299" t="s">
        <v>2833</v>
      </c>
      <c r="D1299" t="s">
        <v>3833</v>
      </c>
      <c r="E1299">
        <v>148</v>
      </c>
      <c r="H1299" t="s">
        <v>3834</v>
      </c>
      <c r="I1299" t="s">
        <v>3832</v>
      </c>
      <c r="J1299" t="s">
        <v>258</v>
      </c>
      <c r="K1299">
        <v>7250</v>
      </c>
      <c r="L1299" t="s">
        <v>259</v>
      </c>
      <c r="M1299" t="s">
        <v>257</v>
      </c>
      <c r="N1299" t="s">
        <v>259</v>
      </c>
      <c r="P1299" t="s">
        <v>260</v>
      </c>
      <c r="Q1299" t="s">
        <v>260</v>
      </c>
      <c r="R1299" t="s">
        <v>261</v>
      </c>
      <c r="S1299" t="s">
        <v>21</v>
      </c>
      <c r="T1299">
        <v>100</v>
      </c>
      <c r="W1299" t="s">
        <v>262</v>
      </c>
      <c r="X1299">
        <v>-41.426000000000002</v>
      </c>
      <c r="Y1299">
        <v>147.13300000000001</v>
      </c>
      <c r="Z1299">
        <v>170</v>
      </c>
    </row>
    <row r="1300" spans="1:26" x14ac:dyDescent="0.3">
      <c r="A1300" t="s">
        <v>21</v>
      </c>
      <c r="B1300" t="s">
        <v>3835</v>
      </c>
      <c r="C1300" t="s">
        <v>270</v>
      </c>
      <c r="D1300" t="s">
        <v>3836</v>
      </c>
      <c r="E1300">
        <v>55948</v>
      </c>
      <c r="H1300" t="s">
        <v>2433</v>
      </c>
      <c r="I1300" t="s">
        <v>1343</v>
      </c>
      <c r="J1300" t="s">
        <v>297</v>
      </c>
      <c r="K1300">
        <v>2104</v>
      </c>
      <c r="L1300" t="s">
        <v>276</v>
      </c>
      <c r="M1300" t="s">
        <v>631</v>
      </c>
      <c r="N1300" t="s">
        <v>276</v>
      </c>
      <c r="P1300" t="s">
        <v>260</v>
      </c>
      <c r="Q1300" t="s">
        <v>260</v>
      </c>
      <c r="R1300" t="s">
        <v>261</v>
      </c>
      <c r="S1300" t="s">
        <v>21</v>
      </c>
      <c r="T1300">
        <v>100</v>
      </c>
      <c r="W1300" t="s">
        <v>262</v>
      </c>
      <c r="X1300">
        <v>-37.008299999999998</v>
      </c>
      <c r="Y1300">
        <v>174.87049999999999</v>
      </c>
    </row>
    <row r="1301" spans="1:26" x14ac:dyDescent="0.3">
      <c r="A1301" t="s">
        <v>21</v>
      </c>
      <c r="B1301" t="s">
        <v>3837</v>
      </c>
      <c r="C1301" t="s">
        <v>270</v>
      </c>
      <c r="D1301" t="s">
        <v>3838</v>
      </c>
      <c r="E1301">
        <v>10082</v>
      </c>
      <c r="G1301">
        <v>10.082000000000001</v>
      </c>
      <c r="H1301" t="s">
        <v>2433</v>
      </c>
      <c r="I1301" t="s">
        <v>1343</v>
      </c>
      <c r="J1301" t="s">
        <v>297</v>
      </c>
      <c r="K1301">
        <v>2104</v>
      </c>
      <c r="L1301" t="s">
        <v>276</v>
      </c>
      <c r="M1301" t="s">
        <v>631</v>
      </c>
      <c r="N1301" t="s">
        <v>276</v>
      </c>
      <c r="P1301" t="s">
        <v>260</v>
      </c>
      <c r="Q1301" t="s">
        <v>260</v>
      </c>
      <c r="R1301" t="s">
        <v>283</v>
      </c>
      <c r="S1301" t="s">
        <v>21</v>
      </c>
      <c r="T1301">
        <v>100</v>
      </c>
      <c r="W1301" t="s">
        <v>262</v>
      </c>
      <c r="X1301">
        <v>-37.008299999999998</v>
      </c>
      <c r="Y1301">
        <v>174.87049999999999</v>
      </c>
    </row>
    <row r="1302" spans="1:26" x14ac:dyDescent="0.3">
      <c r="A1302" t="s">
        <v>21</v>
      </c>
      <c r="B1302" t="s">
        <v>3839</v>
      </c>
      <c r="C1302" t="s">
        <v>270</v>
      </c>
      <c r="D1302" t="s">
        <v>3840</v>
      </c>
      <c r="E1302">
        <v>92007</v>
      </c>
      <c r="H1302" t="s">
        <v>2433</v>
      </c>
      <c r="I1302" t="s">
        <v>1343</v>
      </c>
      <c r="J1302" t="s">
        <v>297</v>
      </c>
      <c r="K1302">
        <v>2104</v>
      </c>
      <c r="L1302" t="s">
        <v>276</v>
      </c>
      <c r="M1302" t="s">
        <v>631</v>
      </c>
      <c r="N1302" t="s">
        <v>276</v>
      </c>
      <c r="P1302" t="s">
        <v>260</v>
      </c>
      <c r="Q1302" t="s">
        <v>260</v>
      </c>
      <c r="R1302" t="s">
        <v>293</v>
      </c>
      <c r="S1302" t="s">
        <v>21</v>
      </c>
      <c r="T1302">
        <v>100</v>
      </c>
      <c r="W1302" t="s">
        <v>262</v>
      </c>
      <c r="X1302">
        <v>-37.008299999999998</v>
      </c>
      <c r="Y1302">
        <v>174.87049999999999</v>
      </c>
    </row>
    <row r="1303" spans="1:26" x14ac:dyDescent="0.3">
      <c r="A1303" t="s">
        <v>21</v>
      </c>
      <c r="B1303" t="s">
        <v>3841</v>
      </c>
      <c r="C1303" t="s">
        <v>270</v>
      </c>
      <c r="D1303" t="s">
        <v>3842</v>
      </c>
      <c r="E1303">
        <v>92006</v>
      </c>
      <c r="M1303" t="s">
        <v>631</v>
      </c>
      <c r="N1303" t="s">
        <v>276</v>
      </c>
      <c r="P1303" t="s">
        <v>260</v>
      </c>
      <c r="Q1303" t="s">
        <v>260</v>
      </c>
      <c r="R1303" t="s">
        <v>293</v>
      </c>
      <c r="S1303" t="s">
        <v>21</v>
      </c>
      <c r="T1303">
        <v>100</v>
      </c>
      <c r="W1303" t="s">
        <v>262</v>
      </c>
    </row>
    <row r="1304" spans="1:26" x14ac:dyDescent="0.3">
      <c r="A1304" t="s">
        <v>21</v>
      </c>
      <c r="B1304" t="s">
        <v>3843</v>
      </c>
      <c r="C1304" t="s">
        <v>270</v>
      </c>
      <c r="D1304" t="s">
        <v>3844</v>
      </c>
      <c r="E1304">
        <v>54402</v>
      </c>
      <c r="M1304" t="s">
        <v>631</v>
      </c>
      <c r="N1304" t="s">
        <v>276</v>
      </c>
      <c r="P1304" t="s">
        <v>260</v>
      </c>
      <c r="Q1304" t="s">
        <v>260</v>
      </c>
      <c r="R1304" t="s">
        <v>261</v>
      </c>
      <c r="S1304" t="s">
        <v>21</v>
      </c>
      <c r="T1304">
        <v>100</v>
      </c>
      <c r="W1304" t="s">
        <v>262</v>
      </c>
    </row>
    <row r="1305" spans="1:26" x14ac:dyDescent="0.3">
      <c r="A1305" t="s">
        <v>21</v>
      </c>
      <c r="B1305" t="s">
        <v>3845</v>
      </c>
      <c r="C1305" t="s">
        <v>270</v>
      </c>
      <c r="D1305" t="s">
        <v>3846</v>
      </c>
      <c r="E1305">
        <v>54326</v>
      </c>
      <c r="G1305" t="s">
        <v>3847</v>
      </c>
      <c r="M1305" t="s">
        <v>390</v>
      </c>
      <c r="N1305" t="s">
        <v>276</v>
      </c>
      <c r="P1305" t="s">
        <v>260</v>
      </c>
      <c r="Q1305" t="s">
        <v>260</v>
      </c>
      <c r="R1305" t="s">
        <v>261</v>
      </c>
      <c r="S1305" t="s">
        <v>21</v>
      </c>
      <c r="T1305">
        <v>100</v>
      </c>
      <c r="W1305" t="s">
        <v>262</v>
      </c>
    </row>
    <row r="1306" spans="1:26" x14ac:dyDescent="0.3">
      <c r="A1306" t="s">
        <v>21</v>
      </c>
      <c r="B1306" t="s">
        <v>3848</v>
      </c>
      <c r="C1306" t="s">
        <v>270</v>
      </c>
      <c r="D1306" t="s">
        <v>3849</v>
      </c>
      <c r="E1306">
        <v>54336</v>
      </c>
      <c r="M1306" t="s">
        <v>425</v>
      </c>
      <c r="N1306" t="s">
        <v>276</v>
      </c>
      <c r="P1306" t="s">
        <v>260</v>
      </c>
      <c r="Q1306" t="s">
        <v>260</v>
      </c>
      <c r="R1306" t="s">
        <v>261</v>
      </c>
      <c r="S1306" t="s">
        <v>21</v>
      </c>
      <c r="T1306">
        <v>100</v>
      </c>
      <c r="W1306" t="s">
        <v>262</v>
      </c>
    </row>
    <row r="1307" spans="1:26" x14ac:dyDescent="0.3">
      <c r="A1307" t="s">
        <v>21</v>
      </c>
      <c r="B1307" t="s">
        <v>3850</v>
      </c>
      <c r="C1307" t="s">
        <v>270</v>
      </c>
      <c r="D1307" t="s">
        <v>3851</v>
      </c>
      <c r="E1307" t="s">
        <v>3851</v>
      </c>
      <c r="F1307" t="s">
        <v>3851</v>
      </c>
      <c r="M1307" t="s">
        <v>297</v>
      </c>
      <c r="N1307" t="s">
        <v>276</v>
      </c>
      <c r="P1307" t="s">
        <v>260</v>
      </c>
      <c r="Q1307" t="s">
        <v>260</v>
      </c>
      <c r="R1307" t="s">
        <v>283</v>
      </c>
      <c r="S1307" t="s">
        <v>21</v>
      </c>
      <c r="T1307">
        <v>100</v>
      </c>
      <c r="W1307" t="s">
        <v>262</v>
      </c>
    </row>
    <row r="1308" spans="1:26" x14ac:dyDescent="0.3">
      <c r="A1308" t="s">
        <v>21</v>
      </c>
      <c r="B1308" t="s">
        <v>3852</v>
      </c>
      <c r="C1308" t="s">
        <v>1111</v>
      </c>
      <c r="D1308" t="s">
        <v>3853</v>
      </c>
      <c r="E1308">
        <v>554560</v>
      </c>
      <c r="G1308" t="s">
        <v>3854</v>
      </c>
      <c r="M1308" t="s">
        <v>425</v>
      </c>
      <c r="N1308" t="s">
        <v>276</v>
      </c>
      <c r="P1308" t="s">
        <v>260</v>
      </c>
      <c r="Q1308" t="s">
        <v>260</v>
      </c>
      <c r="R1308" t="s">
        <v>261</v>
      </c>
      <c r="S1308" t="s">
        <v>21</v>
      </c>
      <c r="T1308">
        <v>100</v>
      </c>
      <c r="W1308" t="s">
        <v>262</v>
      </c>
    </row>
    <row r="1309" spans="1:26" x14ac:dyDescent="0.3">
      <c r="A1309" t="s">
        <v>21</v>
      </c>
      <c r="B1309" t="s">
        <v>3855</v>
      </c>
      <c r="C1309" t="s">
        <v>270</v>
      </c>
      <c r="D1309" t="s">
        <v>3856</v>
      </c>
      <c r="E1309">
        <v>561535</v>
      </c>
      <c r="H1309" t="s">
        <v>3857</v>
      </c>
      <c r="I1309" t="s">
        <v>692</v>
      </c>
      <c r="J1309" t="s">
        <v>692</v>
      </c>
      <c r="K1309">
        <v>7300</v>
      </c>
      <c r="L1309" t="s">
        <v>276</v>
      </c>
      <c r="M1309" t="s">
        <v>692</v>
      </c>
      <c r="N1309" t="s">
        <v>276</v>
      </c>
      <c r="P1309" t="s">
        <v>260</v>
      </c>
      <c r="Q1309" t="s">
        <v>260</v>
      </c>
      <c r="R1309" t="s">
        <v>283</v>
      </c>
      <c r="S1309" t="s">
        <v>21</v>
      </c>
      <c r="T1309">
        <v>100</v>
      </c>
      <c r="W1309" t="s">
        <v>262</v>
      </c>
      <c r="X1309">
        <v>-42.418599999999998</v>
      </c>
      <c r="Y1309">
        <v>173.69370000000001</v>
      </c>
    </row>
    <row r="1310" spans="1:26" x14ac:dyDescent="0.3">
      <c r="A1310" t="s">
        <v>21</v>
      </c>
      <c r="B1310" t="s">
        <v>3858</v>
      </c>
      <c r="C1310" t="s">
        <v>299</v>
      </c>
      <c r="D1310" t="s">
        <v>3859</v>
      </c>
      <c r="E1310" t="s">
        <v>3859</v>
      </c>
      <c r="M1310" t="s">
        <v>394</v>
      </c>
      <c r="N1310" t="s">
        <v>276</v>
      </c>
      <c r="P1310" t="s">
        <v>260</v>
      </c>
      <c r="Q1310" t="s">
        <v>260</v>
      </c>
      <c r="R1310" t="s">
        <v>261</v>
      </c>
      <c r="S1310" t="s">
        <v>21</v>
      </c>
      <c r="T1310">
        <v>100</v>
      </c>
      <c r="W1310" t="s">
        <v>262</v>
      </c>
    </row>
    <row r="1311" spans="1:26" x14ac:dyDescent="0.3">
      <c r="A1311" t="s">
        <v>21</v>
      </c>
      <c r="B1311" t="s">
        <v>3860</v>
      </c>
      <c r="C1311" t="s">
        <v>270</v>
      </c>
      <c r="D1311" t="s">
        <v>3861</v>
      </c>
      <c r="E1311">
        <v>54338</v>
      </c>
      <c r="M1311" t="s">
        <v>297</v>
      </c>
      <c r="N1311" t="s">
        <v>276</v>
      </c>
      <c r="P1311" t="s">
        <v>260</v>
      </c>
      <c r="Q1311" t="s">
        <v>260</v>
      </c>
      <c r="R1311" t="s">
        <v>261</v>
      </c>
      <c r="S1311" t="s">
        <v>21</v>
      </c>
      <c r="T1311">
        <v>100</v>
      </c>
      <c r="W1311" t="s">
        <v>262</v>
      </c>
    </row>
    <row r="1312" spans="1:26" x14ac:dyDescent="0.3">
      <c r="A1312" t="s">
        <v>21</v>
      </c>
      <c r="B1312" t="s">
        <v>3862</v>
      </c>
      <c r="C1312" t="s">
        <v>270</v>
      </c>
      <c r="D1312" t="s">
        <v>3863</v>
      </c>
      <c r="E1312">
        <v>54331</v>
      </c>
      <c r="M1312" t="s">
        <v>297</v>
      </c>
      <c r="N1312" t="s">
        <v>276</v>
      </c>
      <c r="P1312" t="s">
        <v>260</v>
      </c>
      <c r="Q1312" t="s">
        <v>260</v>
      </c>
      <c r="R1312" t="s">
        <v>261</v>
      </c>
      <c r="S1312" t="s">
        <v>21</v>
      </c>
      <c r="T1312">
        <v>100</v>
      </c>
      <c r="W1312" t="s">
        <v>262</v>
      </c>
    </row>
    <row r="1313" spans="1:26" x14ac:dyDescent="0.3">
      <c r="A1313" t="s">
        <v>21</v>
      </c>
      <c r="B1313" t="s">
        <v>3864</v>
      </c>
      <c r="C1313" t="s">
        <v>299</v>
      </c>
      <c r="D1313" t="s">
        <v>3865</v>
      </c>
      <c r="E1313" t="s">
        <v>3864</v>
      </c>
      <c r="M1313" t="s">
        <v>312</v>
      </c>
      <c r="N1313" t="s">
        <v>259</v>
      </c>
      <c r="P1313" t="s">
        <v>260</v>
      </c>
      <c r="Q1313" t="s">
        <v>260</v>
      </c>
      <c r="R1313" t="s">
        <v>261</v>
      </c>
      <c r="S1313" t="s">
        <v>21</v>
      </c>
      <c r="T1313">
        <v>100</v>
      </c>
      <c r="W1313" t="s">
        <v>262</v>
      </c>
    </row>
    <row r="1314" spans="1:26" x14ac:dyDescent="0.3">
      <c r="A1314" t="s">
        <v>21</v>
      </c>
      <c r="B1314" t="s">
        <v>3866</v>
      </c>
      <c r="C1314" t="s">
        <v>270</v>
      </c>
      <c r="D1314" t="s">
        <v>3867</v>
      </c>
      <c r="E1314">
        <v>1514</v>
      </c>
      <c r="M1314" t="s">
        <v>631</v>
      </c>
      <c r="N1314" t="s">
        <v>276</v>
      </c>
      <c r="P1314" t="s">
        <v>260</v>
      </c>
      <c r="Q1314" t="s">
        <v>260</v>
      </c>
      <c r="R1314" t="s">
        <v>283</v>
      </c>
      <c r="S1314" t="s">
        <v>21</v>
      </c>
      <c r="T1314">
        <v>100</v>
      </c>
      <c r="W1314" t="s">
        <v>262</v>
      </c>
    </row>
    <row r="1315" spans="1:26" x14ac:dyDescent="0.3">
      <c r="A1315" t="s">
        <v>21</v>
      </c>
      <c r="B1315" t="s">
        <v>3868</v>
      </c>
      <c r="C1315" t="s">
        <v>270</v>
      </c>
      <c r="D1315" t="s">
        <v>3869</v>
      </c>
      <c r="E1315">
        <v>54706</v>
      </c>
      <c r="M1315" t="s">
        <v>297</v>
      </c>
      <c r="N1315" t="s">
        <v>276</v>
      </c>
      <c r="P1315" t="s">
        <v>260</v>
      </c>
      <c r="Q1315" t="s">
        <v>260</v>
      </c>
      <c r="R1315" t="s">
        <v>261</v>
      </c>
      <c r="S1315" t="s">
        <v>21</v>
      </c>
      <c r="T1315">
        <v>100</v>
      </c>
      <c r="W1315" t="s">
        <v>262</v>
      </c>
    </row>
    <row r="1316" spans="1:26" x14ac:dyDescent="0.3">
      <c r="A1316" t="s">
        <v>21</v>
      </c>
      <c r="B1316" t="s">
        <v>3870</v>
      </c>
      <c r="C1316" t="s">
        <v>270</v>
      </c>
      <c r="D1316" t="s">
        <v>3871</v>
      </c>
      <c r="E1316">
        <v>54337</v>
      </c>
      <c r="M1316" t="s">
        <v>297</v>
      </c>
      <c r="N1316" t="s">
        <v>276</v>
      </c>
      <c r="P1316" t="s">
        <v>260</v>
      </c>
      <c r="Q1316" t="s">
        <v>260</v>
      </c>
      <c r="R1316" t="s">
        <v>261</v>
      </c>
      <c r="S1316" t="s">
        <v>21</v>
      </c>
      <c r="T1316">
        <v>100</v>
      </c>
      <c r="W1316" t="s">
        <v>262</v>
      </c>
    </row>
    <row r="1317" spans="1:26" x14ac:dyDescent="0.3">
      <c r="A1317" t="s">
        <v>21</v>
      </c>
      <c r="B1317" t="s">
        <v>3872</v>
      </c>
      <c r="C1317" t="s">
        <v>270</v>
      </c>
      <c r="D1317" t="s">
        <v>3867</v>
      </c>
      <c r="E1317">
        <v>56903</v>
      </c>
      <c r="F1317">
        <v>56903</v>
      </c>
      <c r="M1317" t="s">
        <v>403</v>
      </c>
      <c r="N1317" t="s">
        <v>276</v>
      </c>
      <c r="P1317" t="s">
        <v>260</v>
      </c>
      <c r="Q1317" t="s">
        <v>260</v>
      </c>
      <c r="R1317" t="s">
        <v>283</v>
      </c>
      <c r="S1317" t="s">
        <v>21</v>
      </c>
      <c r="T1317">
        <v>100</v>
      </c>
      <c r="W1317" t="s">
        <v>262</v>
      </c>
    </row>
    <row r="1318" spans="1:26" x14ac:dyDescent="0.3">
      <c r="A1318" t="s">
        <v>21</v>
      </c>
      <c r="B1318" t="s">
        <v>3873</v>
      </c>
      <c r="C1318" t="s">
        <v>299</v>
      </c>
      <c r="D1318" t="s">
        <v>1126</v>
      </c>
      <c r="E1318" t="s">
        <v>3874</v>
      </c>
      <c r="M1318" t="s">
        <v>282</v>
      </c>
      <c r="N1318" t="s">
        <v>259</v>
      </c>
      <c r="P1318" t="s">
        <v>260</v>
      </c>
      <c r="Q1318" t="s">
        <v>260</v>
      </c>
      <c r="R1318" t="s">
        <v>261</v>
      </c>
      <c r="S1318" t="s">
        <v>21</v>
      </c>
      <c r="T1318">
        <v>100</v>
      </c>
      <c r="W1318" t="s">
        <v>262</v>
      </c>
    </row>
    <row r="1319" spans="1:26" x14ac:dyDescent="0.3">
      <c r="A1319" t="s">
        <v>21</v>
      </c>
      <c r="B1319" t="s">
        <v>3875</v>
      </c>
      <c r="C1319" t="s">
        <v>270</v>
      </c>
      <c r="D1319" t="s">
        <v>3876</v>
      </c>
      <c r="E1319">
        <v>54335</v>
      </c>
      <c r="G1319" t="s">
        <v>3877</v>
      </c>
      <c r="M1319" t="s">
        <v>403</v>
      </c>
      <c r="N1319" t="s">
        <v>276</v>
      </c>
      <c r="P1319" t="s">
        <v>260</v>
      </c>
      <c r="Q1319" t="s">
        <v>260</v>
      </c>
      <c r="R1319" t="s">
        <v>261</v>
      </c>
      <c r="S1319" t="s">
        <v>21</v>
      </c>
      <c r="T1319">
        <v>100</v>
      </c>
      <c r="W1319" t="s">
        <v>262</v>
      </c>
    </row>
    <row r="1320" spans="1:26" x14ac:dyDescent="0.3">
      <c r="A1320" t="s">
        <v>21</v>
      </c>
      <c r="B1320" t="s">
        <v>3878</v>
      </c>
      <c r="C1320" t="s">
        <v>1861</v>
      </c>
      <c r="D1320" t="s">
        <v>3879</v>
      </c>
      <c r="E1320" t="s">
        <v>3880</v>
      </c>
      <c r="G1320" t="s">
        <v>3881</v>
      </c>
      <c r="M1320" t="s">
        <v>384</v>
      </c>
      <c r="N1320" t="s">
        <v>276</v>
      </c>
      <c r="P1320" t="s">
        <v>260</v>
      </c>
      <c r="Q1320" t="s">
        <v>260</v>
      </c>
      <c r="R1320" t="s">
        <v>261</v>
      </c>
      <c r="S1320" t="s">
        <v>21</v>
      </c>
      <c r="T1320">
        <v>100</v>
      </c>
      <c r="W1320" t="s">
        <v>262</v>
      </c>
    </row>
    <row r="1321" spans="1:26" x14ac:dyDescent="0.3">
      <c r="A1321" t="s">
        <v>21</v>
      </c>
      <c r="B1321" t="s">
        <v>3882</v>
      </c>
      <c r="C1321" t="s">
        <v>2894</v>
      </c>
      <c r="D1321" t="s">
        <v>3883</v>
      </c>
      <c r="E1321">
        <v>91251</v>
      </c>
      <c r="G1321" t="s">
        <v>3884</v>
      </c>
      <c r="M1321" t="s">
        <v>403</v>
      </c>
      <c r="N1321" t="s">
        <v>276</v>
      </c>
      <c r="P1321" t="s">
        <v>260</v>
      </c>
      <c r="Q1321" t="s">
        <v>260</v>
      </c>
      <c r="R1321" t="s">
        <v>261</v>
      </c>
      <c r="S1321" t="s">
        <v>21</v>
      </c>
      <c r="T1321">
        <v>100</v>
      </c>
      <c r="W1321" t="s">
        <v>262</v>
      </c>
    </row>
    <row r="1322" spans="1:26" x14ac:dyDescent="0.3">
      <c r="A1322" t="s">
        <v>21</v>
      </c>
      <c r="B1322" t="s">
        <v>3885</v>
      </c>
      <c r="C1322" t="s">
        <v>270</v>
      </c>
      <c r="D1322" t="s">
        <v>690</v>
      </c>
      <c r="E1322">
        <v>55626</v>
      </c>
      <c r="H1322" t="s">
        <v>3886</v>
      </c>
      <c r="I1322" t="s">
        <v>692</v>
      </c>
      <c r="J1322" t="s">
        <v>692</v>
      </c>
      <c r="K1322">
        <v>7371</v>
      </c>
      <c r="L1322" t="s">
        <v>276</v>
      </c>
      <c r="M1322" t="s">
        <v>692</v>
      </c>
      <c r="N1322" t="s">
        <v>276</v>
      </c>
      <c r="P1322" t="s">
        <v>260</v>
      </c>
      <c r="Q1322" t="s">
        <v>260</v>
      </c>
      <c r="R1322" t="s">
        <v>261</v>
      </c>
      <c r="S1322" t="s">
        <v>21</v>
      </c>
      <c r="T1322">
        <v>100</v>
      </c>
      <c r="W1322" t="s">
        <v>262</v>
      </c>
      <c r="X1322">
        <v>-42.386499999999998</v>
      </c>
      <c r="Y1322">
        <v>173.62350000000001</v>
      </c>
    </row>
    <row r="1323" spans="1:26" x14ac:dyDescent="0.3">
      <c r="A1323" t="s">
        <v>21</v>
      </c>
      <c r="B1323" t="s">
        <v>3887</v>
      </c>
      <c r="C1323" t="s">
        <v>270</v>
      </c>
      <c r="D1323" t="s">
        <v>3888</v>
      </c>
      <c r="E1323" t="s">
        <v>3888</v>
      </c>
      <c r="M1323" t="s">
        <v>394</v>
      </c>
      <c r="N1323" t="s">
        <v>276</v>
      </c>
      <c r="P1323" t="s">
        <v>260</v>
      </c>
      <c r="Q1323" t="s">
        <v>260</v>
      </c>
      <c r="R1323" t="s">
        <v>283</v>
      </c>
      <c r="S1323" t="s">
        <v>21</v>
      </c>
      <c r="T1323">
        <v>100</v>
      </c>
      <c r="W1323" t="s">
        <v>262</v>
      </c>
    </row>
    <row r="1324" spans="1:26" x14ac:dyDescent="0.3">
      <c r="A1324" t="s">
        <v>21</v>
      </c>
      <c r="B1324" t="s">
        <v>3889</v>
      </c>
      <c r="C1324" t="s">
        <v>270</v>
      </c>
      <c r="D1324" t="s">
        <v>3890</v>
      </c>
      <c r="E1324">
        <v>66201</v>
      </c>
      <c r="H1324" t="s">
        <v>2433</v>
      </c>
      <c r="I1324" t="s">
        <v>1343</v>
      </c>
      <c r="J1324" t="s">
        <v>297</v>
      </c>
      <c r="K1324">
        <v>2104</v>
      </c>
      <c r="L1324" t="s">
        <v>276</v>
      </c>
      <c r="M1324" t="s">
        <v>631</v>
      </c>
      <c r="N1324" t="s">
        <v>276</v>
      </c>
      <c r="P1324" t="s">
        <v>260</v>
      </c>
      <c r="Q1324" t="s">
        <v>260</v>
      </c>
      <c r="R1324" t="s">
        <v>261</v>
      </c>
      <c r="S1324" t="s">
        <v>21</v>
      </c>
      <c r="T1324">
        <v>100</v>
      </c>
      <c r="W1324" t="s">
        <v>262</v>
      </c>
      <c r="X1324">
        <v>-37.008299999999998</v>
      </c>
      <c r="Y1324">
        <v>174.87049999999999</v>
      </c>
    </row>
    <row r="1325" spans="1:26" x14ac:dyDescent="0.3">
      <c r="A1325" t="s">
        <v>21</v>
      </c>
      <c r="B1325" t="s">
        <v>3891</v>
      </c>
      <c r="C1325" t="s">
        <v>528</v>
      </c>
      <c r="D1325" t="s">
        <v>3892</v>
      </c>
      <c r="E1325" t="s">
        <v>3893</v>
      </c>
      <c r="F1325">
        <v>150</v>
      </c>
      <c r="H1325" t="s">
        <v>3894</v>
      </c>
      <c r="I1325" t="s">
        <v>3891</v>
      </c>
      <c r="J1325" t="s">
        <v>555</v>
      </c>
      <c r="K1325">
        <v>6430</v>
      </c>
      <c r="L1325" t="s">
        <v>259</v>
      </c>
      <c r="M1325" t="s">
        <v>503</v>
      </c>
      <c r="N1325" t="s">
        <v>259</v>
      </c>
      <c r="P1325" t="s">
        <v>260</v>
      </c>
      <c r="Q1325" t="s">
        <v>260</v>
      </c>
      <c r="R1325" t="s">
        <v>283</v>
      </c>
      <c r="S1325" t="s">
        <v>21</v>
      </c>
      <c r="T1325">
        <v>100</v>
      </c>
      <c r="W1325" t="s">
        <v>262</v>
      </c>
      <c r="X1325">
        <v>-30.747015000000001</v>
      </c>
      <c r="Y1325">
        <v>121.47485500000001</v>
      </c>
      <c r="Z1325">
        <v>692</v>
      </c>
    </row>
    <row r="1326" spans="1:26" x14ac:dyDescent="0.3">
      <c r="A1326" t="s">
        <v>21</v>
      </c>
      <c r="B1326" t="s">
        <v>3895</v>
      </c>
      <c r="C1326" t="s">
        <v>299</v>
      </c>
      <c r="D1326" t="s">
        <v>3896</v>
      </c>
      <c r="E1326">
        <v>154</v>
      </c>
      <c r="H1326" t="s">
        <v>3897</v>
      </c>
      <c r="I1326" t="s">
        <v>3895</v>
      </c>
      <c r="J1326" t="s">
        <v>2454</v>
      </c>
      <c r="K1326">
        <v>850</v>
      </c>
      <c r="L1326" t="s">
        <v>259</v>
      </c>
      <c r="M1326" t="s">
        <v>537</v>
      </c>
      <c r="N1326" t="s">
        <v>259</v>
      </c>
      <c r="P1326" t="s">
        <v>260</v>
      </c>
      <c r="Q1326" t="s">
        <v>260</v>
      </c>
      <c r="R1326" t="s">
        <v>261</v>
      </c>
      <c r="S1326" t="s">
        <v>21</v>
      </c>
      <c r="T1326">
        <v>100</v>
      </c>
      <c r="W1326" t="s">
        <v>262</v>
      </c>
      <c r="X1326">
        <v>-14.439</v>
      </c>
      <c r="Y1326">
        <v>132.256</v>
      </c>
      <c r="Z1326">
        <v>310</v>
      </c>
    </row>
    <row r="1327" spans="1:26" x14ac:dyDescent="0.3">
      <c r="A1327" t="s">
        <v>21</v>
      </c>
      <c r="B1327" t="s">
        <v>3898</v>
      </c>
      <c r="C1327" t="s">
        <v>270</v>
      </c>
      <c r="D1327" t="s">
        <v>3899</v>
      </c>
      <c r="E1327">
        <v>561124</v>
      </c>
      <c r="M1327" t="s">
        <v>631</v>
      </c>
      <c r="N1327" t="s">
        <v>276</v>
      </c>
      <c r="P1327" t="s">
        <v>260</v>
      </c>
      <c r="Q1327" t="s">
        <v>260</v>
      </c>
      <c r="R1327" t="s">
        <v>283</v>
      </c>
      <c r="S1327" t="s">
        <v>21</v>
      </c>
      <c r="T1327">
        <v>100</v>
      </c>
      <c r="W1327" t="s">
        <v>262</v>
      </c>
    </row>
    <row r="1328" spans="1:26" x14ac:dyDescent="0.3">
      <c r="A1328" t="s">
        <v>21</v>
      </c>
      <c r="B1328" t="s">
        <v>3900</v>
      </c>
      <c r="C1328" t="s">
        <v>1877</v>
      </c>
      <c r="D1328" t="s">
        <v>3901</v>
      </c>
      <c r="E1328">
        <v>9045</v>
      </c>
      <c r="H1328" t="s">
        <v>3902</v>
      </c>
      <c r="I1328" t="s">
        <v>3903</v>
      </c>
      <c r="J1328" t="s">
        <v>335</v>
      </c>
      <c r="K1328">
        <v>3031</v>
      </c>
      <c r="M1328" t="s">
        <v>282</v>
      </c>
      <c r="N1328" t="s">
        <v>259</v>
      </c>
      <c r="P1328" t="s">
        <v>260</v>
      </c>
      <c r="Q1328" t="s">
        <v>260</v>
      </c>
      <c r="R1328" t="s">
        <v>268</v>
      </c>
      <c r="S1328" t="s">
        <v>21</v>
      </c>
      <c r="T1328">
        <v>100</v>
      </c>
      <c r="W1328" t="s">
        <v>262</v>
      </c>
      <c r="X1328">
        <v>-37.797016999999997</v>
      </c>
      <c r="Y1328">
        <v>144.91802000000001</v>
      </c>
      <c r="Z1328">
        <v>530</v>
      </c>
    </row>
    <row r="1329" spans="1:26" x14ac:dyDescent="0.3">
      <c r="A1329" t="s">
        <v>21</v>
      </c>
      <c r="B1329" t="s">
        <v>3904</v>
      </c>
      <c r="C1329" t="s">
        <v>270</v>
      </c>
      <c r="D1329" t="s">
        <v>3905</v>
      </c>
      <c r="E1329">
        <v>1019</v>
      </c>
      <c r="M1329" t="s">
        <v>312</v>
      </c>
      <c r="N1329" t="s">
        <v>259</v>
      </c>
      <c r="P1329" t="s">
        <v>260</v>
      </c>
      <c r="Q1329" t="s">
        <v>260</v>
      </c>
      <c r="R1329" t="s">
        <v>1625</v>
      </c>
      <c r="S1329" t="s">
        <v>21</v>
      </c>
      <c r="T1329">
        <v>100</v>
      </c>
      <c r="W1329" t="s">
        <v>262</v>
      </c>
      <c r="X1329">
        <v>-33.793999999999997</v>
      </c>
      <c r="Y1329">
        <v>151.13900000000001</v>
      </c>
      <c r="Z1329">
        <v>729</v>
      </c>
    </row>
    <row r="1330" spans="1:26" ht="195" customHeight="1" x14ac:dyDescent="0.3">
      <c r="A1330" t="s">
        <v>21</v>
      </c>
      <c r="B1330" t="s">
        <v>3906</v>
      </c>
      <c r="C1330" t="s">
        <v>1111</v>
      </c>
      <c r="D1330" t="s">
        <v>3907</v>
      </c>
      <c r="E1330">
        <v>554553</v>
      </c>
      <c r="G1330" s="10" t="s">
        <v>3908</v>
      </c>
      <c r="M1330" t="s">
        <v>390</v>
      </c>
      <c r="N1330" t="s">
        <v>276</v>
      </c>
      <c r="P1330" t="s">
        <v>260</v>
      </c>
      <c r="Q1330" t="s">
        <v>260</v>
      </c>
      <c r="R1330" t="s">
        <v>261</v>
      </c>
      <c r="S1330" t="s">
        <v>21</v>
      </c>
      <c r="T1330">
        <v>100</v>
      </c>
      <c r="W1330" t="s">
        <v>262</v>
      </c>
    </row>
    <row r="1331" spans="1:26" x14ac:dyDescent="0.3">
      <c r="A1331" t="s">
        <v>21</v>
      </c>
      <c r="B1331" t="s">
        <v>3909</v>
      </c>
      <c r="C1331" t="s">
        <v>299</v>
      </c>
      <c r="D1331" t="s">
        <v>3910</v>
      </c>
      <c r="E1331">
        <v>10920046</v>
      </c>
      <c r="G1331" t="s">
        <v>3911</v>
      </c>
      <c r="H1331" t="s">
        <v>3912</v>
      </c>
      <c r="I1331" t="s">
        <v>3909</v>
      </c>
      <c r="J1331" t="s">
        <v>318</v>
      </c>
      <c r="K1331">
        <v>4556</v>
      </c>
      <c r="M1331" t="s">
        <v>302</v>
      </c>
      <c r="N1331" t="s">
        <v>259</v>
      </c>
      <c r="P1331" t="s">
        <v>260</v>
      </c>
      <c r="Q1331" t="s">
        <v>260</v>
      </c>
      <c r="R1331" t="s">
        <v>293</v>
      </c>
      <c r="S1331" t="s">
        <v>21</v>
      </c>
      <c r="T1331">
        <v>100</v>
      </c>
      <c r="W1331" t="s">
        <v>262</v>
      </c>
      <c r="Z1331">
        <v>310</v>
      </c>
    </row>
    <row r="1332" spans="1:26" x14ac:dyDescent="0.3">
      <c r="A1332" t="s">
        <v>21</v>
      </c>
      <c r="B1332" t="s">
        <v>3913</v>
      </c>
      <c r="C1332" t="s">
        <v>270</v>
      </c>
      <c r="D1332" t="s">
        <v>3914</v>
      </c>
      <c r="E1332" t="s">
        <v>3914</v>
      </c>
      <c r="M1332" t="s">
        <v>411</v>
      </c>
      <c r="N1332" t="s">
        <v>259</v>
      </c>
      <c r="P1332" t="s">
        <v>260</v>
      </c>
      <c r="Q1332" t="s">
        <v>260</v>
      </c>
      <c r="R1332" t="s">
        <v>283</v>
      </c>
      <c r="S1332" t="s">
        <v>21</v>
      </c>
      <c r="T1332">
        <v>100</v>
      </c>
      <c r="W1332" t="s">
        <v>262</v>
      </c>
    </row>
    <row r="1333" spans="1:26" x14ac:dyDescent="0.3">
      <c r="A1333" t="s">
        <v>21</v>
      </c>
      <c r="B1333" t="s">
        <v>3915</v>
      </c>
      <c r="C1333" t="s">
        <v>270</v>
      </c>
      <c r="D1333" t="s">
        <v>1932</v>
      </c>
      <c r="E1333">
        <v>3520</v>
      </c>
      <c r="M1333" t="s">
        <v>631</v>
      </c>
      <c r="N1333" t="s">
        <v>276</v>
      </c>
      <c r="P1333" t="s">
        <v>260</v>
      </c>
      <c r="Q1333" t="s">
        <v>260</v>
      </c>
      <c r="R1333" t="s">
        <v>261</v>
      </c>
      <c r="S1333" t="s">
        <v>21</v>
      </c>
      <c r="T1333">
        <v>100</v>
      </c>
      <c r="W1333" t="s">
        <v>262</v>
      </c>
    </row>
    <row r="1334" spans="1:26" x14ac:dyDescent="0.3">
      <c r="A1334" t="s">
        <v>21</v>
      </c>
      <c r="B1334" t="s">
        <v>3916</v>
      </c>
      <c r="C1334" t="s">
        <v>264</v>
      </c>
      <c r="D1334" t="s">
        <v>3917</v>
      </c>
      <c r="E1334" t="s">
        <v>3917</v>
      </c>
      <c r="M1334" t="s">
        <v>312</v>
      </c>
      <c r="N1334" t="s">
        <v>259</v>
      </c>
      <c r="P1334" t="s">
        <v>260</v>
      </c>
      <c r="Q1334" t="s">
        <v>260</v>
      </c>
      <c r="R1334" t="s">
        <v>268</v>
      </c>
      <c r="S1334" t="s">
        <v>21</v>
      </c>
      <c r="T1334">
        <v>100</v>
      </c>
      <c r="W1334" t="s">
        <v>262</v>
      </c>
    </row>
    <row r="1335" spans="1:26" x14ac:dyDescent="0.3">
      <c r="A1335" t="s">
        <v>21</v>
      </c>
      <c r="B1335" t="s">
        <v>3918</v>
      </c>
      <c r="C1335" t="s">
        <v>264</v>
      </c>
      <c r="D1335" t="s">
        <v>3917</v>
      </c>
      <c r="E1335" t="s">
        <v>3917</v>
      </c>
      <c r="H1335" t="s">
        <v>3919</v>
      </c>
      <c r="I1335" t="s">
        <v>3920</v>
      </c>
      <c r="J1335" t="s">
        <v>312</v>
      </c>
      <c r="K1335">
        <v>2208</v>
      </c>
      <c r="L1335" t="s">
        <v>259</v>
      </c>
      <c r="M1335" t="s">
        <v>312</v>
      </c>
      <c r="N1335" t="s">
        <v>259</v>
      </c>
      <c r="P1335" t="s">
        <v>260</v>
      </c>
      <c r="Q1335" t="s">
        <v>260</v>
      </c>
      <c r="R1335" t="s">
        <v>268</v>
      </c>
      <c r="S1335" t="s">
        <v>21</v>
      </c>
      <c r="T1335">
        <v>100</v>
      </c>
      <c r="W1335" t="s">
        <v>262</v>
      </c>
    </row>
    <row r="1336" spans="1:26" x14ac:dyDescent="0.3">
      <c r="A1336" t="s">
        <v>21</v>
      </c>
      <c r="B1336" t="s">
        <v>3921</v>
      </c>
      <c r="C1336" t="s">
        <v>264</v>
      </c>
      <c r="D1336" t="s">
        <v>3917</v>
      </c>
      <c r="E1336" t="s">
        <v>3917</v>
      </c>
      <c r="M1336" t="s">
        <v>312</v>
      </c>
      <c r="N1336" t="s">
        <v>259</v>
      </c>
      <c r="P1336" t="s">
        <v>260</v>
      </c>
      <c r="Q1336" t="s">
        <v>260</v>
      </c>
      <c r="R1336" t="s">
        <v>268</v>
      </c>
      <c r="S1336" t="s">
        <v>21</v>
      </c>
      <c r="T1336">
        <v>100</v>
      </c>
      <c r="W1336" t="s">
        <v>262</v>
      </c>
    </row>
    <row r="1337" spans="1:26" x14ac:dyDescent="0.3">
      <c r="A1337" t="s">
        <v>21</v>
      </c>
      <c r="B1337" t="s">
        <v>3922</v>
      </c>
      <c r="C1337" t="s">
        <v>264</v>
      </c>
      <c r="D1337" t="s">
        <v>3917</v>
      </c>
      <c r="E1337" t="s">
        <v>3917</v>
      </c>
      <c r="H1337" t="s">
        <v>3923</v>
      </c>
      <c r="I1337" t="s">
        <v>3924</v>
      </c>
      <c r="J1337" t="s">
        <v>366</v>
      </c>
      <c r="K1337">
        <v>2500</v>
      </c>
      <c r="M1337" t="s">
        <v>312</v>
      </c>
      <c r="N1337" t="s">
        <v>259</v>
      </c>
      <c r="P1337" t="s">
        <v>260</v>
      </c>
      <c r="Q1337" t="s">
        <v>260</v>
      </c>
      <c r="R1337" t="s">
        <v>268</v>
      </c>
      <c r="S1337" t="s">
        <v>21</v>
      </c>
      <c r="T1337">
        <v>100</v>
      </c>
      <c r="W1337" t="s">
        <v>262</v>
      </c>
    </row>
    <row r="1338" spans="1:26" x14ac:dyDescent="0.3">
      <c r="A1338" t="s">
        <v>21</v>
      </c>
      <c r="B1338" t="s">
        <v>3925</v>
      </c>
      <c r="C1338" t="s">
        <v>2833</v>
      </c>
      <c r="D1338" t="s">
        <v>3926</v>
      </c>
      <c r="E1338">
        <v>163</v>
      </c>
      <c r="H1338" t="s">
        <v>3927</v>
      </c>
      <c r="I1338" t="s">
        <v>3925</v>
      </c>
      <c r="J1338" t="s">
        <v>305</v>
      </c>
      <c r="K1338">
        <v>5016</v>
      </c>
      <c r="L1338" t="s">
        <v>259</v>
      </c>
      <c r="M1338" t="s">
        <v>307</v>
      </c>
      <c r="N1338" t="s">
        <v>259</v>
      </c>
      <c r="P1338" t="s">
        <v>260</v>
      </c>
      <c r="Q1338" t="s">
        <v>260</v>
      </c>
      <c r="R1338" t="s">
        <v>261</v>
      </c>
      <c r="S1338" t="s">
        <v>21</v>
      </c>
      <c r="T1338">
        <v>100</v>
      </c>
      <c r="W1338" t="s">
        <v>262</v>
      </c>
      <c r="X1338">
        <v>-34.825000000000003</v>
      </c>
      <c r="Y1338">
        <v>138.49600000000001</v>
      </c>
      <c r="Z1338">
        <v>170</v>
      </c>
    </row>
    <row r="1339" spans="1:26" x14ac:dyDescent="0.3">
      <c r="A1339" t="s">
        <v>21</v>
      </c>
      <c r="B1339" t="s">
        <v>3928</v>
      </c>
      <c r="C1339" t="s">
        <v>299</v>
      </c>
      <c r="D1339" t="s">
        <v>3929</v>
      </c>
      <c r="E1339" t="s">
        <v>3929</v>
      </c>
      <c r="M1339" t="s">
        <v>636</v>
      </c>
      <c r="N1339" t="s">
        <v>276</v>
      </c>
      <c r="P1339" t="s">
        <v>260</v>
      </c>
      <c r="Q1339" t="s">
        <v>260</v>
      </c>
      <c r="R1339" t="s">
        <v>261</v>
      </c>
      <c r="S1339" t="s">
        <v>21</v>
      </c>
      <c r="T1339">
        <v>100</v>
      </c>
      <c r="W1339" t="s">
        <v>262</v>
      </c>
    </row>
    <row r="1340" spans="1:26" x14ac:dyDescent="0.3">
      <c r="A1340" t="s">
        <v>21</v>
      </c>
      <c r="B1340" t="s">
        <v>3930</v>
      </c>
      <c r="C1340" t="s">
        <v>270</v>
      </c>
      <c r="D1340" t="s">
        <v>696</v>
      </c>
      <c r="E1340">
        <v>55688</v>
      </c>
      <c r="H1340" t="s">
        <v>3931</v>
      </c>
      <c r="I1340" t="s">
        <v>3932</v>
      </c>
      <c r="J1340" t="s">
        <v>3932</v>
      </c>
      <c r="K1340">
        <v>9591</v>
      </c>
      <c r="L1340" t="s">
        <v>276</v>
      </c>
      <c r="M1340" t="s">
        <v>699</v>
      </c>
      <c r="N1340" t="s">
        <v>276</v>
      </c>
      <c r="P1340" t="s">
        <v>260</v>
      </c>
      <c r="Q1340" t="s">
        <v>260</v>
      </c>
      <c r="R1340" t="s">
        <v>261</v>
      </c>
      <c r="S1340" t="s">
        <v>21</v>
      </c>
      <c r="T1340">
        <v>100</v>
      </c>
      <c r="W1340" t="s">
        <v>262</v>
      </c>
      <c r="X1340">
        <v>-45.908499999999997</v>
      </c>
      <c r="Y1340">
        <v>169.70050000000001</v>
      </c>
    </row>
    <row r="1341" spans="1:26" x14ac:dyDescent="0.3">
      <c r="A1341" t="s">
        <v>21</v>
      </c>
      <c r="B1341" t="s">
        <v>3933</v>
      </c>
      <c r="C1341" t="s">
        <v>270</v>
      </c>
      <c r="D1341" t="s">
        <v>3934</v>
      </c>
      <c r="E1341" t="s">
        <v>3934</v>
      </c>
      <c r="M1341" t="s">
        <v>394</v>
      </c>
      <c r="N1341" t="s">
        <v>276</v>
      </c>
      <c r="P1341" t="s">
        <v>260</v>
      </c>
      <c r="Q1341" t="s">
        <v>260</v>
      </c>
      <c r="R1341" t="s">
        <v>283</v>
      </c>
      <c r="S1341" t="s">
        <v>21</v>
      </c>
      <c r="T1341">
        <v>100</v>
      </c>
      <c r="W1341" t="s">
        <v>262</v>
      </c>
    </row>
    <row r="1342" spans="1:26" x14ac:dyDescent="0.3">
      <c r="A1342" t="s">
        <v>21</v>
      </c>
      <c r="B1342" t="s">
        <v>3935</v>
      </c>
      <c r="C1342" t="s">
        <v>270</v>
      </c>
      <c r="D1342" t="s">
        <v>3936</v>
      </c>
      <c r="E1342" t="s">
        <v>3936</v>
      </c>
      <c r="M1342" t="s">
        <v>394</v>
      </c>
      <c r="N1342" t="s">
        <v>276</v>
      </c>
      <c r="P1342" t="s">
        <v>260</v>
      </c>
      <c r="Q1342" t="s">
        <v>260</v>
      </c>
      <c r="R1342" t="s">
        <v>283</v>
      </c>
      <c r="S1342" t="s">
        <v>21</v>
      </c>
      <c r="T1342">
        <v>100</v>
      </c>
      <c r="W1342" t="s">
        <v>262</v>
      </c>
    </row>
    <row r="1343" spans="1:26" x14ac:dyDescent="0.3">
      <c r="A1343" t="s">
        <v>21</v>
      </c>
      <c r="B1343" t="s">
        <v>3937</v>
      </c>
      <c r="C1343" t="s">
        <v>270</v>
      </c>
      <c r="D1343" t="s">
        <v>3938</v>
      </c>
      <c r="E1343" t="s">
        <v>3938</v>
      </c>
      <c r="F1343" t="s">
        <v>3938</v>
      </c>
      <c r="M1343" t="s">
        <v>297</v>
      </c>
      <c r="N1343" t="s">
        <v>276</v>
      </c>
      <c r="P1343" t="s">
        <v>260</v>
      </c>
      <c r="Q1343" t="s">
        <v>260</v>
      </c>
      <c r="R1343" t="s">
        <v>283</v>
      </c>
      <c r="S1343" t="s">
        <v>21</v>
      </c>
      <c r="T1343">
        <v>100</v>
      </c>
      <c r="W1343" t="s">
        <v>262</v>
      </c>
    </row>
    <row r="1344" spans="1:26" ht="180" customHeight="1" x14ac:dyDescent="0.3">
      <c r="A1344" t="s">
        <v>21</v>
      </c>
      <c r="B1344" t="s">
        <v>3939</v>
      </c>
      <c r="C1344" t="s">
        <v>264</v>
      </c>
      <c r="D1344" t="s">
        <v>3940</v>
      </c>
      <c r="E1344" t="s">
        <v>3941</v>
      </c>
      <c r="G1344" s="10" t="s">
        <v>3942</v>
      </c>
      <c r="H1344" t="s">
        <v>3943</v>
      </c>
      <c r="I1344" t="s">
        <v>3944</v>
      </c>
      <c r="J1344" t="s">
        <v>403</v>
      </c>
      <c r="K1344">
        <v>6011</v>
      </c>
      <c r="M1344" t="s">
        <v>403</v>
      </c>
      <c r="N1344" t="s">
        <v>276</v>
      </c>
      <c r="P1344" t="s">
        <v>260</v>
      </c>
      <c r="Q1344" t="s">
        <v>260</v>
      </c>
      <c r="R1344" t="s">
        <v>261</v>
      </c>
      <c r="S1344" t="s">
        <v>21</v>
      </c>
      <c r="T1344">
        <v>100</v>
      </c>
      <c r="W1344" t="s">
        <v>262</v>
      </c>
    </row>
    <row r="1345" spans="1:25" x14ac:dyDescent="0.3">
      <c r="A1345" t="s">
        <v>21</v>
      </c>
      <c r="B1345" t="s">
        <v>3945</v>
      </c>
      <c r="C1345" t="s">
        <v>270</v>
      </c>
      <c r="D1345" t="s">
        <v>3946</v>
      </c>
      <c r="E1345">
        <v>1904</v>
      </c>
      <c r="H1345" t="s">
        <v>2433</v>
      </c>
      <c r="I1345" t="s">
        <v>1343</v>
      </c>
      <c r="J1345" t="s">
        <v>297</v>
      </c>
      <c r="K1345">
        <v>2104</v>
      </c>
      <c r="L1345" t="s">
        <v>276</v>
      </c>
      <c r="M1345" t="s">
        <v>631</v>
      </c>
      <c r="N1345" t="s">
        <v>276</v>
      </c>
      <c r="P1345" t="s">
        <v>260</v>
      </c>
      <c r="Q1345" t="s">
        <v>260</v>
      </c>
      <c r="R1345" t="s">
        <v>261</v>
      </c>
      <c r="S1345" t="s">
        <v>21</v>
      </c>
      <c r="T1345">
        <v>100</v>
      </c>
      <c r="W1345" t="s">
        <v>262</v>
      </c>
      <c r="X1345">
        <v>-37.008299999999998</v>
      </c>
      <c r="Y1345">
        <v>174.87049999999999</v>
      </c>
    </row>
    <row r="1346" spans="1:25" x14ac:dyDescent="0.3">
      <c r="A1346" t="s">
        <v>21</v>
      </c>
      <c r="B1346" t="s">
        <v>3947</v>
      </c>
      <c r="C1346" t="s">
        <v>270</v>
      </c>
      <c r="D1346" t="s">
        <v>3948</v>
      </c>
      <c r="E1346">
        <v>2000004494</v>
      </c>
      <c r="H1346" t="s">
        <v>3949</v>
      </c>
      <c r="I1346" t="s">
        <v>739</v>
      </c>
      <c r="K1346">
        <v>4820</v>
      </c>
      <c r="L1346" t="s">
        <v>276</v>
      </c>
      <c r="M1346" t="s">
        <v>631</v>
      </c>
      <c r="N1346" t="s">
        <v>276</v>
      </c>
      <c r="P1346" t="s">
        <v>260</v>
      </c>
      <c r="Q1346" t="s">
        <v>260</v>
      </c>
      <c r="R1346" t="s">
        <v>268</v>
      </c>
      <c r="S1346" t="s">
        <v>21</v>
      </c>
      <c r="T1346">
        <v>100</v>
      </c>
      <c r="W1346" t="s">
        <v>262</v>
      </c>
      <c r="X1346">
        <v>-37.008299999999998</v>
      </c>
      <c r="Y1346">
        <v>174.87049999999999</v>
      </c>
    </row>
    <row r="1347" spans="1:25" x14ac:dyDescent="0.3">
      <c r="A1347" t="s">
        <v>21</v>
      </c>
      <c r="B1347" t="s">
        <v>3950</v>
      </c>
      <c r="C1347" t="s">
        <v>270</v>
      </c>
      <c r="D1347" t="s">
        <v>3951</v>
      </c>
      <c r="E1347">
        <v>550718</v>
      </c>
      <c r="F1347">
        <v>550718</v>
      </c>
      <c r="M1347" t="s">
        <v>420</v>
      </c>
      <c r="N1347" t="s">
        <v>276</v>
      </c>
      <c r="P1347" t="s">
        <v>260</v>
      </c>
      <c r="Q1347" t="s">
        <v>260</v>
      </c>
      <c r="R1347" t="s">
        <v>261</v>
      </c>
      <c r="S1347" t="s">
        <v>21</v>
      </c>
      <c r="T1347">
        <v>100</v>
      </c>
      <c r="W1347" t="s">
        <v>262</v>
      </c>
    </row>
    <row r="1348" spans="1:25" x14ac:dyDescent="0.3">
      <c r="A1348" t="s">
        <v>21</v>
      </c>
      <c r="B1348" t="s">
        <v>3952</v>
      </c>
      <c r="C1348" t="s">
        <v>270</v>
      </c>
      <c r="D1348" t="s">
        <v>3953</v>
      </c>
      <c r="E1348" t="s">
        <v>3954</v>
      </c>
      <c r="M1348" t="s">
        <v>631</v>
      </c>
      <c r="N1348" t="s">
        <v>276</v>
      </c>
      <c r="P1348" t="s">
        <v>260</v>
      </c>
      <c r="Q1348" t="s">
        <v>260</v>
      </c>
      <c r="R1348" t="s">
        <v>261</v>
      </c>
      <c r="S1348" t="s">
        <v>21</v>
      </c>
      <c r="T1348">
        <v>100</v>
      </c>
      <c r="W1348" t="s">
        <v>262</v>
      </c>
    </row>
    <row r="1349" spans="1:25" x14ac:dyDescent="0.3">
      <c r="A1349" t="s">
        <v>21</v>
      </c>
      <c r="B1349" t="s">
        <v>3955</v>
      </c>
      <c r="C1349" t="s">
        <v>270</v>
      </c>
      <c r="D1349" t="s">
        <v>3956</v>
      </c>
      <c r="E1349">
        <v>553198</v>
      </c>
      <c r="H1349" t="s">
        <v>3957</v>
      </c>
      <c r="I1349" t="s">
        <v>297</v>
      </c>
      <c r="J1349" t="s">
        <v>297</v>
      </c>
      <c r="K1349">
        <v>2010</v>
      </c>
      <c r="L1349" t="s">
        <v>276</v>
      </c>
      <c r="M1349" t="s">
        <v>371</v>
      </c>
      <c r="N1349" t="s">
        <v>276</v>
      </c>
      <c r="P1349" t="s">
        <v>260</v>
      </c>
      <c r="Q1349" t="s">
        <v>260</v>
      </c>
      <c r="R1349" t="s">
        <v>261</v>
      </c>
      <c r="S1349" t="s">
        <v>21</v>
      </c>
      <c r="T1349">
        <v>100</v>
      </c>
      <c r="W1349" t="s">
        <v>262</v>
      </c>
      <c r="X1349">
        <v>-36.912599999999998</v>
      </c>
      <c r="Y1349">
        <v>174.88380000000001</v>
      </c>
    </row>
    <row r="1350" spans="1:25" x14ac:dyDescent="0.3">
      <c r="A1350" t="s">
        <v>21</v>
      </c>
      <c r="B1350" t="s">
        <v>3958</v>
      </c>
      <c r="C1350" t="s">
        <v>270</v>
      </c>
      <c r="D1350" t="s">
        <v>3959</v>
      </c>
      <c r="E1350" t="s">
        <v>3959</v>
      </c>
      <c r="M1350" t="s">
        <v>411</v>
      </c>
      <c r="N1350" t="s">
        <v>259</v>
      </c>
      <c r="P1350" t="s">
        <v>260</v>
      </c>
      <c r="Q1350" t="s">
        <v>260</v>
      </c>
      <c r="R1350" t="s">
        <v>283</v>
      </c>
      <c r="S1350" t="s">
        <v>21</v>
      </c>
      <c r="T1350">
        <v>100</v>
      </c>
      <c r="W1350" t="s">
        <v>262</v>
      </c>
    </row>
    <row r="1351" spans="1:25" x14ac:dyDescent="0.3">
      <c r="A1351" t="s">
        <v>21</v>
      </c>
      <c r="B1351" t="s">
        <v>3960</v>
      </c>
      <c r="C1351" t="s">
        <v>270</v>
      </c>
      <c r="D1351" t="s">
        <v>3961</v>
      </c>
      <c r="E1351" t="s">
        <v>3961</v>
      </c>
      <c r="F1351" t="s">
        <v>3961</v>
      </c>
      <c r="M1351" t="s">
        <v>297</v>
      </c>
      <c r="N1351" t="s">
        <v>276</v>
      </c>
      <c r="P1351" t="s">
        <v>260</v>
      </c>
      <c r="Q1351" t="s">
        <v>260</v>
      </c>
      <c r="R1351" t="s">
        <v>283</v>
      </c>
      <c r="S1351" t="s">
        <v>21</v>
      </c>
      <c r="T1351">
        <v>100</v>
      </c>
      <c r="W1351" t="s">
        <v>262</v>
      </c>
    </row>
    <row r="1352" spans="1:25" x14ac:dyDescent="0.3">
      <c r="A1352" t="s">
        <v>21</v>
      </c>
      <c r="B1352" t="s">
        <v>3962</v>
      </c>
      <c r="C1352" t="s">
        <v>270</v>
      </c>
      <c r="D1352" t="s">
        <v>2172</v>
      </c>
      <c r="E1352">
        <v>10033</v>
      </c>
      <c r="G1352">
        <v>10.032999999999999</v>
      </c>
      <c r="H1352" t="s">
        <v>2433</v>
      </c>
      <c r="I1352" t="s">
        <v>1343</v>
      </c>
      <c r="J1352" t="s">
        <v>297</v>
      </c>
      <c r="K1352">
        <v>2104</v>
      </c>
      <c r="L1352" t="s">
        <v>276</v>
      </c>
      <c r="M1352" t="s">
        <v>631</v>
      </c>
      <c r="N1352" t="s">
        <v>276</v>
      </c>
      <c r="P1352" t="s">
        <v>260</v>
      </c>
      <c r="Q1352" t="s">
        <v>260</v>
      </c>
      <c r="R1352" t="s">
        <v>283</v>
      </c>
      <c r="S1352" t="s">
        <v>21</v>
      </c>
      <c r="T1352">
        <v>100</v>
      </c>
      <c r="W1352" t="s">
        <v>262</v>
      </c>
      <c r="X1352">
        <v>-37.008299999999998</v>
      </c>
      <c r="Y1352">
        <v>174.87049999999999</v>
      </c>
    </row>
    <row r="1353" spans="1:25" x14ac:dyDescent="0.3">
      <c r="A1353" t="s">
        <v>21</v>
      </c>
      <c r="B1353" t="s">
        <v>3963</v>
      </c>
      <c r="C1353" t="s">
        <v>270</v>
      </c>
      <c r="D1353" t="s">
        <v>3964</v>
      </c>
      <c r="E1353">
        <v>63981</v>
      </c>
      <c r="H1353" t="s">
        <v>3965</v>
      </c>
      <c r="I1353" t="s">
        <v>3966</v>
      </c>
      <c r="J1353" t="s">
        <v>390</v>
      </c>
      <c r="K1353">
        <v>8042</v>
      </c>
      <c r="L1353" t="s">
        <v>276</v>
      </c>
      <c r="M1353" t="s">
        <v>390</v>
      </c>
      <c r="N1353" t="s">
        <v>276</v>
      </c>
      <c r="P1353" t="s">
        <v>260</v>
      </c>
      <c r="Q1353" t="s">
        <v>260</v>
      </c>
      <c r="R1353" t="s">
        <v>283</v>
      </c>
      <c r="S1353" t="s">
        <v>21</v>
      </c>
      <c r="T1353">
        <v>100</v>
      </c>
      <c r="W1353" t="s">
        <v>262</v>
      </c>
      <c r="X1353">
        <v>-43.560600000000001</v>
      </c>
      <c r="Y1353">
        <v>172.51849999999999</v>
      </c>
    </row>
    <row r="1354" spans="1:25" x14ac:dyDescent="0.3">
      <c r="A1354" t="s">
        <v>21</v>
      </c>
      <c r="B1354" t="s">
        <v>3967</v>
      </c>
      <c r="C1354" t="s">
        <v>270</v>
      </c>
      <c r="D1354" t="s">
        <v>3968</v>
      </c>
      <c r="E1354" t="s">
        <v>3968</v>
      </c>
      <c r="F1354" t="s">
        <v>3968</v>
      </c>
      <c r="M1354" t="s">
        <v>297</v>
      </c>
      <c r="N1354" t="s">
        <v>276</v>
      </c>
      <c r="P1354" t="s">
        <v>260</v>
      </c>
      <c r="Q1354" t="s">
        <v>260</v>
      </c>
      <c r="R1354" t="s">
        <v>283</v>
      </c>
      <c r="S1354" t="s">
        <v>21</v>
      </c>
      <c r="T1354">
        <v>100</v>
      </c>
      <c r="W1354" t="s">
        <v>262</v>
      </c>
    </row>
    <row r="1355" spans="1:25" x14ac:dyDescent="0.3">
      <c r="A1355" t="s">
        <v>21</v>
      </c>
      <c r="B1355" t="s">
        <v>3969</v>
      </c>
      <c r="C1355" t="s">
        <v>2464</v>
      </c>
      <c r="D1355" t="s">
        <v>3970</v>
      </c>
      <c r="E1355">
        <v>37740125</v>
      </c>
      <c r="H1355" t="s">
        <v>3971</v>
      </c>
      <c r="I1355" t="s">
        <v>3972</v>
      </c>
      <c r="M1355" t="s">
        <v>302</v>
      </c>
      <c r="N1355" t="s">
        <v>259</v>
      </c>
      <c r="P1355" t="s">
        <v>260</v>
      </c>
      <c r="Q1355" t="s">
        <v>260</v>
      </c>
      <c r="R1355" t="s">
        <v>283</v>
      </c>
      <c r="S1355" t="s">
        <v>21</v>
      </c>
      <c r="T1355">
        <v>100</v>
      </c>
      <c r="W1355" t="s">
        <v>262</v>
      </c>
    </row>
    <row r="1356" spans="1:25" x14ac:dyDescent="0.3">
      <c r="A1356" t="s">
        <v>21</v>
      </c>
      <c r="B1356" t="s">
        <v>3973</v>
      </c>
      <c r="C1356" t="s">
        <v>270</v>
      </c>
      <c r="D1356" t="s">
        <v>3974</v>
      </c>
      <c r="E1356">
        <v>91266</v>
      </c>
      <c r="H1356" t="s">
        <v>3975</v>
      </c>
      <c r="I1356" t="s">
        <v>3976</v>
      </c>
      <c r="J1356" t="s">
        <v>703</v>
      </c>
      <c r="K1356">
        <v>5012</v>
      </c>
      <c r="L1356" t="s">
        <v>276</v>
      </c>
      <c r="M1356" t="s">
        <v>703</v>
      </c>
      <c r="N1356" t="s">
        <v>276</v>
      </c>
      <c r="P1356" t="s">
        <v>260</v>
      </c>
      <c r="Q1356" t="s">
        <v>260</v>
      </c>
      <c r="R1356" t="s">
        <v>293</v>
      </c>
      <c r="S1356" t="s">
        <v>21</v>
      </c>
      <c r="T1356">
        <v>100</v>
      </c>
      <c r="W1356" t="s">
        <v>262</v>
      </c>
      <c r="X1356">
        <v>-41.2241</v>
      </c>
      <c r="Y1356">
        <v>174.8937</v>
      </c>
    </row>
    <row r="1357" spans="1:25" x14ac:dyDescent="0.3">
      <c r="A1357" t="s">
        <v>21</v>
      </c>
      <c r="B1357" t="s">
        <v>3977</v>
      </c>
      <c r="C1357" t="s">
        <v>270</v>
      </c>
      <c r="D1357" t="s">
        <v>3978</v>
      </c>
      <c r="E1357">
        <v>91377</v>
      </c>
      <c r="H1357" t="s">
        <v>3979</v>
      </c>
      <c r="I1357" t="s">
        <v>3976</v>
      </c>
      <c r="J1357" t="s">
        <v>703</v>
      </c>
      <c r="K1357">
        <v>5012</v>
      </c>
      <c r="M1357" t="s">
        <v>631</v>
      </c>
      <c r="N1357" t="s">
        <v>276</v>
      </c>
      <c r="P1357" t="s">
        <v>260</v>
      </c>
      <c r="Q1357" t="s">
        <v>260</v>
      </c>
      <c r="R1357" t="s">
        <v>293</v>
      </c>
      <c r="S1357" t="s">
        <v>21</v>
      </c>
      <c r="T1357">
        <v>100</v>
      </c>
      <c r="W1357" t="s">
        <v>262</v>
      </c>
    </row>
    <row r="1358" spans="1:25" x14ac:dyDescent="0.3">
      <c r="A1358" t="s">
        <v>21</v>
      </c>
      <c r="B1358" t="s">
        <v>3980</v>
      </c>
      <c r="C1358" t="s">
        <v>270</v>
      </c>
      <c r="D1358" t="s">
        <v>3981</v>
      </c>
      <c r="E1358">
        <v>10261</v>
      </c>
      <c r="G1358">
        <v>10.260999999999999</v>
      </c>
      <c r="H1358" t="s">
        <v>2433</v>
      </c>
      <c r="I1358" t="s">
        <v>1343</v>
      </c>
      <c r="J1358" t="s">
        <v>297</v>
      </c>
      <c r="K1358">
        <v>2104</v>
      </c>
      <c r="L1358" t="s">
        <v>276</v>
      </c>
      <c r="M1358" t="s">
        <v>631</v>
      </c>
      <c r="N1358" t="s">
        <v>276</v>
      </c>
      <c r="P1358" t="s">
        <v>260</v>
      </c>
      <c r="Q1358" t="s">
        <v>260</v>
      </c>
      <c r="R1358" t="s">
        <v>283</v>
      </c>
      <c r="S1358" t="s">
        <v>21</v>
      </c>
      <c r="T1358">
        <v>100</v>
      </c>
      <c r="W1358" t="s">
        <v>262</v>
      </c>
      <c r="X1358">
        <v>-37.008299999999998</v>
      </c>
      <c r="Y1358">
        <v>174.87049999999999</v>
      </c>
    </row>
    <row r="1359" spans="1:25" x14ac:dyDescent="0.3">
      <c r="A1359" t="s">
        <v>21</v>
      </c>
      <c r="B1359" t="s">
        <v>3982</v>
      </c>
      <c r="C1359" t="s">
        <v>270</v>
      </c>
      <c r="D1359" t="s">
        <v>3983</v>
      </c>
      <c r="E1359">
        <v>10135</v>
      </c>
      <c r="G1359">
        <v>10.135</v>
      </c>
      <c r="H1359" t="s">
        <v>2433</v>
      </c>
      <c r="I1359" t="s">
        <v>1343</v>
      </c>
      <c r="J1359" t="s">
        <v>297</v>
      </c>
      <c r="K1359">
        <v>2104</v>
      </c>
      <c r="L1359" t="s">
        <v>276</v>
      </c>
      <c r="M1359" t="s">
        <v>631</v>
      </c>
      <c r="N1359" t="s">
        <v>276</v>
      </c>
      <c r="P1359" t="s">
        <v>260</v>
      </c>
      <c r="Q1359" t="s">
        <v>260</v>
      </c>
      <c r="R1359" t="s">
        <v>268</v>
      </c>
      <c r="S1359" t="s">
        <v>21</v>
      </c>
      <c r="T1359">
        <v>100</v>
      </c>
      <c r="W1359" t="s">
        <v>262</v>
      </c>
      <c r="X1359">
        <v>-37.008299999999998</v>
      </c>
      <c r="Y1359">
        <v>174.87049999999999</v>
      </c>
    </row>
    <row r="1360" spans="1:25" x14ac:dyDescent="0.3">
      <c r="A1360" t="s">
        <v>21</v>
      </c>
      <c r="B1360" t="s">
        <v>3984</v>
      </c>
      <c r="C1360" t="s">
        <v>270</v>
      </c>
      <c r="D1360" t="s">
        <v>3985</v>
      </c>
      <c r="E1360">
        <v>10136</v>
      </c>
      <c r="G1360">
        <v>10.135999999999999</v>
      </c>
      <c r="H1360" t="s">
        <v>2433</v>
      </c>
      <c r="I1360" t="s">
        <v>1343</v>
      </c>
      <c r="J1360" t="s">
        <v>297</v>
      </c>
      <c r="K1360">
        <v>2104</v>
      </c>
      <c r="L1360" t="s">
        <v>276</v>
      </c>
      <c r="M1360" t="s">
        <v>631</v>
      </c>
      <c r="N1360" t="s">
        <v>276</v>
      </c>
      <c r="P1360" t="s">
        <v>260</v>
      </c>
      <c r="Q1360" t="s">
        <v>260</v>
      </c>
      <c r="R1360" t="s">
        <v>268</v>
      </c>
      <c r="S1360" t="s">
        <v>21</v>
      </c>
      <c r="T1360">
        <v>100</v>
      </c>
      <c r="W1360" t="s">
        <v>262</v>
      </c>
      <c r="X1360">
        <v>-37.008299999999998</v>
      </c>
      <c r="Y1360">
        <v>174.87049999999999</v>
      </c>
    </row>
    <row r="1361" spans="1:26" x14ac:dyDescent="0.3">
      <c r="A1361" t="s">
        <v>21</v>
      </c>
      <c r="B1361" t="s">
        <v>3986</v>
      </c>
      <c r="C1361" t="s">
        <v>878</v>
      </c>
      <c r="D1361" t="s">
        <v>3987</v>
      </c>
      <c r="E1361">
        <v>9068</v>
      </c>
      <c r="H1361" t="s">
        <v>3988</v>
      </c>
      <c r="I1361" t="s">
        <v>2305</v>
      </c>
      <c r="J1361" t="s">
        <v>555</v>
      </c>
      <c r="K1361">
        <v>6000</v>
      </c>
      <c r="M1361" t="s">
        <v>503</v>
      </c>
      <c r="N1361" t="s">
        <v>259</v>
      </c>
      <c r="P1361" t="s">
        <v>260</v>
      </c>
      <c r="Q1361" t="s">
        <v>260</v>
      </c>
      <c r="R1361" t="s">
        <v>268</v>
      </c>
      <c r="S1361" t="s">
        <v>21</v>
      </c>
      <c r="T1361">
        <v>100</v>
      </c>
      <c r="W1361" t="s">
        <v>262</v>
      </c>
      <c r="X1361">
        <v>-31.956872000000001</v>
      </c>
      <c r="Y1361">
        <v>115.853601</v>
      </c>
      <c r="Z1361">
        <v>451</v>
      </c>
    </row>
    <row r="1362" spans="1:26" x14ac:dyDescent="0.3">
      <c r="A1362" t="s">
        <v>21</v>
      </c>
      <c r="B1362" t="s">
        <v>3989</v>
      </c>
      <c r="C1362" t="s">
        <v>878</v>
      </c>
      <c r="D1362" t="s">
        <v>3990</v>
      </c>
      <c r="E1362">
        <v>9070</v>
      </c>
      <c r="H1362" t="s">
        <v>3991</v>
      </c>
      <c r="I1362" t="s">
        <v>526</v>
      </c>
      <c r="J1362" t="s">
        <v>335</v>
      </c>
      <c r="K1362">
        <v>3000</v>
      </c>
      <c r="M1362" t="s">
        <v>282</v>
      </c>
      <c r="N1362" t="s">
        <v>259</v>
      </c>
      <c r="P1362" t="s">
        <v>260</v>
      </c>
      <c r="Q1362" t="s">
        <v>260</v>
      </c>
      <c r="R1362" t="s">
        <v>268</v>
      </c>
      <c r="S1362" t="s">
        <v>21</v>
      </c>
      <c r="T1362">
        <v>100</v>
      </c>
      <c r="W1362" t="s">
        <v>262</v>
      </c>
      <c r="X1362">
        <v>-37.817425</v>
      </c>
      <c r="Y1362">
        <v>144.96960000000001</v>
      </c>
      <c r="Z1362">
        <v>451</v>
      </c>
    </row>
    <row r="1363" spans="1:26" x14ac:dyDescent="0.3">
      <c r="A1363" t="s">
        <v>21</v>
      </c>
      <c r="B1363" t="s">
        <v>3992</v>
      </c>
      <c r="C1363" t="s">
        <v>270</v>
      </c>
      <c r="D1363" t="s">
        <v>3993</v>
      </c>
      <c r="E1363" t="s">
        <v>3994</v>
      </c>
      <c r="H1363" t="s">
        <v>3995</v>
      </c>
      <c r="I1363" t="s">
        <v>3996</v>
      </c>
      <c r="J1363" t="s">
        <v>398</v>
      </c>
      <c r="K1363">
        <v>4312</v>
      </c>
      <c r="L1363" t="s">
        <v>276</v>
      </c>
      <c r="M1363" t="s">
        <v>398</v>
      </c>
      <c r="N1363" t="s">
        <v>276</v>
      </c>
      <c r="P1363" t="s">
        <v>260</v>
      </c>
      <c r="Q1363" t="s">
        <v>260</v>
      </c>
      <c r="R1363" t="s">
        <v>261</v>
      </c>
      <c r="S1363" t="s">
        <v>21</v>
      </c>
      <c r="T1363">
        <v>100</v>
      </c>
      <c r="W1363" t="s">
        <v>262</v>
      </c>
      <c r="X1363">
        <v>-39.026800000000001</v>
      </c>
      <c r="Y1363">
        <v>174.16040000000001</v>
      </c>
    </row>
    <row r="1364" spans="1:26" x14ac:dyDescent="0.3">
      <c r="A1364" t="s">
        <v>21</v>
      </c>
      <c r="B1364" t="s">
        <v>3997</v>
      </c>
      <c r="C1364" t="s">
        <v>270</v>
      </c>
      <c r="D1364" t="s">
        <v>3998</v>
      </c>
      <c r="E1364" t="s">
        <v>3999</v>
      </c>
      <c r="M1364" t="s">
        <v>631</v>
      </c>
      <c r="N1364" t="s">
        <v>276</v>
      </c>
      <c r="P1364" t="s">
        <v>260</v>
      </c>
      <c r="Q1364" t="s">
        <v>260</v>
      </c>
      <c r="R1364" t="s">
        <v>261</v>
      </c>
      <c r="S1364" t="s">
        <v>21</v>
      </c>
      <c r="T1364">
        <v>100</v>
      </c>
      <c r="W1364" t="s">
        <v>262</v>
      </c>
    </row>
    <row r="1365" spans="1:26" x14ac:dyDescent="0.3">
      <c r="A1365" t="s">
        <v>21</v>
      </c>
      <c r="B1365" t="s">
        <v>4000</v>
      </c>
      <c r="C1365" t="s">
        <v>299</v>
      </c>
      <c r="D1365" t="s">
        <v>4001</v>
      </c>
      <c r="E1365">
        <v>171</v>
      </c>
      <c r="H1365" t="s">
        <v>4002</v>
      </c>
      <c r="I1365" t="s">
        <v>4003</v>
      </c>
      <c r="J1365" t="s">
        <v>555</v>
      </c>
      <c r="K1365">
        <v>6109</v>
      </c>
      <c r="L1365" t="s">
        <v>259</v>
      </c>
      <c r="M1365" t="s">
        <v>503</v>
      </c>
      <c r="N1365" t="s">
        <v>259</v>
      </c>
      <c r="P1365" t="s">
        <v>260</v>
      </c>
      <c r="Q1365" t="s">
        <v>260</v>
      </c>
      <c r="R1365" t="s">
        <v>261</v>
      </c>
      <c r="S1365" t="s">
        <v>21</v>
      </c>
      <c r="T1365">
        <v>100</v>
      </c>
      <c r="W1365" t="s">
        <v>262</v>
      </c>
      <c r="X1365">
        <v>-32.039000000000001</v>
      </c>
      <c r="Y1365">
        <v>115.985</v>
      </c>
      <c r="Z1365">
        <v>310</v>
      </c>
    </row>
    <row r="1366" spans="1:26" x14ac:dyDescent="0.3">
      <c r="A1366" t="s">
        <v>21</v>
      </c>
      <c r="B1366" t="s">
        <v>4004</v>
      </c>
      <c r="C1366" t="s">
        <v>539</v>
      </c>
      <c r="D1366" t="s">
        <v>2227</v>
      </c>
      <c r="M1366" t="s">
        <v>503</v>
      </c>
      <c r="N1366" t="s">
        <v>259</v>
      </c>
      <c r="P1366" t="s">
        <v>260</v>
      </c>
      <c r="Q1366" t="s">
        <v>260</v>
      </c>
      <c r="R1366" t="s">
        <v>261</v>
      </c>
      <c r="S1366" t="s">
        <v>21</v>
      </c>
      <c r="T1366">
        <v>100</v>
      </c>
      <c r="W1366" t="s">
        <v>262</v>
      </c>
    </row>
    <row r="1367" spans="1:26" x14ac:dyDescent="0.3">
      <c r="A1367" t="s">
        <v>21</v>
      </c>
      <c r="B1367" t="s">
        <v>4005</v>
      </c>
      <c r="C1367" t="s">
        <v>270</v>
      </c>
      <c r="D1367" t="s">
        <v>4006</v>
      </c>
      <c r="E1367">
        <v>553302</v>
      </c>
      <c r="H1367" t="s">
        <v>2433</v>
      </c>
      <c r="I1367" t="s">
        <v>1343</v>
      </c>
      <c r="J1367" t="s">
        <v>297</v>
      </c>
      <c r="K1367">
        <v>2104</v>
      </c>
      <c r="L1367" t="s">
        <v>276</v>
      </c>
      <c r="M1367" t="s">
        <v>631</v>
      </c>
      <c r="N1367" t="s">
        <v>276</v>
      </c>
      <c r="P1367" t="s">
        <v>260</v>
      </c>
      <c r="Q1367" t="s">
        <v>260</v>
      </c>
      <c r="R1367" t="s">
        <v>261</v>
      </c>
      <c r="S1367" t="s">
        <v>21</v>
      </c>
      <c r="T1367">
        <v>100</v>
      </c>
      <c r="W1367" t="s">
        <v>262</v>
      </c>
      <c r="X1367">
        <v>-37.008299999999998</v>
      </c>
      <c r="Y1367">
        <v>174.87049999999999</v>
      </c>
    </row>
    <row r="1368" spans="1:26" x14ac:dyDescent="0.3">
      <c r="A1368" t="s">
        <v>21</v>
      </c>
      <c r="B1368" t="s">
        <v>4007</v>
      </c>
      <c r="C1368" t="s">
        <v>270</v>
      </c>
      <c r="D1368" t="s">
        <v>4008</v>
      </c>
      <c r="E1368" t="s">
        <v>4009</v>
      </c>
      <c r="M1368" t="s">
        <v>631</v>
      </c>
      <c r="N1368" t="s">
        <v>276</v>
      </c>
      <c r="P1368" t="s">
        <v>260</v>
      </c>
      <c r="Q1368" t="s">
        <v>260</v>
      </c>
      <c r="R1368" t="s">
        <v>261</v>
      </c>
      <c r="S1368" t="s">
        <v>21</v>
      </c>
      <c r="T1368">
        <v>100</v>
      </c>
      <c r="W1368" t="s">
        <v>262</v>
      </c>
    </row>
    <row r="1369" spans="1:26" x14ac:dyDescent="0.3">
      <c r="A1369" t="s">
        <v>21</v>
      </c>
      <c r="B1369" t="s">
        <v>4010</v>
      </c>
      <c r="C1369" t="s">
        <v>299</v>
      </c>
      <c r="D1369" t="s">
        <v>4011</v>
      </c>
      <c r="E1369">
        <v>17023128</v>
      </c>
      <c r="G1369" t="s">
        <v>4012</v>
      </c>
      <c r="H1369" t="s">
        <v>4013</v>
      </c>
      <c r="I1369" t="s">
        <v>4014</v>
      </c>
      <c r="J1369" t="s">
        <v>307</v>
      </c>
      <c r="M1369" t="s">
        <v>4014</v>
      </c>
      <c r="N1369" t="s">
        <v>259</v>
      </c>
      <c r="P1369" t="s">
        <v>260</v>
      </c>
      <c r="Q1369" t="s">
        <v>260</v>
      </c>
      <c r="R1369" t="s">
        <v>261</v>
      </c>
      <c r="S1369" t="s">
        <v>21</v>
      </c>
      <c r="T1369">
        <v>100</v>
      </c>
      <c r="W1369" t="s">
        <v>262</v>
      </c>
    </row>
    <row r="1370" spans="1:26" ht="135" customHeight="1" x14ac:dyDescent="0.3">
      <c r="A1370" t="s">
        <v>21</v>
      </c>
      <c r="B1370" t="s">
        <v>4015</v>
      </c>
      <c r="C1370" t="s">
        <v>270</v>
      </c>
      <c r="D1370" t="s">
        <v>4016</v>
      </c>
      <c r="E1370">
        <v>8803</v>
      </c>
      <c r="G1370" s="10" t="s">
        <v>4017</v>
      </c>
      <c r="M1370" t="s">
        <v>297</v>
      </c>
      <c r="N1370" t="s">
        <v>276</v>
      </c>
      <c r="P1370" t="s">
        <v>260</v>
      </c>
      <c r="Q1370" t="s">
        <v>260</v>
      </c>
      <c r="R1370" t="s">
        <v>261</v>
      </c>
      <c r="S1370" t="s">
        <v>21</v>
      </c>
      <c r="T1370">
        <v>100</v>
      </c>
      <c r="W1370" t="s">
        <v>262</v>
      </c>
    </row>
    <row r="1371" spans="1:26" x14ac:dyDescent="0.3">
      <c r="A1371" t="s">
        <v>21</v>
      </c>
      <c r="B1371" t="s">
        <v>4018</v>
      </c>
      <c r="C1371" t="s">
        <v>270</v>
      </c>
      <c r="D1371" t="s">
        <v>81</v>
      </c>
      <c r="E1371" t="s">
        <v>81</v>
      </c>
      <c r="F1371" t="s">
        <v>81</v>
      </c>
      <c r="M1371" t="s">
        <v>411</v>
      </c>
      <c r="N1371" t="s">
        <v>259</v>
      </c>
      <c r="P1371" t="s">
        <v>260</v>
      </c>
      <c r="Q1371" t="s">
        <v>260</v>
      </c>
      <c r="R1371" t="s">
        <v>283</v>
      </c>
      <c r="S1371" t="s">
        <v>21</v>
      </c>
      <c r="T1371">
        <v>100</v>
      </c>
      <c r="W1371" t="s">
        <v>262</v>
      </c>
    </row>
    <row r="1372" spans="1:26" x14ac:dyDescent="0.3">
      <c r="A1372" t="s">
        <v>21</v>
      </c>
      <c r="B1372" t="s">
        <v>4019</v>
      </c>
      <c r="C1372" t="s">
        <v>270</v>
      </c>
      <c r="D1372" t="s">
        <v>4020</v>
      </c>
      <c r="E1372" t="s">
        <v>4020</v>
      </c>
      <c r="F1372" t="s">
        <v>4020</v>
      </c>
      <c r="M1372" t="s">
        <v>297</v>
      </c>
      <c r="N1372" t="s">
        <v>276</v>
      </c>
      <c r="P1372" t="s">
        <v>260</v>
      </c>
      <c r="Q1372" t="s">
        <v>260</v>
      </c>
      <c r="R1372" t="s">
        <v>283</v>
      </c>
      <c r="S1372" t="s">
        <v>21</v>
      </c>
      <c r="T1372">
        <v>100</v>
      </c>
      <c r="W1372" t="s">
        <v>262</v>
      </c>
    </row>
    <row r="1373" spans="1:26" x14ac:dyDescent="0.3">
      <c r="A1373" t="s">
        <v>21</v>
      </c>
      <c r="B1373" t="s">
        <v>4021</v>
      </c>
      <c r="C1373" t="s">
        <v>270</v>
      </c>
      <c r="D1373" t="s">
        <v>4022</v>
      </c>
      <c r="E1373">
        <v>54939</v>
      </c>
      <c r="G1373" t="s">
        <v>4023</v>
      </c>
      <c r="M1373" t="s">
        <v>394</v>
      </c>
      <c r="N1373" t="s">
        <v>276</v>
      </c>
      <c r="P1373" t="s">
        <v>260</v>
      </c>
      <c r="Q1373" t="s">
        <v>260</v>
      </c>
      <c r="R1373" t="s">
        <v>261</v>
      </c>
      <c r="S1373" t="s">
        <v>21</v>
      </c>
      <c r="T1373">
        <v>100</v>
      </c>
      <c r="W1373" t="s">
        <v>262</v>
      </c>
    </row>
    <row r="1374" spans="1:26" x14ac:dyDescent="0.3">
      <c r="A1374" t="s">
        <v>21</v>
      </c>
      <c r="B1374" t="s">
        <v>4024</v>
      </c>
      <c r="C1374" t="s">
        <v>270</v>
      </c>
      <c r="D1374" t="s">
        <v>4025</v>
      </c>
      <c r="E1374">
        <v>552412</v>
      </c>
      <c r="M1374" t="s">
        <v>297</v>
      </c>
      <c r="N1374" t="s">
        <v>276</v>
      </c>
      <c r="P1374" t="s">
        <v>260</v>
      </c>
      <c r="Q1374" t="s">
        <v>260</v>
      </c>
      <c r="R1374" t="s">
        <v>261</v>
      </c>
      <c r="S1374" t="s">
        <v>21</v>
      </c>
      <c r="T1374">
        <v>100</v>
      </c>
      <c r="W1374" t="s">
        <v>262</v>
      </c>
    </row>
    <row r="1375" spans="1:26" x14ac:dyDescent="0.3">
      <c r="A1375" t="s">
        <v>21</v>
      </c>
      <c r="B1375" t="s">
        <v>4026</v>
      </c>
      <c r="C1375" t="s">
        <v>270</v>
      </c>
      <c r="D1375" t="s">
        <v>4027</v>
      </c>
      <c r="E1375">
        <v>2000004495</v>
      </c>
      <c r="H1375" t="s">
        <v>2433</v>
      </c>
      <c r="I1375" t="s">
        <v>1343</v>
      </c>
      <c r="J1375" t="s">
        <v>297</v>
      </c>
      <c r="K1375">
        <v>2104</v>
      </c>
      <c r="L1375" t="s">
        <v>276</v>
      </c>
      <c r="M1375" t="s">
        <v>631</v>
      </c>
      <c r="N1375" t="s">
        <v>276</v>
      </c>
      <c r="P1375" t="s">
        <v>260</v>
      </c>
      <c r="Q1375" t="s">
        <v>260</v>
      </c>
      <c r="R1375" t="s">
        <v>268</v>
      </c>
      <c r="S1375" t="s">
        <v>21</v>
      </c>
      <c r="T1375">
        <v>100</v>
      </c>
      <c r="W1375" t="s">
        <v>262</v>
      </c>
      <c r="X1375">
        <v>-37.008299999999998</v>
      </c>
      <c r="Y1375">
        <v>174.87049999999999</v>
      </c>
    </row>
    <row r="1376" spans="1:26" x14ac:dyDescent="0.3">
      <c r="A1376" t="s">
        <v>21</v>
      </c>
      <c r="B1376" t="s">
        <v>4028</v>
      </c>
      <c r="C1376" t="s">
        <v>2894</v>
      </c>
      <c r="D1376" t="s">
        <v>2337</v>
      </c>
      <c r="E1376">
        <v>55907</v>
      </c>
      <c r="G1376" t="s">
        <v>4029</v>
      </c>
      <c r="M1376" t="s">
        <v>353</v>
      </c>
      <c r="N1376" t="s">
        <v>276</v>
      </c>
      <c r="P1376" t="s">
        <v>260</v>
      </c>
      <c r="Q1376" t="s">
        <v>260</v>
      </c>
      <c r="R1376" t="s">
        <v>261</v>
      </c>
      <c r="S1376" t="s">
        <v>21</v>
      </c>
      <c r="T1376">
        <v>100</v>
      </c>
      <c r="W1376" t="s">
        <v>262</v>
      </c>
    </row>
    <row r="1377" spans="1:26" x14ac:dyDescent="0.3">
      <c r="A1377" t="s">
        <v>21</v>
      </c>
      <c r="B1377" t="s">
        <v>4030</v>
      </c>
      <c r="C1377" t="s">
        <v>270</v>
      </c>
      <c r="D1377" t="s">
        <v>4031</v>
      </c>
      <c r="E1377" t="s">
        <v>4031</v>
      </c>
      <c r="M1377" t="s">
        <v>411</v>
      </c>
      <c r="N1377" t="s">
        <v>259</v>
      </c>
      <c r="P1377" t="s">
        <v>260</v>
      </c>
      <c r="Q1377" t="s">
        <v>260</v>
      </c>
      <c r="R1377" t="s">
        <v>283</v>
      </c>
      <c r="S1377" t="s">
        <v>21</v>
      </c>
      <c r="T1377">
        <v>100</v>
      </c>
      <c r="W1377" t="s">
        <v>262</v>
      </c>
    </row>
    <row r="1378" spans="1:26" x14ac:dyDescent="0.3">
      <c r="A1378" t="s">
        <v>21</v>
      </c>
      <c r="B1378" t="s">
        <v>4032</v>
      </c>
      <c r="C1378" t="s">
        <v>356</v>
      </c>
      <c r="D1378" t="s">
        <v>3869</v>
      </c>
      <c r="E1378">
        <v>3511</v>
      </c>
      <c r="F1378">
        <v>3511</v>
      </c>
      <c r="M1378" t="s">
        <v>297</v>
      </c>
      <c r="N1378" t="s">
        <v>276</v>
      </c>
      <c r="P1378" t="s">
        <v>260</v>
      </c>
      <c r="Q1378" t="s">
        <v>260</v>
      </c>
      <c r="R1378" t="s">
        <v>261</v>
      </c>
      <c r="S1378" t="s">
        <v>21</v>
      </c>
      <c r="T1378">
        <v>100</v>
      </c>
      <c r="W1378" t="s">
        <v>262</v>
      </c>
    </row>
    <row r="1379" spans="1:26" x14ac:dyDescent="0.3">
      <c r="A1379" t="s">
        <v>21</v>
      </c>
      <c r="B1379" t="s">
        <v>4033</v>
      </c>
      <c r="C1379" t="s">
        <v>270</v>
      </c>
      <c r="D1379" t="s">
        <v>4034</v>
      </c>
      <c r="E1379" t="s">
        <v>4034</v>
      </c>
      <c r="F1379" t="s">
        <v>4034</v>
      </c>
      <c r="M1379" t="s">
        <v>411</v>
      </c>
      <c r="N1379" t="s">
        <v>259</v>
      </c>
      <c r="P1379" t="s">
        <v>260</v>
      </c>
      <c r="Q1379" t="s">
        <v>260</v>
      </c>
      <c r="R1379" t="s">
        <v>283</v>
      </c>
      <c r="S1379" t="s">
        <v>21</v>
      </c>
      <c r="T1379">
        <v>100</v>
      </c>
      <c r="W1379" t="s">
        <v>262</v>
      </c>
    </row>
    <row r="1380" spans="1:26" x14ac:dyDescent="0.3">
      <c r="A1380" t="s">
        <v>21</v>
      </c>
      <c r="B1380" t="s">
        <v>4035</v>
      </c>
      <c r="C1380" t="s">
        <v>270</v>
      </c>
      <c r="D1380" t="s">
        <v>1924</v>
      </c>
      <c r="E1380">
        <v>3022</v>
      </c>
      <c r="M1380" t="s">
        <v>631</v>
      </c>
      <c r="N1380" t="s">
        <v>276</v>
      </c>
      <c r="P1380" t="s">
        <v>260</v>
      </c>
      <c r="Q1380" t="s">
        <v>260</v>
      </c>
      <c r="R1380" t="s">
        <v>261</v>
      </c>
      <c r="S1380" t="s">
        <v>21</v>
      </c>
      <c r="T1380">
        <v>100</v>
      </c>
      <c r="W1380" t="s">
        <v>262</v>
      </c>
    </row>
    <row r="1381" spans="1:26" x14ac:dyDescent="0.3">
      <c r="A1381" t="s">
        <v>21</v>
      </c>
      <c r="B1381" t="s">
        <v>4036</v>
      </c>
      <c r="C1381" t="s">
        <v>270</v>
      </c>
      <c r="D1381" t="s">
        <v>4037</v>
      </c>
      <c r="E1381">
        <v>66205</v>
      </c>
      <c r="H1381" t="s">
        <v>2433</v>
      </c>
      <c r="I1381" t="s">
        <v>1343</v>
      </c>
      <c r="J1381" t="s">
        <v>297</v>
      </c>
      <c r="K1381">
        <v>2104</v>
      </c>
      <c r="L1381" t="s">
        <v>276</v>
      </c>
      <c r="M1381" t="s">
        <v>631</v>
      </c>
      <c r="N1381" t="s">
        <v>276</v>
      </c>
      <c r="P1381" t="s">
        <v>260</v>
      </c>
      <c r="Q1381" t="s">
        <v>260</v>
      </c>
      <c r="R1381" t="s">
        <v>261</v>
      </c>
      <c r="S1381" t="s">
        <v>21</v>
      </c>
      <c r="T1381">
        <v>100</v>
      </c>
      <c r="W1381" t="s">
        <v>262</v>
      </c>
      <c r="X1381">
        <v>-37.008299999999998</v>
      </c>
      <c r="Y1381">
        <v>174.87049999999999</v>
      </c>
    </row>
    <row r="1382" spans="1:26" x14ac:dyDescent="0.3">
      <c r="A1382" t="s">
        <v>21</v>
      </c>
      <c r="B1382" t="s">
        <v>4038</v>
      </c>
      <c r="C1382" t="s">
        <v>299</v>
      </c>
      <c r="D1382" t="s">
        <v>4039</v>
      </c>
      <c r="E1382">
        <v>3011</v>
      </c>
      <c r="F1382">
        <v>175</v>
      </c>
      <c r="H1382" t="s">
        <v>4040</v>
      </c>
      <c r="I1382" t="s">
        <v>4038</v>
      </c>
      <c r="J1382" t="s">
        <v>318</v>
      </c>
      <c r="K1382">
        <v>4650</v>
      </c>
      <c r="L1382" t="s">
        <v>259</v>
      </c>
      <c r="M1382" t="s">
        <v>302</v>
      </c>
      <c r="N1382" t="s">
        <v>259</v>
      </c>
      <c r="P1382" t="s">
        <v>260</v>
      </c>
      <c r="Q1382" t="s">
        <v>260</v>
      </c>
      <c r="R1382" t="s">
        <v>513</v>
      </c>
      <c r="S1382" t="s">
        <v>21</v>
      </c>
      <c r="T1382">
        <v>100</v>
      </c>
      <c r="W1382" t="s">
        <v>262</v>
      </c>
      <c r="X1382">
        <v>-25.542000000000002</v>
      </c>
      <c r="Y1382">
        <v>152.70500000000001</v>
      </c>
      <c r="Z1382">
        <v>239</v>
      </c>
    </row>
    <row r="1383" spans="1:26" x14ac:dyDescent="0.3">
      <c r="A1383" t="s">
        <v>21</v>
      </c>
      <c r="B1383" t="s">
        <v>4041</v>
      </c>
      <c r="C1383" t="s">
        <v>270</v>
      </c>
      <c r="D1383" t="s">
        <v>4042</v>
      </c>
      <c r="E1383" t="s">
        <v>4043</v>
      </c>
      <c r="H1383" t="s">
        <v>2433</v>
      </c>
      <c r="I1383" t="s">
        <v>1343</v>
      </c>
      <c r="J1383" t="s">
        <v>297</v>
      </c>
      <c r="K1383">
        <v>2104</v>
      </c>
      <c r="L1383" t="s">
        <v>276</v>
      </c>
      <c r="M1383" t="s">
        <v>631</v>
      </c>
      <c r="N1383" t="s">
        <v>276</v>
      </c>
      <c r="P1383" t="s">
        <v>260</v>
      </c>
      <c r="Q1383" t="s">
        <v>260</v>
      </c>
      <c r="R1383" t="s">
        <v>261</v>
      </c>
      <c r="S1383" t="s">
        <v>21</v>
      </c>
      <c r="T1383">
        <v>100</v>
      </c>
      <c r="W1383" t="s">
        <v>262</v>
      </c>
      <c r="X1383">
        <v>-37.008299999999998</v>
      </c>
      <c r="Y1383">
        <v>174.87049999999999</v>
      </c>
    </row>
    <row r="1384" spans="1:26" x14ac:dyDescent="0.3">
      <c r="A1384" t="s">
        <v>21</v>
      </c>
      <c r="B1384" t="s">
        <v>4044</v>
      </c>
      <c r="C1384" t="s">
        <v>270</v>
      </c>
      <c r="D1384" t="s">
        <v>2148</v>
      </c>
      <c r="E1384" t="s">
        <v>4045</v>
      </c>
      <c r="H1384" t="s">
        <v>2433</v>
      </c>
      <c r="I1384" t="s">
        <v>1343</v>
      </c>
      <c r="J1384" t="s">
        <v>297</v>
      </c>
      <c r="K1384">
        <v>2104</v>
      </c>
      <c r="L1384" t="s">
        <v>276</v>
      </c>
      <c r="M1384" t="s">
        <v>631</v>
      </c>
      <c r="N1384" t="s">
        <v>276</v>
      </c>
      <c r="P1384" t="s">
        <v>260</v>
      </c>
      <c r="Q1384" t="s">
        <v>260</v>
      </c>
      <c r="R1384" t="s">
        <v>283</v>
      </c>
      <c r="S1384" t="s">
        <v>21</v>
      </c>
      <c r="T1384">
        <v>100</v>
      </c>
      <c r="W1384" t="s">
        <v>262</v>
      </c>
      <c r="X1384">
        <v>-37.008299999999998</v>
      </c>
      <c r="Y1384">
        <v>174.87049999999999</v>
      </c>
    </row>
    <row r="1385" spans="1:26" x14ac:dyDescent="0.3">
      <c r="A1385" t="s">
        <v>21</v>
      </c>
      <c r="B1385" t="s">
        <v>4046</v>
      </c>
      <c r="C1385" t="s">
        <v>270</v>
      </c>
      <c r="D1385" t="s">
        <v>4047</v>
      </c>
      <c r="E1385" t="s">
        <v>4048</v>
      </c>
      <c r="H1385" t="s">
        <v>4049</v>
      </c>
      <c r="I1385" t="s">
        <v>1346</v>
      </c>
      <c r="J1385" t="s">
        <v>1346</v>
      </c>
      <c r="K1385">
        <v>5810</v>
      </c>
      <c r="L1385" t="s">
        <v>276</v>
      </c>
      <c r="M1385" t="s">
        <v>1346</v>
      </c>
      <c r="N1385" t="s">
        <v>276</v>
      </c>
      <c r="P1385" t="s">
        <v>260</v>
      </c>
      <c r="Q1385" t="s">
        <v>260</v>
      </c>
      <c r="R1385" t="s">
        <v>283</v>
      </c>
      <c r="S1385" t="s">
        <v>21</v>
      </c>
      <c r="T1385">
        <v>100</v>
      </c>
      <c r="W1385" t="s">
        <v>262</v>
      </c>
      <c r="X1385">
        <v>-40.959899999999998</v>
      </c>
      <c r="Y1385">
        <v>175.6131</v>
      </c>
    </row>
    <row r="1386" spans="1:26" x14ac:dyDescent="0.3">
      <c r="A1386" t="s">
        <v>21</v>
      </c>
      <c r="B1386" t="s">
        <v>4050</v>
      </c>
      <c r="C1386" t="s">
        <v>270</v>
      </c>
      <c r="D1386" t="s">
        <v>4051</v>
      </c>
      <c r="E1386">
        <v>2000004805</v>
      </c>
      <c r="H1386" t="s">
        <v>2433</v>
      </c>
      <c r="I1386" t="s">
        <v>1343</v>
      </c>
      <c r="J1386" t="s">
        <v>297</v>
      </c>
      <c r="K1386">
        <v>2104</v>
      </c>
      <c r="L1386" t="s">
        <v>276</v>
      </c>
      <c r="M1386" t="s">
        <v>631</v>
      </c>
      <c r="N1386" t="s">
        <v>276</v>
      </c>
      <c r="P1386" t="s">
        <v>260</v>
      </c>
      <c r="Q1386" t="s">
        <v>260</v>
      </c>
      <c r="R1386" t="s">
        <v>268</v>
      </c>
      <c r="S1386" t="s">
        <v>21</v>
      </c>
      <c r="T1386">
        <v>100</v>
      </c>
      <c r="W1386" t="s">
        <v>262</v>
      </c>
      <c r="X1386">
        <v>-37.008299999999998</v>
      </c>
      <c r="Y1386">
        <v>174.87049999999999</v>
      </c>
    </row>
    <row r="1387" spans="1:26" x14ac:dyDescent="0.3">
      <c r="A1387" t="s">
        <v>21</v>
      </c>
      <c r="B1387" t="s">
        <v>4052</v>
      </c>
      <c r="C1387" t="s">
        <v>270</v>
      </c>
      <c r="D1387" t="s">
        <v>4053</v>
      </c>
      <c r="E1387" t="s">
        <v>4054</v>
      </c>
      <c r="H1387" t="s">
        <v>829</v>
      </c>
      <c r="I1387" t="s">
        <v>830</v>
      </c>
      <c r="J1387" t="s">
        <v>830</v>
      </c>
      <c r="K1387">
        <v>3400</v>
      </c>
      <c r="L1387" t="s">
        <v>276</v>
      </c>
      <c r="M1387" t="s">
        <v>830</v>
      </c>
      <c r="N1387" t="s">
        <v>276</v>
      </c>
      <c r="P1387" t="s">
        <v>260</v>
      </c>
      <c r="Q1387" t="s">
        <v>260</v>
      </c>
      <c r="R1387" t="s">
        <v>283</v>
      </c>
      <c r="S1387" t="s">
        <v>21</v>
      </c>
      <c r="T1387">
        <v>100</v>
      </c>
      <c r="W1387" t="s">
        <v>262</v>
      </c>
      <c r="X1387">
        <v>-37.810299999999998</v>
      </c>
      <c r="Y1387">
        <v>175.77080000000001</v>
      </c>
    </row>
    <row r="1388" spans="1:26" x14ac:dyDescent="0.3">
      <c r="A1388" t="s">
        <v>21</v>
      </c>
      <c r="B1388" t="s">
        <v>4055</v>
      </c>
      <c r="C1388" t="s">
        <v>270</v>
      </c>
      <c r="D1388" t="s">
        <v>827</v>
      </c>
      <c r="E1388" t="s">
        <v>4056</v>
      </c>
      <c r="H1388" t="s">
        <v>2433</v>
      </c>
      <c r="I1388" t="s">
        <v>1343</v>
      </c>
      <c r="J1388" t="s">
        <v>297</v>
      </c>
      <c r="K1388">
        <v>2104</v>
      </c>
      <c r="L1388" t="s">
        <v>276</v>
      </c>
      <c r="M1388" t="s">
        <v>631</v>
      </c>
      <c r="N1388" t="s">
        <v>276</v>
      </c>
      <c r="P1388" t="s">
        <v>260</v>
      </c>
      <c r="Q1388" t="s">
        <v>260</v>
      </c>
      <c r="R1388" t="s">
        <v>283</v>
      </c>
      <c r="S1388" t="s">
        <v>21</v>
      </c>
      <c r="T1388">
        <v>100</v>
      </c>
      <c r="W1388" t="s">
        <v>262</v>
      </c>
      <c r="X1388">
        <v>-37.008299999999998</v>
      </c>
      <c r="Y1388">
        <v>174.87049999999999</v>
      </c>
    </row>
    <row r="1389" spans="1:26" x14ac:dyDescent="0.3">
      <c r="A1389" t="s">
        <v>21</v>
      </c>
      <c r="B1389" t="s">
        <v>4057</v>
      </c>
      <c r="C1389" t="s">
        <v>2807</v>
      </c>
      <c r="D1389" t="s">
        <v>4058</v>
      </c>
      <c r="E1389">
        <v>91409</v>
      </c>
      <c r="G1389" t="s">
        <v>4059</v>
      </c>
      <c r="H1389" t="s">
        <v>4060</v>
      </c>
      <c r="I1389" t="s">
        <v>4061</v>
      </c>
      <c r="K1389" t="s">
        <v>4062</v>
      </c>
      <c r="M1389" t="s">
        <v>4061</v>
      </c>
      <c r="N1389" t="s">
        <v>276</v>
      </c>
      <c r="P1389" t="s">
        <v>260</v>
      </c>
      <c r="Q1389" t="s">
        <v>260</v>
      </c>
      <c r="R1389" t="s">
        <v>293</v>
      </c>
      <c r="S1389" t="s">
        <v>21</v>
      </c>
      <c r="T1389">
        <v>100</v>
      </c>
      <c r="W1389" t="s">
        <v>262</v>
      </c>
    </row>
    <row r="1390" spans="1:26" x14ac:dyDescent="0.3">
      <c r="A1390" t="s">
        <v>21</v>
      </c>
      <c r="B1390" t="s">
        <v>4063</v>
      </c>
      <c r="C1390" t="s">
        <v>270</v>
      </c>
      <c r="D1390" t="s">
        <v>4064</v>
      </c>
      <c r="E1390">
        <v>552302</v>
      </c>
      <c r="M1390" t="s">
        <v>297</v>
      </c>
      <c r="N1390" t="s">
        <v>276</v>
      </c>
      <c r="P1390" t="s">
        <v>260</v>
      </c>
      <c r="Q1390" t="s">
        <v>260</v>
      </c>
      <c r="R1390" t="s">
        <v>261</v>
      </c>
      <c r="S1390" t="s">
        <v>21</v>
      </c>
      <c r="T1390">
        <v>100</v>
      </c>
      <c r="W1390" t="s">
        <v>262</v>
      </c>
    </row>
    <row r="1391" spans="1:26" x14ac:dyDescent="0.3">
      <c r="A1391" t="s">
        <v>21</v>
      </c>
      <c r="B1391" t="s">
        <v>4065</v>
      </c>
      <c r="C1391" t="s">
        <v>270</v>
      </c>
      <c r="D1391" t="s">
        <v>4066</v>
      </c>
      <c r="E1391">
        <v>554557</v>
      </c>
      <c r="M1391" t="s">
        <v>297</v>
      </c>
      <c r="N1391" t="s">
        <v>276</v>
      </c>
      <c r="P1391" t="s">
        <v>260</v>
      </c>
      <c r="Q1391" t="s">
        <v>260</v>
      </c>
      <c r="R1391" t="s">
        <v>261</v>
      </c>
      <c r="S1391" t="s">
        <v>21</v>
      </c>
      <c r="T1391">
        <v>100</v>
      </c>
      <c r="W1391" t="s">
        <v>262</v>
      </c>
    </row>
    <row r="1392" spans="1:26" x14ac:dyDescent="0.3">
      <c r="A1392" t="s">
        <v>21</v>
      </c>
      <c r="B1392" t="s">
        <v>4067</v>
      </c>
      <c r="C1392" t="s">
        <v>270</v>
      </c>
      <c r="D1392" t="s">
        <v>4068</v>
      </c>
      <c r="E1392" t="s">
        <v>4068</v>
      </c>
      <c r="M1392" t="s">
        <v>411</v>
      </c>
      <c r="N1392" t="s">
        <v>259</v>
      </c>
      <c r="P1392" t="s">
        <v>260</v>
      </c>
      <c r="Q1392" t="s">
        <v>260</v>
      </c>
      <c r="R1392" t="s">
        <v>283</v>
      </c>
      <c r="S1392" t="s">
        <v>21</v>
      </c>
      <c r="T1392">
        <v>100</v>
      </c>
      <c r="W1392" t="s">
        <v>262</v>
      </c>
    </row>
    <row r="1393" spans="1:27" x14ac:dyDescent="0.3">
      <c r="A1393" t="s">
        <v>21</v>
      </c>
      <c r="B1393" t="s">
        <v>4069</v>
      </c>
      <c r="C1393" t="s">
        <v>270</v>
      </c>
      <c r="D1393" t="s">
        <v>710</v>
      </c>
      <c r="E1393">
        <v>55643</v>
      </c>
      <c r="H1393" t="s">
        <v>4070</v>
      </c>
      <c r="I1393" t="s">
        <v>712</v>
      </c>
      <c r="J1393" t="s">
        <v>712</v>
      </c>
      <c r="K1393">
        <v>7730</v>
      </c>
      <c r="L1393" t="s">
        <v>276</v>
      </c>
      <c r="M1393" t="s">
        <v>712</v>
      </c>
      <c r="N1393" t="s">
        <v>276</v>
      </c>
      <c r="P1393" t="s">
        <v>260</v>
      </c>
      <c r="Q1393" t="s">
        <v>260</v>
      </c>
      <c r="R1393" t="s">
        <v>261</v>
      </c>
      <c r="S1393" t="s">
        <v>21</v>
      </c>
      <c r="T1393">
        <v>100</v>
      </c>
      <c r="W1393" t="s">
        <v>262</v>
      </c>
      <c r="X1393">
        <v>-43.626199999999997</v>
      </c>
      <c r="Y1393">
        <v>171.63980000000001</v>
      </c>
    </row>
    <row r="1394" spans="1:27" x14ac:dyDescent="0.3">
      <c r="A1394" t="s">
        <v>21</v>
      </c>
      <c r="B1394" t="s">
        <v>4071</v>
      </c>
      <c r="C1394" t="s">
        <v>270</v>
      </c>
      <c r="D1394" t="s">
        <v>4072</v>
      </c>
      <c r="E1394">
        <v>69701</v>
      </c>
      <c r="G1394" t="s">
        <v>4073</v>
      </c>
      <c r="M1394" t="s">
        <v>297</v>
      </c>
      <c r="N1394" t="s">
        <v>276</v>
      </c>
      <c r="P1394" t="s">
        <v>260</v>
      </c>
      <c r="Q1394" t="s">
        <v>260</v>
      </c>
      <c r="R1394" t="s">
        <v>268</v>
      </c>
      <c r="S1394" t="s">
        <v>21</v>
      </c>
      <c r="T1394">
        <v>100</v>
      </c>
      <c r="W1394" t="s">
        <v>262</v>
      </c>
    </row>
    <row r="1395" spans="1:27" x14ac:dyDescent="0.3">
      <c r="A1395" t="s">
        <v>21</v>
      </c>
      <c r="B1395" t="s">
        <v>4074</v>
      </c>
      <c r="C1395" t="s">
        <v>270</v>
      </c>
      <c r="D1395" t="s">
        <v>4075</v>
      </c>
      <c r="E1395" t="s">
        <v>4075</v>
      </c>
      <c r="F1395" t="s">
        <v>4075</v>
      </c>
      <c r="M1395" t="s">
        <v>297</v>
      </c>
      <c r="N1395" t="s">
        <v>276</v>
      </c>
      <c r="P1395" t="s">
        <v>260</v>
      </c>
      <c r="Q1395" t="s">
        <v>260</v>
      </c>
      <c r="R1395" t="s">
        <v>283</v>
      </c>
      <c r="S1395" t="s">
        <v>21</v>
      </c>
      <c r="T1395">
        <v>100</v>
      </c>
      <c r="W1395" t="s">
        <v>262</v>
      </c>
    </row>
    <row r="1396" spans="1:27" x14ac:dyDescent="0.3">
      <c r="A1396" t="s">
        <v>21</v>
      </c>
      <c r="B1396" t="s">
        <v>4076</v>
      </c>
      <c r="C1396" t="s">
        <v>270</v>
      </c>
      <c r="D1396" t="s">
        <v>4077</v>
      </c>
      <c r="E1396" t="s">
        <v>4078</v>
      </c>
      <c r="H1396" t="s">
        <v>2433</v>
      </c>
      <c r="I1396" t="s">
        <v>1343</v>
      </c>
      <c r="J1396" t="s">
        <v>297</v>
      </c>
      <c r="K1396">
        <v>2104</v>
      </c>
      <c r="L1396" t="s">
        <v>276</v>
      </c>
      <c r="M1396" t="s">
        <v>631</v>
      </c>
      <c r="N1396" t="s">
        <v>276</v>
      </c>
      <c r="P1396" t="s">
        <v>260</v>
      </c>
      <c r="Q1396" t="s">
        <v>260</v>
      </c>
      <c r="R1396" t="s">
        <v>261</v>
      </c>
      <c r="S1396" t="s">
        <v>21</v>
      </c>
      <c r="T1396">
        <v>100</v>
      </c>
      <c r="W1396" t="s">
        <v>262</v>
      </c>
      <c r="X1396">
        <v>-37.008299999999998</v>
      </c>
      <c r="Y1396">
        <v>174.87049999999999</v>
      </c>
    </row>
    <row r="1397" spans="1:27" x14ac:dyDescent="0.3">
      <c r="A1397" t="s">
        <v>21</v>
      </c>
      <c r="B1397" t="s">
        <v>4079</v>
      </c>
      <c r="C1397" t="s">
        <v>270</v>
      </c>
      <c r="D1397" t="s">
        <v>2843</v>
      </c>
      <c r="E1397">
        <v>54217</v>
      </c>
      <c r="M1397" t="s">
        <v>297</v>
      </c>
      <c r="N1397" t="s">
        <v>276</v>
      </c>
      <c r="P1397" t="s">
        <v>260</v>
      </c>
      <c r="Q1397" t="s">
        <v>260</v>
      </c>
      <c r="R1397" t="s">
        <v>261</v>
      </c>
      <c r="S1397" t="s">
        <v>21</v>
      </c>
      <c r="T1397">
        <v>100</v>
      </c>
      <c r="W1397" t="s">
        <v>262</v>
      </c>
    </row>
    <row r="1398" spans="1:27" ht="165" customHeight="1" x14ac:dyDescent="0.3">
      <c r="A1398" t="s">
        <v>21</v>
      </c>
      <c r="B1398" t="s">
        <v>4080</v>
      </c>
      <c r="C1398" t="s">
        <v>270</v>
      </c>
      <c r="D1398" t="s">
        <v>4081</v>
      </c>
      <c r="E1398">
        <v>2000004549</v>
      </c>
      <c r="G1398" s="10" t="s">
        <v>4082</v>
      </c>
      <c r="M1398" t="s">
        <v>297</v>
      </c>
      <c r="N1398" t="s">
        <v>276</v>
      </c>
      <c r="P1398" t="s">
        <v>260</v>
      </c>
      <c r="Q1398" t="s">
        <v>260</v>
      </c>
      <c r="R1398" t="s">
        <v>268</v>
      </c>
      <c r="S1398" t="s">
        <v>21</v>
      </c>
      <c r="T1398">
        <v>100</v>
      </c>
      <c r="W1398" t="s">
        <v>262</v>
      </c>
    </row>
    <row r="1399" spans="1:27" x14ac:dyDescent="0.3">
      <c r="A1399" t="s">
        <v>21</v>
      </c>
      <c r="B1399" t="s">
        <v>4083</v>
      </c>
      <c r="C1399" t="s">
        <v>270</v>
      </c>
      <c r="D1399" t="s">
        <v>4084</v>
      </c>
      <c r="E1399" t="s">
        <v>4084</v>
      </c>
      <c r="M1399" t="s">
        <v>297</v>
      </c>
      <c r="N1399" t="s">
        <v>276</v>
      </c>
      <c r="P1399" t="s">
        <v>260</v>
      </c>
      <c r="Q1399" t="s">
        <v>260</v>
      </c>
      <c r="R1399" t="s">
        <v>261</v>
      </c>
      <c r="S1399" t="s">
        <v>21</v>
      </c>
      <c r="T1399">
        <v>100</v>
      </c>
      <c r="W1399" t="s">
        <v>262</v>
      </c>
    </row>
    <row r="1400" spans="1:27" x14ac:dyDescent="0.3">
      <c r="A1400" t="s">
        <v>21</v>
      </c>
      <c r="B1400" t="s">
        <v>4085</v>
      </c>
      <c r="C1400" t="s">
        <v>270</v>
      </c>
      <c r="D1400" t="s">
        <v>1997</v>
      </c>
      <c r="E1400">
        <v>3516</v>
      </c>
      <c r="H1400" t="s">
        <v>2433</v>
      </c>
      <c r="I1400" t="s">
        <v>1343</v>
      </c>
      <c r="J1400" t="s">
        <v>297</v>
      </c>
      <c r="K1400">
        <v>2104</v>
      </c>
      <c r="L1400" t="s">
        <v>276</v>
      </c>
      <c r="M1400" t="s">
        <v>631</v>
      </c>
      <c r="N1400" t="s">
        <v>276</v>
      </c>
      <c r="P1400" t="s">
        <v>260</v>
      </c>
      <c r="Q1400" t="s">
        <v>260</v>
      </c>
      <c r="R1400" t="s">
        <v>261</v>
      </c>
      <c r="S1400" t="s">
        <v>21</v>
      </c>
      <c r="T1400">
        <v>100</v>
      </c>
      <c r="W1400" t="s">
        <v>262</v>
      </c>
      <c r="X1400">
        <v>-37.008299999999998</v>
      </c>
      <c r="Y1400">
        <v>174.87049999999999</v>
      </c>
    </row>
    <row r="1401" spans="1:27" x14ac:dyDescent="0.3">
      <c r="A1401" t="s">
        <v>21</v>
      </c>
      <c r="B1401" t="s">
        <v>4086</v>
      </c>
      <c r="C1401" t="s">
        <v>264</v>
      </c>
      <c r="D1401" t="s">
        <v>4087</v>
      </c>
      <c r="E1401">
        <v>1016</v>
      </c>
      <c r="G1401" t="s">
        <v>4088</v>
      </c>
      <c r="H1401" t="s">
        <v>4089</v>
      </c>
      <c r="I1401" t="s">
        <v>699</v>
      </c>
      <c r="J1401" t="s">
        <v>318</v>
      </c>
      <c r="K1401">
        <v>4064</v>
      </c>
      <c r="M1401" t="s">
        <v>699</v>
      </c>
      <c r="N1401" t="s">
        <v>259</v>
      </c>
      <c r="P1401" t="s">
        <v>260</v>
      </c>
      <c r="Q1401" t="s">
        <v>260</v>
      </c>
      <c r="R1401" t="s">
        <v>293</v>
      </c>
      <c r="S1401" t="s">
        <v>21</v>
      </c>
      <c r="T1401">
        <v>100</v>
      </c>
      <c r="W1401" t="s">
        <v>262</v>
      </c>
      <c r="X1401">
        <v>-27.468329000000001</v>
      </c>
      <c r="Y1401">
        <v>153.01027099999999</v>
      </c>
      <c r="Z1401">
        <v>729</v>
      </c>
      <c r="AA1401" s="9">
        <v>43466</v>
      </c>
    </row>
    <row r="1402" spans="1:27" x14ac:dyDescent="0.3">
      <c r="A1402" t="s">
        <v>21</v>
      </c>
      <c r="B1402" t="s">
        <v>4090</v>
      </c>
      <c r="C1402" t="s">
        <v>270</v>
      </c>
      <c r="D1402" t="s">
        <v>4091</v>
      </c>
      <c r="E1402" t="s">
        <v>4091</v>
      </c>
      <c r="M1402" t="s">
        <v>411</v>
      </c>
      <c r="N1402" t="s">
        <v>259</v>
      </c>
      <c r="P1402" t="s">
        <v>260</v>
      </c>
      <c r="Q1402" t="s">
        <v>260</v>
      </c>
      <c r="R1402" t="s">
        <v>283</v>
      </c>
      <c r="S1402" t="s">
        <v>21</v>
      </c>
      <c r="T1402">
        <v>100</v>
      </c>
      <c r="W1402" t="s">
        <v>262</v>
      </c>
    </row>
    <row r="1403" spans="1:27" x14ac:dyDescent="0.3">
      <c r="A1403" t="s">
        <v>21</v>
      </c>
      <c r="B1403" t="s">
        <v>4092</v>
      </c>
      <c r="C1403" t="s">
        <v>270</v>
      </c>
      <c r="D1403" t="s">
        <v>4093</v>
      </c>
      <c r="E1403" t="s">
        <v>4093</v>
      </c>
      <c r="F1403" t="s">
        <v>4093</v>
      </c>
      <c r="M1403" t="s">
        <v>411</v>
      </c>
      <c r="N1403" t="s">
        <v>259</v>
      </c>
      <c r="P1403" t="s">
        <v>260</v>
      </c>
      <c r="Q1403" t="s">
        <v>260</v>
      </c>
      <c r="R1403" t="s">
        <v>283</v>
      </c>
      <c r="S1403" t="s">
        <v>21</v>
      </c>
      <c r="T1403">
        <v>100</v>
      </c>
      <c r="W1403" t="s">
        <v>262</v>
      </c>
    </row>
    <row r="1404" spans="1:27" x14ac:dyDescent="0.3">
      <c r="A1404" t="s">
        <v>21</v>
      </c>
      <c r="B1404" t="s">
        <v>4094</v>
      </c>
      <c r="C1404" t="s">
        <v>270</v>
      </c>
      <c r="D1404" t="s">
        <v>4095</v>
      </c>
      <c r="E1404">
        <v>2000004946</v>
      </c>
      <c r="H1404" t="s">
        <v>2433</v>
      </c>
      <c r="I1404" t="s">
        <v>1343</v>
      </c>
      <c r="J1404" t="s">
        <v>297</v>
      </c>
      <c r="K1404">
        <v>2104</v>
      </c>
      <c r="L1404" t="s">
        <v>276</v>
      </c>
      <c r="M1404" t="s">
        <v>631</v>
      </c>
      <c r="N1404" t="s">
        <v>276</v>
      </c>
      <c r="P1404" t="s">
        <v>260</v>
      </c>
      <c r="Q1404" t="s">
        <v>260</v>
      </c>
      <c r="R1404" t="s">
        <v>268</v>
      </c>
      <c r="S1404" t="s">
        <v>21</v>
      </c>
      <c r="T1404">
        <v>100</v>
      </c>
      <c r="W1404" t="s">
        <v>262</v>
      </c>
      <c r="X1404">
        <v>-37.008299999999998</v>
      </c>
      <c r="Y1404">
        <v>174.87049999999999</v>
      </c>
    </row>
    <row r="1405" spans="1:27" x14ac:dyDescent="0.3">
      <c r="A1405" t="s">
        <v>21</v>
      </c>
      <c r="B1405" t="s">
        <v>4096</v>
      </c>
      <c r="C1405" t="s">
        <v>270</v>
      </c>
      <c r="D1405" t="s">
        <v>4097</v>
      </c>
      <c r="E1405">
        <v>55946</v>
      </c>
      <c r="F1405">
        <v>55946</v>
      </c>
      <c r="M1405" t="s">
        <v>297</v>
      </c>
      <c r="N1405" t="s">
        <v>276</v>
      </c>
      <c r="P1405" t="s">
        <v>260</v>
      </c>
      <c r="Q1405" t="s">
        <v>260</v>
      </c>
      <c r="R1405" t="s">
        <v>261</v>
      </c>
      <c r="S1405" t="s">
        <v>21</v>
      </c>
      <c r="T1405">
        <v>100</v>
      </c>
      <c r="W1405" t="s">
        <v>262</v>
      </c>
    </row>
    <row r="1406" spans="1:27" x14ac:dyDescent="0.3">
      <c r="A1406" t="s">
        <v>21</v>
      </c>
      <c r="B1406" t="s">
        <v>4098</v>
      </c>
      <c r="C1406" t="s">
        <v>1845</v>
      </c>
      <c r="D1406" t="s">
        <v>4099</v>
      </c>
      <c r="E1406">
        <v>561366</v>
      </c>
      <c r="G1406" t="s">
        <v>4100</v>
      </c>
      <c r="M1406" t="s">
        <v>403</v>
      </c>
      <c r="N1406" t="s">
        <v>276</v>
      </c>
      <c r="P1406" t="s">
        <v>260</v>
      </c>
      <c r="Q1406" t="s">
        <v>260</v>
      </c>
      <c r="R1406" t="s">
        <v>283</v>
      </c>
      <c r="S1406" t="s">
        <v>21</v>
      </c>
      <c r="T1406">
        <v>100</v>
      </c>
      <c r="W1406" t="s">
        <v>262</v>
      </c>
    </row>
    <row r="1407" spans="1:27" x14ac:dyDescent="0.3">
      <c r="A1407" t="s">
        <v>21</v>
      </c>
      <c r="B1407" t="s">
        <v>4101</v>
      </c>
      <c r="C1407" t="s">
        <v>270</v>
      </c>
      <c r="D1407" t="s">
        <v>4102</v>
      </c>
      <c r="E1407">
        <v>312010</v>
      </c>
      <c r="H1407" t="s">
        <v>2433</v>
      </c>
      <c r="I1407" t="s">
        <v>1343</v>
      </c>
      <c r="J1407" t="s">
        <v>297</v>
      </c>
      <c r="K1407">
        <v>2104</v>
      </c>
      <c r="L1407" t="s">
        <v>276</v>
      </c>
      <c r="M1407" t="s">
        <v>631</v>
      </c>
      <c r="N1407" t="s">
        <v>276</v>
      </c>
      <c r="P1407" t="s">
        <v>260</v>
      </c>
      <c r="Q1407" t="s">
        <v>260</v>
      </c>
      <c r="R1407" t="s">
        <v>261</v>
      </c>
      <c r="S1407" t="s">
        <v>21</v>
      </c>
      <c r="T1407">
        <v>100</v>
      </c>
      <c r="W1407" t="s">
        <v>262</v>
      </c>
      <c r="X1407">
        <v>-37.008299999999998</v>
      </c>
      <c r="Y1407">
        <v>174.87049999999999</v>
      </c>
    </row>
    <row r="1408" spans="1:27" x14ac:dyDescent="0.3">
      <c r="A1408" t="s">
        <v>21</v>
      </c>
      <c r="B1408" t="s">
        <v>4103</v>
      </c>
      <c r="C1408" t="s">
        <v>270</v>
      </c>
      <c r="D1408" t="s">
        <v>4104</v>
      </c>
      <c r="E1408" t="s">
        <v>4104</v>
      </c>
      <c r="M1408" t="s">
        <v>411</v>
      </c>
      <c r="N1408" t="s">
        <v>259</v>
      </c>
      <c r="P1408" t="s">
        <v>260</v>
      </c>
      <c r="Q1408" t="s">
        <v>260</v>
      </c>
      <c r="R1408" t="s">
        <v>283</v>
      </c>
      <c r="S1408" t="s">
        <v>21</v>
      </c>
      <c r="T1408">
        <v>100</v>
      </c>
      <c r="W1408" t="s">
        <v>262</v>
      </c>
    </row>
    <row r="1409" spans="1:25" x14ac:dyDescent="0.3">
      <c r="A1409" t="s">
        <v>21</v>
      </c>
      <c r="B1409" t="s">
        <v>4105</v>
      </c>
      <c r="C1409" t="s">
        <v>270</v>
      </c>
      <c r="D1409" t="s">
        <v>4106</v>
      </c>
      <c r="E1409">
        <v>553624</v>
      </c>
      <c r="H1409" t="s">
        <v>2433</v>
      </c>
      <c r="I1409" t="s">
        <v>1343</v>
      </c>
      <c r="J1409" t="s">
        <v>297</v>
      </c>
      <c r="K1409">
        <v>2104</v>
      </c>
      <c r="L1409" t="s">
        <v>276</v>
      </c>
      <c r="M1409" t="s">
        <v>631</v>
      </c>
      <c r="N1409" t="s">
        <v>276</v>
      </c>
      <c r="P1409" t="s">
        <v>260</v>
      </c>
      <c r="Q1409" t="s">
        <v>260</v>
      </c>
      <c r="R1409" t="s">
        <v>261</v>
      </c>
      <c r="S1409" t="s">
        <v>21</v>
      </c>
      <c r="T1409">
        <v>100</v>
      </c>
      <c r="W1409" t="s">
        <v>262</v>
      </c>
      <c r="X1409">
        <v>-37.008299999999998</v>
      </c>
      <c r="Y1409">
        <v>174.87049999999999</v>
      </c>
    </row>
    <row r="1410" spans="1:25" x14ac:dyDescent="0.3">
      <c r="A1410" t="s">
        <v>21</v>
      </c>
      <c r="B1410" t="s">
        <v>4107</v>
      </c>
      <c r="C1410" t="s">
        <v>270</v>
      </c>
      <c r="D1410" t="s">
        <v>4108</v>
      </c>
      <c r="E1410">
        <v>552400</v>
      </c>
      <c r="H1410" t="s">
        <v>2433</v>
      </c>
      <c r="I1410" t="s">
        <v>1343</v>
      </c>
      <c r="J1410" t="s">
        <v>297</v>
      </c>
      <c r="K1410">
        <v>2104</v>
      </c>
      <c r="L1410" t="s">
        <v>276</v>
      </c>
      <c r="M1410" t="s">
        <v>631</v>
      </c>
      <c r="N1410" t="s">
        <v>276</v>
      </c>
      <c r="P1410" t="s">
        <v>260</v>
      </c>
      <c r="Q1410" t="s">
        <v>260</v>
      </c>
      <c r="R1410" t="s">
        <v>261</v>
      </c>
      <c r="S1410" t="s">
        <v>21</v>
      </c>
      <c r="T1410">
        <v>100</v>
      </c>
      <c r="W1410" t="s">
        <v>262</v>
      </c>
      <c r="X1410">
        <v>-37.008299999999998</v>
      </c>
      <c r="Y1410">
        <v>174.87049999999999</v>
      </c>
    </row>
    <row r="1411" spans="1:25" ht="300" customHeight="1" x14ac:dyDescent="0.3">
      <c r="A1411" t="s">
        <v>21</v>
      </c>
      <c r="B1411" t="s">
        <v>4109</v>
      </c>
      <c r="C1411" t="s">
        <v>270</v>
      </c>
      <c r="E1411">
        <v>241599</v>
      </c>
      <c r="G1411" s="10" t="s">
        <v>4110</v>
      </c>
      <c r="M1411" t="s">
        <v>312</v>
      </c>
      <c r="N1411" t="s">
        <v>259</v>
      </c>
      <c r="P1411" t="s">
        <v>260</v>
      </c>
      <c r="Q1411" t="s">
        <v>260</v>
      </c>
      <c r="R1411" t="s">
        <v>283</v>
      </c>
      <c r="S1411" t="s">
        <v>21</v>
      </c>
      <c r="T1411">
        <v>100</v>
      </c>
      <c r="W1411" t="s">
        <v>262</v>
      </c>
    </row>
    <row r="1412" spans="1:25" x14ac:dyDescent="0.3">
      <c r="A1412" t="s">
        <v>21</v>
      </c>
      <c r="B1412" t="s">
        <v>4111</v>
      </c>
      <c r="C1412" t="s">
        <v>270</v>
      </c>
      <c r="D1412" t="s">
        <v>4112</v>
      </c>
      <c r="E1412">
        <v>883005</v>
      </c>
      <c r="M1412" t="s">
        <v>631</v>
      </c>
      <c r="N1412" t="s">
        <v>276</v>
      </c>
      <c r="P1412" t="s">
        <v>260</v>
      </c>
      <c r="Q1412" t="s">
        <v>260</v>
      </c>
      <c r="R1412" t="s">
        <v>261</v>
      </c>
      <c r="S1412" t="s">
        <v>21</v>
      </c>
      <c r="T1412">
        <v>100</v>
      </c>
      <c r="W1412" t="s">
        <v>262</v>
      </c>
    </row>
    <row r="1413" spans="1:25" ht="255" customHeight="1" x14ac:dyDescent="0.3">
      <c r="A1413" t="s">
        <v>21</v>
      </c>
      <c r="B1413" t="s">
        <v>4113</v>
      </c>
      <c r="C1413" t="s">
        <v>2894</v>
      </c>
      <c r="D1413" t="s">
        <v>4114</v>
      </c>
      <c r="E1413">
        <v>91386</v>
      </c>
      <c r="G1413" s="10" t="s">
        <v>4115</v>
      </c>
      <c r="M1413" t="s">
        <v>664</v>
      </c>
      <c r="N1413" t="s">
        <v>276</v>
      </c>
      <c r="P1413" t="s">
        <v>260</v>
      </c>
      <c r="Q1413" t="s">
        <v>260</v>
      </c>
      <c r="R1413" t="s">
        <v>261</v>
      </c>
      <c r="S1413" t="s">
        <v>21</v>
      </c>
      <c r="T1413">
        <v>100</v>
      </c>
      <c r="W1413" t="s">
        <v>262</v>
      </c>
    </row>
    <row r="1414" spans="1:25" ht="255" customHeight="1" x14ac:dyDescent="0.3">
      <c r="A1414" t="s">
        <v>21</v>
      </c>
      <c r="B1414" t="s">
        <v>4116</v>
      </c>
      <c r="C1414" t="s">
        <v>2894</v>
      </c>
      <c r="D1414" t="s">
        <v>4117</v>
      </c>
      <c r="E1414">
        <v>91385</v>
      </c>
      <c r="G1414" s="10" t="s">
        <v>4118</v>
      </c>
      <c r="H1414" t="s">
        <v>4119</v>
      </c>
      <c r="I1414" t="s">
        <v>4120</v>
      </c>
      <c r="K1414">
        <v>7872</v>
      </c>
      <c r="L1414" t="s">
        <v>664</v>
      </c>
      <c r="M1414" t="s">
        <v>664</v>
      </c>
      <c r="N1414" t="s">
        <v>276</v>
      </c>
      <c r="P1414" t="s">
        <v>260</v>
      </c>
      <c r="Q1414" t="s">
        <v>260</v>
      </c>
      <c r="R1414" t="s">
        <v>261</v>
      </c>
      <c r="S1414" t="s">
        <v>21</v>
      </c>
      <c r="T1414">
        <v>100</v>
      </c>
      <c r="W1414" t="s">
        <v>262</v>
      </c>
    </row>
    <row r="1415" spans="1:25" x14ac:dyDescent="0.3">
      <c r="A1415" t="s">
        <v>21</v>
      </c>
      <c r="B1415" t="s">
        <v>4121</v>
      </c>
      <c r="C1415" t="s">
        <v>356</v>
      </c>
      <c r="D1415" t="s">
        <v>392</v>
      </c>
      <c r="E1415">
        <v>3512</v>
      </c>
      <c r="H1415" t="s">
        <v>2433</v>
      </c>
      <c r="I1415" t="s">
        <v>1343</v>
      </c>
      <c r="J1415" t="s">
        <v>297</v>
      </c>
      <c r="K1415">
        <v>2104</v>
      </c>
      <c r="L1415" t="s">
        <v>276</v>
      </c>
      <c r="M1415" t="s">
        <v>631</v>
      </c>
      <c r="N1415" t="s">
        <v>276</v>
      </c>
      <c r="P1415" t="s">
        <v>260</v>
      </c>
      <c r="Q1415" t="s">
        <v>260</v>
      </c>
      <c r="R1415" t="s">
        <v>261</v>
      </c>
      <c r="S1415" t="s">
        <v>21</v>
      </c>
      <c r="T1415">
        <v>100</v>
      </c>
      <c r="W1415" t="s">
        <v>262</v>
      </c>
      <c r="X1415">
        <v>-37.008299999999998</v>
      </c>
      <c r="Y1415">
        <v>174.87049999999999</v>
      </c>
    </row>
    <row r="1416" spans="1:25" x14ac:dyDescent="0.3">
      <c r="A1416" t="s">
        <v>21</v>
      </c>
      <c r="B1416" t="s">
        <v>4122</v>
      </c>
      <c r="C1416" t="s">
        <v>270</v>
      </c>
      <c r="D1416" t="s">
        <v>4123</v>
      </c>
      <c r="E1416">
        <v>3526</v>
      </c>
      <c r="H1416" t="s">
        <v>2433</v>
      </c>
      <c r="I1416" t="s">
        <v>1343</v>
      </c>
      <c r="J1416" t="s">
        <v>297</v>
      </c>
      <c r="K1416">
        <v>2104</v>
      </c>
      <c r="L1416" t="s">
        <v>276</v>
      </c>
      <c r="M1416" t="s">
        <v>631</v>
      </c>
      <c r="N1416" t="s">
        <v>276</v>
      </c>
      <c r="P1416" t="s">
        <v>260</v>
      </c>
      <c r="Q1416" t="s">
        <v>260</v>
      </c>
      <c r="R1416" t="s">
        <v>261</v>
      </c>
      <c r="S1416" t="s">
        <v>21</v>
      </c>
      <c r="T1416">
        <v>100</v>
      </c>
      <c r="W1416" t="s">
        <v>262</v>
      </c>
      <c r="X1416">
        <v>-37.008299999999998</v>
      </c>
      <c r="Y1416">
        <v>174.87049999999999</v>
      </c>
    </row>
    <row r="1417" spans="1:25" x14ac:dyDescent="0.3">
      <c r="A1417" t="s">
        <v>21</v>
      </c>
      <c r="B1417" t="s">
        <v>4124</v>
      </c>
      <c r="C1417" t="s">
        <v>270</v>
      </c>
      <c r="D1417" t="s">
        <v>1071</v>
      </c>
      <c r="E1417">
        <v>3524</v>
      </c>
      <c r="H1417" t="s">
        <v>2433</v>
      </c>
      <c r="I1417" t="s">
        <v>1343</v>
      </c>
      <c r="J1417" t="s">
        <v>297</v>
      </c>
      <c r="K1417">
        <v>2104</v>
      </c>
      <c r="L1417" t="s">
        <v>276</v>
      </c>
      <c r="M1417" t="s">
        <v>631</v>
      </c>
      <c r="N1417" t="s">
        <v>276</v>
      </c>
      <c r="P1417" t="s">
        <v>260</v>
      </c>
      <c r="Q1417" t="s">
        <v>260</v>
      </c>
      <c r="R1417" t="s">
        <v>261</v>
      </c>
      <c r="S1417" t="s">
        <v>21</v>
      </c>
      <c r="T1417">
        <v>100</v>
      </c>
      <c r="W1417" t="s">
        <v>262</v>
      </c>
      <c r="X1417">
        <v>-37.008299999999998</v>
      </c>
      <c r="Y1417">
        <v>174.87049999999999</v>
      </c>
    </row>
    <row r="1418" spans="1:25" x14ac:dyDescent="0.3">
      <c r="A1418" t="s">
        <v>21</v>
      </c>
      <c r="B1418" t="s">
        <v>4125</v>
      </c>
      <c r="C1418" t="s">
        <v>270</v>
      </c>
      <c r="D1418" t="s">
        <v>3177</v>
      </c>
      <c r="E1418" t="s">
        <v>3177</v>
      </c>
      <c r="F1418" t="s">
        <v>3177</v>
      </c>
      <c r="M1418" t="s">
        <v>411</v>
      </c>
      <c r="N1418" t="s">
        <v>259</v>
      </c>
      <c r="P1418" t="s">
        <v>260</v>
      </c>
      <c r="Q1418" t="s">
        <v>260</v>
      </c>
      <c r="R1418" t="s">
        <v>283</v>
      </c>
      <c r="S1418" t="s">
        <v>21</v>
      </c>
      <c r="T1418">
        <v>100</v>
      </c>
      <c r="W1418" t="s">
        <v>262</v>
      </c>
    </row>
    <row r="1419" spans="1:25" x14ac:dyDescent="0.3">
      <c r="A1419" t="s">
        <v>21</v>
      </c>
      <c r="B1419" t="s">
        <v>4126</v>
      </c>
      <c r="C1419" t="s">
        <v>539</v>
      </c>
      <c r="D1419" t="s">
        <v>3562</v>
      </c>
      <c r="E1419" t="s">
        <v>4127</v>
      </c>
      <c r="M1419" t="s">
        <v>312</v>
      </c>
      <c r="N1419" t="s">
        <v>259</v>
      </c>
      <c r="P1419" t="s">
        <v>260</v>
      </c>
      <c r="Q1419" t="s">
        <v>260</v>
      </c>
      <c r="R1419" t="s">
        <v>261</v>
      </c>
      <c r="S1419" t="s">
        <v>21</v>
      </c>
      <c r="T1419">
        <v>100</v>
      </c>
      <c r="W1419" t="s">
        <v>262</v>
      </c>
    </row>
    <row r="1420" spans="1:25" x14ac:dyDescent="0.3">
      <c r="A1420" t="s">
        <v>21</v>
      </c>
      <c r="B1420" t="s">
        <v>4128</v>
      </c>
      <c r="C1420" t="s">
        <v>278</v>
      </c>
      <c r="D1420" t="s">
        <v>4129</v>
      </c>
      <c r="E1420">
        <v>37740119</v>
      </c>
      <c r="M1420" t="s">
        <v>267</v>
      </c>
      <c r="N1420" t="s">
        <v>259</v>
      </c>
      <c r="P1420" t="s">
        <v>260</v>
      </c>
      <c r="Q1420" t="s">
        <v>260</v>
      </c>
      <c r="R1420" t="s">
        <v>283</v>
      </c>
      <c r="S1420" t="s">
        <v>21</v>
      </c>
      <c r="T1420">
        <v>100</v>
      </c>
      <c r="U1420" s="9">
        <v>45474</v>
      </c>
      <c r="W1420" t="s">
        <v>262</v>
      </c>
    </row>
    <row r="1421" spans="1:25" x14ac:dyDescent="0.3">
      <c r="A1421" t="s">
        <v>21</v>
      </c>
      <c r="B1421" t="s">
        <v>4130</v>
      </c>
      <c r="C1421" t="s">
        <v>278</v>
      </c>
      <c r="D1421">
        <v>24190252</v>
      </c>
      <c r="M1421" t="s">
        <v>4131</v>
      </c>
      <c r="N1421" t="s">
        <v>259</v>
      </c>
      <c r="P1421" t="s">
        <v>260</v>
      </c>
      <c r="Q1421" t="s">
        <v>260</v>
      </c>
      <c r="R1421" t="s">
        <v>283</v>
      </c>
      <c r="S1421" t="s">
        <v>21</v>
      </c>
      <c r="T1421">
        <v>100</v>
      </c>
      <c r="U1421" s="9">
        <v>45474</v>
      </c>
      <c r="W1421" t="s">
        <v>262</v>
      </c>
    </row>
    <row r="1422" spans="1:25" x14ac:dyDescent="0.3">
      <c r="A1422" t="s">
        <v>21</v>
      </c>
      <c r="B1422" t="s">
        <v>4132</v>
      </c>
      <c r="C1422" t="s">
        <v>270</v>
      </c>
      <c r="D1422" t="s">
        <v>4133</v>
      </c>
      <c r="E1422" t="s">
        <v>4133</v>
      </c>
      <c r="M1422" t="s">
        <v>411</v>
      </c>
      <c r="N1422" t="s">
        <v>259</v>
      </c>
      <c r="P1422" t="s">
        <v>260</v>
      </c>
      <c r="Q1422" t="s">
        <v>260</v>
      </c>
      <c r="R1422" t="s">
        <v>283</v>
      </c>
      <c r="S1422" t="s">
        <v>21</v>
      </c>
      <c r="T1422">
        <v>100</v>
      </c>
      <c r="W1422" t="s">
        <v>262</v>
      </c>
    </row>
    <row r="1423" spans="1:25" x14ac:dyDescent="0.3">
      <c r="A1423" t="s">
        <v>21</v>
      </c>
      <c r="B1423" t="s">
        <v>4134</v>
      </c>
      <c r="C1423" t="s">
        <v>270</v>
      </c>
      <c r="D1423" t="s">
        <v>4135</v>
      </c>
      <c r="E1423" t="s">
        <v>4135</v>
      </c>
      <c r="F1423" t="s">
        <v>4135</v>
      </c>
      <c r="M1423" t="s">
        <v>297</v>
      </c>
      <c r="N1423" t="s">
        <v>276</v>
      </c>
      <c r="P1423" t="s">
        <v>260</v>
      </c>
      <c r="Q1423" t="s">
        <v>260</v>
      </c>
      <c r="R1423" t="s">
        <v>283</v>
      </c>
      <c r="S1423" t="s">
        <v>21</v>
      </c>
      <c r="T1423">
        <v>100</v>
      </c>
      <c r="W1423" t="s">
        <v>262</v>
      </c>
    </row>
    <row r="1424" spans="1:25" x14ac:dyDescent="0.3">
      <c r="A1424" t="s">
        <v>21</v>
      </c>
      <c r="B1424" t="s">
        <v>4136</v>
      </c>
      <c r="C1424" t="s">
        <v>270</v>
      </c>
      <c r="D1424" t="s">
        <v>4137</v>
      </c>
      <c r="E1424" t="s">
        <v>4137</v>
      </c>
      <c r="M1424" t="s">
        <v>411</v>
      </c>
      <c r="N1424" t="s">
        <v>259</v>
      </c>
      <c r="P1424" t="s">
        <v>260</v>
      </c>
      <c r="Q1424" t="s">
        <v>260</v>
      </c>
      <c r="R1424" t="s">
        <v>283</v>
      </c>
      <c r="S1424" t="s">
        <v>21</v>
      </c>
      <c r="T1424">
        <v>100</v>
      </c>
      <c r="W1424" t="s">
        <v>262</v>
      </c>
    </row>
    <row r="1425" spans="1:26" x14ac:dyDescent="0.3">
      <c r="A1425" t="s">
        <v>21</v>
      </c>
      <c r="B1425" t="s">
        <v>4138</v>
      </c>
      <c r="C1425" t="s">
        <v>270</v>
      </c>
      <c r="D1425" t="s">
        <v>1073</v>
      </c>
      <c r="E1425">
        <v>3525</v>
      </c>
      <c r="H1425" t="s">
        <v>4139</v>
      </c>
      <c r="I1425" t="s">
        <v>2412</v>
      </c>
      <c r="J1425" t="s">
        <v>2412</v>
      </c>
      <c r="K1425">
        <v>3116</v>
      </c>
      <c r="L1425" t="s">
        <v>276</v>
      </c>
      <c r="M1425" t="s">
        <v>429</v>
      </c>
      <c r="N1425" t="s">
        <v>276</v>
      </c>
      <c r="P1425" t="s">
        <v>260</v>
      </c>
      <c r="Q1425" t="s">
        <v>260</v>
      </c>
      <c r="R1425" t="s">
        <v>261</v>
      </c>
      <c r="S1425" t="s">
        <v>21</v>
      </c>
      <c r="T1425">
        <v>100</v>
      </c>
      <c r="W1425" t="s">
        <v>262</v>
      </c>
      <c r="X1425">
        <v>-37.677799999999998</v>
      </c>
      <c r="Y1425">
        <v>176.21860000000001</v>
      </c>
    </row>
    <row r="1426" spans="1:26" x14ac:dyDescent="0.3">
      <c r="A1426" t="s">
        <v>21</v>
      </c>
      <c r="B1426" t="s">
        <v>4140</v>
      </c>
      <c r="C1426" t="s">
        <v>270</v>
      </c>
      <c r="D1426" t="s">
        <v>4141</v>
      </c>
      <c r="E1426" t="s">
        <v>4141</v>
      </c>
      <c r="F1426" t="s">
        <v>4141</v>
      </c>
      <c r="M1426" t="s">
        <v>411</v>
      </c>
      <c r="N1426" t="s">
        <v>259</v>
      </c>
      <c r="P1426" t="s">
        <v>260</v>
      </c>
      <c r="Q1426" t="s">
        <v>260</v>
      </c>
      <c r="R1426" t="s">
        <v>283</v>
      </c>
      <c r="S1426" t="s">
        <v>21</v>
      </c>
      <c r="T1426">
        <v>100</v>
      </c>
      <c r="W1426" t="s">
        <v>262</v>
      </c>
    </row>
    <row r="1427" spans="1:26" x14ac:dyDescent="0.3">
      <c r="A1427" t="s">
        <v>21</v>
      </c>
      <c r="B1427" t="s">
        <v>4142</v>
      </c>
      <c r="C1427" t="s">
        <v>270</v>
      </c>
      <c r="D1427" t="s">
        <v>4143</v>
      </c>
      <c r="E1427">
        <v>2000006000</v>
      </c>
      <c r="H1427" t="s">
        <v>4144</v>
      </c>
      <c r="I1427" t="s">
        <v>2496</v>
      </c>
      <c r="J1427" t="s">
        <v>297</v>
      </c>
      <c r="K1427">
        <v>1061</v>
      </c>
      <c r="L1427" t="s">
        <v>276</v>
      </c>
      <c r="M1427" t="s">
        <v>990</v>
      </c>
      <c r="N1427" t="s">
        <v>276</v>
      </c>
      <c r="P1427" t="s">
        <v>260</v>
      </c>
      <c r="Q1427" t="s">
        <v>260</v>
      </c>
      <c r="R1427" t="s">
        <v>268</v>
      </c>
      <c r="S1427" t="s">
        <v>21</v>
      </c>
      <c r="T1427">
        <v>100</v>
      </c>
      <c r="W1427" t="s">
        <v>262</v>
      </c>
      <c r="X1427">
        <v>-36.9191</v>
      </c>
      <c r="Y1427">
        <v>174.81010000000001</v>
      </c>
    </row>
    <row r="1428" spans="1:26" x14ac:dyDescent="0.3">
      <c r="A1428" t="s">
        <v>21</v>
      </c>
      <c r="B1428" t="s">
        <v>4145</v>
      </c>
      <c r="C1428" t="s">
        <v>270</v>
      </c>
      <c r="D1428" t="s">
        <v>4143</v>
      </c>
      <c r="E1428">
        <v>2000006004</v>
      </c>
      <c r="H1428" t="s">
        <v>4144</v>
      </c>
      <c r="I1428" t="s">
        <v>2496</v>
      </c>
      <c r="J1428" t="s">
        <v>297</v>
      </c>
      <c r="K1428">
        <v>1061</v>
      </c>
      <c r="L1428" t="s">
        <v>276</v>
      </c>
      <c r="M1428" t="s">
        <v>990</v>
      </c>
      <c r="N1428" t="s">
        <v>276</v>
      </c>
      <c r="P1428" t="s">
        <v>260</v>
      </c>
      <c r="Q1428" t="s">
        <v>260</v>
      </c>
      <c r="R1428" t="s">
        <v>268</v>
      </c>
      <c r="S1428" t="s">
        <v>21</v>
      </c>
      <c r="T1428">
        <v>100</v>
      </c>
      <c r="W1428" t="s">
        <v>262</v>
      </c>
      <c r="X1428">
        <v>-36.9191</v>
      </c>
      <c r="Y1428">
        <v>174.81010000000001</v>
      </c>
    </row>
    <row r="1429" spans="1:26" ht="135" customHeight="1" x14ac:dyDescent="0.3">
      <c r="A1429" t="s">
        <v>21</v>
      </c>
      <c r="B1429" t="s">
        <v>4146</v>
      </c>
      <c r="C1429" t="s">
        <v>264</v>
      </c>
      <c r="D1429" t="s">
        <v>4147</v>
      </c>
      <c r="E1429">
        <v>2012</v>
      </c>
      <c r="F1429">
        <v>74</v>
      </c>
      <c r="H1429" s="10" t="s">
        <v>4148</v>
      </c>
      <c r="I1429" t="s">
        <v>4149</v>
      </c>
      <c r="J1429" t="s">
        <v>4150</v>
      </c>
      <c r="K1429" t="s">
        <v>4151</v>
      </c>
      <c r="L1429" t="s">
        <v>4152</v>
      </c>
      <c r="M1429" t="s">
        <v>4153</v>
      </c>
      <c r="N1429" t="s">
        <v>4152</v>
      </c>
      <c r="P1429" t="s">
        <v>260</v>
      </c>
      <c r="Q1429" t="s">
        <v>260</v>
      </c>
      <c r="R1429" t="s">
        <v>283</v>
      </c>
      <c r="S1429" t="s">
        <v>21</v>
      </c>
      <c r="T1429">
        <v>100</v>
      </c>
      <c r="W1429" t="s">
        <v>262</v>
      </c>
      <c r="X1429">
        <v>-19.927519</v>
      </c>
      <c r="Y1429">
        <v>-43.940150000000003</v>
      </c>
      <c r="Z1429">
        <v>692</v>
      </c>
    </row>
    <row r="1430" spans="1:26" x14ac:dyDescent="0.3">
      <c r="A1430" t="s">
        <v>21</v>
      </c>
      <c r="B1430" t="s">
        <v>4154</v>
      </c>
      <c r="C1430" t="s">
        <v>1877</v>
      </c>
      <c r="D1430" t="s">
        <v>4155</v>
      </c>
      <c r="E1430" t="s">
        <v>4156</v>
      </c>
      <c r="H1430" t="s">
        <v>4157</v>
      </c>
      <c r="I1430" t="s">
        <v>4158</v>
      </c>
      <c r="J1430" t="s">
        <v>4159</v>
      </c>
      <c r="K1430" t="s">
        <v>4160</v>
      </c>
      <c r="M1430" t="s">
        <v>4159</v>
      </c>
      <c r="N1430" t="s">
        <v>4152</v>
      </c>
      <c r="P1430" t="s">
        <v>260</v>
      </c>
      <c r="Q1430" t="s">
        <v>260</v>
      </c>
      <c r="R1430" t="s">
        <v>283</v>
      </c>
      <c r="S1430" t="s">
        <v>21</v>
      </c>
      <c r="T1430">
        <v>100</v>
      </c>
      <c r="W1430" t="s">
        <v>262</v>
      </c>
      <c r="X1430">
        <v>-19.471126999999999</v>
      </c>
      <c r="Y1430">
        <v>-44.26305</v>
      </c>
      <c r="Z1430">
        <v>692</v>
      </c>
    </row>
    <row r="1431" spans="1:26" x14ac:dyDescent="0.3">
      <c r="A1431" t="s">
        <v>21</v>
      </c>
      <c r="B1431" t="s">
        <v>4161</v>
      </c>
      <c r="C1431" t="s">
        <v>2807</v>
      </c>
      <c r="D1431" t="s">
        <v>4162</v>
      </c>
      <c r="E1431" t="s">
        <v>4163</v>
      </c>
      <c r="F1431">
        <v>75</v>
      </c>
      <c r="H1431" t="s">
        <v>4164</v>
      </c>
      <c r="I1431" t="s">
        <v>4165</v>
      </c>
      <c r="J1431" t="s">
        <v>318</v>
      </c>
      <c r="K1431">
        <v>4211</v>
      </c>
      <c r="M1431" t="s">
        <v>302</v>
      </c>
      <c r="N1431" t="s">
        <v>259</v>
      </c>
      <c r="P1431" t="s">
        <v>260</v>
      </c>
      <c r="Q1431" t="s">
        <v>260</v>
      </c>
      <c r="R1431" t="s">
        <v>283</v>
      </c>
      <c r="S1431" t="s">
        <v>21</v>
      </c>
      <c r="T1431">
        <v>100</v>
      </c>
      <c r="W1431" t="s">
        <v>262</v>
      </c>
      <c r="X1431">
        <v>-28.033999999999999</v>
      </c>
      <c r="Y1431">
        <v>153.35599999999999</v>
      </c>
      <c r="Z1431">
        <v>246</v>
      </c>
    </row>
    <row r="1432" spans="1:26" x14ac:dyDescent="0.3">
      <c r="A1432" t="s">
        <v>21</v>
      </c>
      <c r="B1432" t="s">
        <v>4166</v>
      </c>
      <c r="C1432" t="s">
        <v>2807</v>
      </c>
      <c r="D1432" t="s">
        <v>1655</v>
      </c>
      <c r="E1432">
        <v>2007</v>
      </c>
      <c r="F1432">
        <v>99</v>
      </c>
      <c r="G1432" t="s">
        <v>4167</v>
      </c>
      <c r="H1432" t="s">
        <v>4168</v>
      </c>
      <c r="I1432" t="s">
        <v>4169</v>
      </c>
      <c r="J1432" t="s">
        <v>305</v>
      </c>
      <c r="K1432">
        <v>5065</v>
      </c>
      <c r="L1432" t="s">
        <v>259</v>
      </c>
      <c r="M1432" t="s">
        <v>307</v>
      </c>
      <c r="N1432" t="s">
        <v>259</v>
      </c>
      <c r="P1432" t="s">
        <v>260</v>
      </c>
      <c r="Q1432" t="s">
        <v>260</v>
      </c>
      <c r="R1432" t="s">
        <v>283</v>
      </c>
      <c r="S1432" t="s">
        <v>21</v>
      </c>
      <c r="T1432">
        <v>100</v>
      </c>
      <c r="W1432" t="s">
        <v>262</v>
      </c>
      <c r="X1432">
        <v>-34.938706500000002</v>
      </c>
      <c r="Y1432">
        <v>138.6243834</v>
      </c>
      <c r="Z1432">
        <v>692</v>
      </c>
    </row>
    <row r="1433" spans="1:26" x14ac:dyDescent="0.3">
      <c r="A1433" t="s">
        <v>21</v>
      </c>
      <c r="B1433" t="s">
        <v>4170</v>
      </c>
      <c r="C1433" t="s">
        <v>2423</v>
      </c>
      <c r="D1433" t="s">
        <v>4171</v>
      </c>
      <c r="E1433" t="s">
        <v>4172</v>
      </c>
      <c r="F1433">
        <v>76</v>
      </c>
      <c r="H1433" t="s">
        <v>4173</v>
      </c>
      <c r="J1433" t="s">
        <v>4174</v>
      </c>
      <c r="L1433" t="s">
        <v>4174</v>
      </c>
      <c r="M1433" t="s">
        <v>4175</v>
      </c>
      <c r="N1433" t="s">
        <v>4174</v>
      </c>
      <c r="P1433" t="s">
        <v>260</v>
      </c>
      <c r="Q1433" t="s">
        <v>260</v>
      </c>
      <c r="R1433" t="s">
        <v>283</v>
      </c>
      <c r="S1433" t="s">
        <v>21</v>
      </c>
      <c r="T1433">
        <v>100</v>
      </c>
      <c r="W1433" t="s">
        <v>262</v>
      </c>
      <c r="X1433">
        <v>9.9559709999999999</v>
      </c>
      <c r="Y1433">
        <v>76.343132999999995</v>
      </c>
      <c r="Z1433">
        <v>692</v>
      </c>
    </row>
    <row r="1434" spans="1:26" x14ac:dyDescent="0.3">
      <c r="A1434" t="s">
        <v>21</v>
      </c>
      <c r="B1434" t="s">
        <v>4176</v>
      </c>
      <c r="C1434" t="s">
        <v>2423</v>
      </c>
      <c r="D1434" t="s">
        <v>4177</v>
      </c>
      <c r="E1434" t="s">
        <v>4178</v>
      </c>
      <c r="F1434">
        <v>77</v>
      </c>
      <c r="H1434" t="s">
        <v>4179</v>
      </c>
      <c r="J1434" t="s">
        <v>4180</v>
      </c>
      <c r="L1434" t="s">
        <v>4180</v>
      </c>
      <c r="M1434" t="s">
        <v>4181</v>
      </c>
      <c r="N1434" t="s">
        <v>4180</v>
      </c>
      <c r="P1434" t="s">
        <v>260</v>
      </c>
      <c r="Q1434" t="s">
        <v>260</v>
      </c>
      <c r="R1434" t="s">
        <v>283</v>
      </c>
      <c r="S1434" t="s">
        <v>21</v>
      </c>
      <c r="T1434">
        <v>100</v>
      </c>
      <c r="W1434" t="s">
        <v>262</v>
      </c>
      <c r="X1434">
        <v>-28.752497999999999</v>
      </c>
      <c r="Y1434">
        <v>32.022074000000003</v>
      </c>
      <c r="Z1434">
        <v>692</v>
      </c>
    </row>
    <row r="1435" spans="1:26" x14ac:dyDescent="0.3">
      <c r="A1435" t="s">
        <v>21</v>
      </c>
      <c r="B1435" t="s">
        <v>4182</v>
      </c>
      <c r="C1435" t="s">
        <v>289</v>
      </c>
      <c r="D1435" t="s">
        <v>2204</v>
      </c>
      <c r="E1435">
        <v>9118</v>
      </c>
      <c r="H1435" t="s">
        <v>4183</v>
      </c>
      <c r="I1435" t="s">
        <v>334</v>
      </c>
      <c r="J1435" t="s">
        <v>335</v>
      </c>
      <c r="K1435">
        <v>3170</v>
      </c>
      <c r="M1435" t="s">
        <v>282</v>
      </c>
      <c r="N1435" t="s">
        <v>259</v>
      </c>
      <c r="P1435" t="s">
        <v>260</v>
      </c>
      <c r="Q1435" t="s">
        <v>260</v>
      </c>
      <c r="R1435" t="s">
        <v>283</v>
      </c>
      <c r="S1435" t="s">
        <v>21</v>
      </c>
      <c r="T1435">
        <v>100</v>
      </c>
      <c r="W1435" t="s">
        <v>262</v>
      </c>
      <c r="X1435">
        <v>-37.917875000000002</v>
      </c>
      <c r="Y1435">
        <v>145.14744899999999</v>
      </c>
      <c r="Z1435">
        <v>692</v>
      </c>
    </row>
    <row r="1436" spans="1:26" x14ac:dyDescent="0.3">
      <c r="A1436" t="s">
        <v>21</v>
      </c>
      <c r="B1436" t="s">
        <v>4184</v>
      </c>
      <c r="C1436" t="s">
        <v>270</v>
      </c>
      <c r="D1436" t="s">
        <v>4185</v>
      </c>
      <c r="E1436" t="s">
        <v>4185</v>
      </c>
      <c r="M1436" t="s">
        <v>411</v>
      </c>
      <c r="N1436" t="s">
        <v>259</v>
      </c>
      <c r="P1436" t="s">
        <v>260</v>
      </c>
      <c r="Q1436" t="s">
        <v>260</v>
      </c>
      <c r="R1436" t="s">
        <v>283</v>
      </c>
      <c r="S1436" t="s">
        <v>21</v>
      </c>
      <c r="T1436">
        <v>100</v>
      </c>
      <c r="W1436" t="s">
        <v>262</v>
      </c>
    </row>
    <row r="1437" spans="1:26" x14ac:dyDescent="0.3">
      <c r="A1437" t="s">
        <v>21</v>
      </c>
      <c r="B1437" t="s">
        <v>4186</v>
      </c>
      <c r="C1437" t="s">
        <v>264</v>
      </c>
      <c r="D1437" t="s">
        <v>4187</v>
      </c>
      <c r="E1437">
        <v>799996</v>
      </c>
      <c r="G1437" t="s">
        <v>4188</v>
      </c>
      <c r="H1437" t="s">
        <v>4189</v>
      </c>
      <c r="I1437" t="s">
        <v>4190</v>
      </c>
      <c r="M1437" t="s">
        <v>322</v>
      </c>
      <c r="N1437" t="s">
        <v>259</v>
      </c>
      <c r="P1437" t="s">
        <v>260</v>
      </c>
      <c r="Q1437" t="s">
        <v>260</v>
      </c>
      <c r="R1437" t="s">
        <v>513</v>
      </c>
      <c r="S1437" t="s">
        <v>21</v>
      </c>
      <c r="T1437">
        <v>100</v>
      </c>
      <c r="W1437" t="s">
        <v>262</v>
      </c>
    </row>
    <row r="1438" spans="1:26" x14ac:dyDescent="0.3">
      <c r="A1438" t="s">
        <v>21</v>
      </c>
      <c r="B1438" t="s">
        <v>4191</v>
      </c>
      <c r="C1438" t="s">
        <v>270</v>
      </c>
      <c r="D1438" t="s">
        <v>4192</v>
      </c>
      <c r="E1438" t="s">
        <v>4192</v>
      </c>
      <c r="M1438" t="s">
        <v>411</v>
      </c>
      <c r="N1438" t="s">
        <v>259</v>
      </c>
      <c r="P1438" t="s">
        <v>260</v>
      </c>
      <c r="Q1438" t="s">
        <v>260</v>
      </c>
      <c r="R1438" t="s">
        <v>283</v>
      </c>
      <c r="S1438" t="s">
        <v>21</v>
      </c>
      <c r="T1438">
        <v>100</v>
      </c>
      <c r="W1438" t="s">
        <v>262</v>
      </c>
    </row>
    <row r="1439" spans="1:26" x14ac:dyDescent="0.3">
      <c r="A1439" t="s">
        <v>21</v>
      </c>
      <c r="B1439" t="s">
        <v>4193</v>
      </c>
      <c r="C1439" t="s">
        <v>270</v>
      </c>
      <c r="D1439" t="s">
        <v>4194</v>
      </c>
      <c r="E1439" t="s">
        <v>4194</v>
      </c>
      <c r="F1439" t="s">
        <v>4194</v>
      </c>
      <c r="M1439" t="s">
        <v>411</v>
      </c>
      <c r="N1439" t="s">
        <v>259</v>
      </c>
      <c r="P1439" t="s">
        <v>260</v>
      </c>
      <c r="Q1439" t="s">
        <v>260</v>
      </c>
      <c r="R1439" t="s">
        <v>283</v>
      </c>
      <c r="S1439" t="s">
        <v>21</v>
      </c>
      <c r="T1439">
        <v>100</v>
      </c>
      <c r="W1439" t="s">
        <v>262</v>
      </c>
    </row>
    <row r="1440" spans="1:26" x14ac:dyDescent="0.3">
      <c r="A1440" t="s">
        <v>21</v>
      </c>
      <c r="B1440" t="s">
        <v>4195</v>
      </c>
      <c r="C1440" t="s">
        <v>264</v>
      </c>
      <c r="D1440" t="s">
        <v>4196</v>
      </c>
      <c r="E1440">
        <v>91823</v>
      </c>
      <c r="H1440" t="s">
        <v>4197</v>
      </c>
      <c r="I1440" t="s">
        <v>4198</v>
      </c>
      <c r="K1440">
        <v>4110</v>
      </c>
      <c r="M1440" t="s">
        <v>4198</v>
      </c>
      <c r="N1440" t="s">
        <v>276</v>
      </c>
      <c r="P1440" t="s">
        <v>260</v>
      </c>
      <c r="Q1440" t="s">
        <v>260</v>
      </c>
      <c r="R1440" t="s">
        <v>268</v>
      </c>
      <c r="S1440" t="s">
        <v>21</v>
      </c>
      <c r="T1440">
        <v>100</v>
      </c>
      <c r="W1440" t="s">
        <v>262</v>
      </c>
    </row>
    <row r="1441" spans="1:25" x14ac:dyDescent="0.3">
      <c r="A1441" t="s">
        <v>21</v>
      </c>
      <c r="B1441" t="s">
        <v>4199</v>
      </c>
      <c r="C1441" t="s">
        <v>270</v>
      </c>
      <c r="D1441" t="s">
        <v>4200</v>
      </c>
      <c r="E1441">
        <v>54950</v>
      </c>
      <c r="M1441" t="s">
        <v>297</v>
      </c>
      <c r="N1441" t="s">
        <v>276</v>
      </c>
      <c r="P1441" t="s">
        <v>260</v>
      </c>
      <c r="Q1441" t="s">
        <v>260</v>
      </c>
      <c r="R1441" t="s">
        <v>261</v>
      </c>
      <c r="S1441" t="s">
        <v>21</v>
      </c>
      <c r="T1441">
        <v>100</v>
      </c>
      <c r="W1441" t="s">
        <v>262</v>
      </c>
    </row>
    <row r="1442" spans="1:25" x14ac:dyDescent="0.3">
      <c r="A1442" t="s">
        <v>21</v>
      </c>
      <c r="B1442" t="s">
        <v>4201</v>
      </c>
      <c r="C1442" t="s">
        <v>270</v>
      </c>
      <c r="D1442" t="s">
        <v>4202</v>
      </c>
      <c r="E1442">
        <v>55966</v>
      </c>
      <c r="M1442" t="s">
        <v>631</v>
      </c>
      <c r="N1442" t="s">
        <v>276</v>
      </c>
      <c r="P1442" t="s">
        <v>260</v>
      </c>
      <c r="Q1442" t="s">
        <v>260</v>
      </c>
      <c r="R1442" t="s">
        <v>261</v>
      </c>
      <c r="S1442" t="s">
        <v>21</v>
      </c>
      <c r="T1442">
        <v>100</v>
      </c>
      <c r="W1442" t="s">
        <v>262</v>
      </c>
    </row>
    <row r="1443" spans="1:25" x14ac:dyDescent="0.3">
      <c r="A1443" t="s">
        <v>21</v>
      </c>
      <c r="B1443" t="s">
        <v>4203</v>
      </c>
      <c r="C1443" t="s">
        <v>270</v>
      </c>
      <c r="D1443" t="s">
        <v>4204</v>
      </c>
      <c r="E1443" t="s">
        <v>4204</v>
      </c>
      <c r="M1443" t="s">
        <v>394</v>
      </c>
      <c r="N1443" t="s">
        <v>276</v>
      </c>
      <c r="P1443" t="s">
        <v>260</v>
      </c>
      <c r="Q1443" t="s">
        <v>260</v>
      </c>
      <c r="R1443" t="s">
        <v>283</v>
      </c>
      <c r="S1443" t="s">
        <v>21</v>
      </c>
      <c r="T1443">
        <v>100</v>
      </c>
      <c r="W1443" t="s">
        <v>262</v>
      </c>
    </row>
    <row r="1444" spans="1:25" x14ac:dyDescent="0.3">
      <c r="A1444" t="s">
        <v>21</v>
      </c>
      <c r="B1444" t="s">
        <v>4205</v>
      </c>
      <c r="C1444" t="s">
        <v>270</v>
      </c>
      <c r="D1444" t="s">
        <v>4206</v>
      </c>
      <c r="E1444">
        <v>55964</v>
      </c>
      <c r="M1444" t="s">
        <v>631</v>
      </c>
      <c r="N1444" t="s">
        <v>276</v>
      </c>
      <c r="P1444" t="s">
        <v>260</v>
      </c>
      <c r="Q1444" t="s">
        <v>260</v>
      </c>
      <c r="R1444" t="s">
        <v>261</v>
      </c>
      <c r="S1444" t="s">
        <v>21</v>
      </c>
      <c r="T1444">
        <v>100</v>
      </c>
      <c r="W1444" t="s">
        <v>262</v>
      </c>
    </row>
    <row r="1445" spans="1:25" x14ac:dyDescent="0.3">
      <c r="A1445" t="s">
        <v>21</v>
      </c>
      <c r="B1445" t="s">
        <v>4207</v>
      </c>
      <c r="C1445" t="s">
        <v>270</v>
      </c>
      <c r="D1445" t="s">
        <v>1942</v>
      </c>
      <c r="E1445">
        <v>1923</v>
      </c>
      <c r="H1445" t="s">
        <v>2433</v>
      </c>
      <c r="I1445" t="s">
        <v>1343</v>
      </c>
      <c r="J1445" t="s">
        <v>297</v>
      </c>
      <c r="K1445">
        <v>2104</v>
      </c>
      <c r="L1445" t="s">
        <v>276</v>
      </c>
      <c r="M1445" t="s">
        <v>631</v>
      </c>
      <c r="N1445" t="s">
        <v>276</v>
      </c>
      <c r="P1445" t="s">
        <v>260</v>
      </c>
      <c r="Q1445" t="s">
        <v>260</v>
      </c>
      <c r="R1445" t="s">
        <v>261</v>
      </c>
      <c r="S1445" t="s">
        <v>21</v>
      </c>
      <c r="T1445">
        <v>100</v>
      </c>
      <c r="W1445" t="s">
        <v>262</v>
      </c>
      <c r="X1445">
        <v>-37.008299999999998</v>
      </c>
      <c r="Y1445">
        <v>174.87049999999999</v>
      </c>
    </row>
    <row r="1446" spans="1:25" x14ac:dyDescent="0.3">
      <c r="A1446" t="s">
        <v>21</v>
      </c>
      <c r="B1446" t="s">
        <v>4208</v>
      </c>
      <c r="C1446" t="s">
        <v>270</v>
      </c>
      <c r="D1446" t="s">
        <v>4209</v>
      </c>
      <c r="E1446">
        <v>1900</v>
      </c>
      <c r="F1446">
        <v>898135</v>
      </c>
      <c r="M1446" t="s">
        <v>297</v>
      </c>
      <c r="N1446" t="s">
        <v>276</v>
      </c>
      <c r="P1446" t="s">
        <v>260</v>
      </c>
      <c r="Q1446" t="s">
        <v>260</v>
      </c>
      <c r="R1446" t="s">
        <v>261</v>
      </c>
      <c r="S1446" t="s">
        <v>21</v>
      </c>
      <c r="T1446">
        <v>100</v>
      </c>
      <c r="W1446" t="s">
        <v>262</v>
      </c>
    </row>
    <row r="1447" spans="1:25" x14ac:dyDescent="0.3">
      <c r="A1447" t="s">
        <v>21</v>
      </c>
      <c r="B1447" t="s">
        <v>4210</v>
      </c>
      <c r="C1447" t="s">
        <v>270</v>
      </c>
      <c r="D1447" t="s">
        <v>4211</v>
      </c>
      <c r="E1447">
        <v>8808</v>
      </c>
      <c r="H1447" t="s">
        <v>2433</v>
      </c>
      <c r="I1447" t="s">
        <v>1343</v>
      </c>
      <c r="J1447" t="s">
        <v>297</v>
      </c>
      <c r="K1447">
        <v>2104</v>
      </c>
      <c r="L1447" t="s">
        <v>276</v>
      </c>
      <c r="M1447" t="s">
        <v>631</v>
      </c>
      <c r="N1447" t="s">
        <v>276</v>
      </c>
      <c r="P1447" t="s">
        <v>260</v>
      </c>
      <c r="Q1447" t="s">
        <v>260</v>
      </c>
      <c r="R1447" t="s">
        <v>261</v>
      </c>
      <c r="S1447" t="s">
        <v>21</v>
      </c>
      <c r="T1447">
        <v>100</v>
      </c>
      <c r="W1447" t="s">
        <v>262</v>
      </c>
      <c r="X1447">
        <v>-37.008299999999998</v>
      </c>
      <c r="Y1447">
        <v>174.87049999999999</v>
      </c>
    </row>
    <row r="1448" spans="1:25" x14ac:dyDescent="0.3">
      <c r="A1448" t="s">
        <v>21</v>
      </c>
      <c r="B1448" t="s">
        <v>4212</v>
      </c>
      <c r="C1448" t="s">
        <v>270</v>
      </c>
      <c r="D1448" t="s">
        <v>4213</v>
      </c>
      <c r="E1448" t="s">
        <v>4213</v>
      </c>
      <c r="M1448" t="s">
        <v>411</v>
      </c>
      <c r="N1448" t="s">
        <v>259</v>
      </c>
      <c r="P1448" t="s">
        <v>260</v>
      </c>
      <c r="Q1448" t="s">
        <v>260</v>
      </c>
      <c r="R1448" t="s">
        <v>283</v>
      </c>
      <c r="S1448" t="s">
        <v>21</v>
      </c>
      <c r="T1448">
        <v>100</v>
      </c>
      <c r="W1448" t="s">
        <v>262</v>
      </c>
    </row>
    <row r="1449" spans="1:25" x14ac:dyDescent="0.3">
      <c r="A1449" t="s">
        <v>21</v>
      </c>
      <c r="B1449" t="s">
        <v>4214</v>
      </c>
      <c r="C1449" t="s">
        <v>270</v>
      </c>
      <c r="D1449" t="s">
        <v>4215</v>
      </c>
      <c r="E1449">
        <v>55916</v>
      </c>
      <c r="H1449" t="s">
        <v>2433</v>
      </c>
      <c r="I1449" t="s">
        <v>1343</v>
      </c>
      <c r="J1449" t="s">
        <v>297</v>
      </c>
      <c r="K1449">
        <v>2104</v>
      </c>
      <c r="L1449" t="s">
        <v>276</v>
      </c>
      <c r="M1449" t="s">
        <v>631</v>
      </c>
      <c r="N1449" t="s">
        <v>276</v>
      </c>
      <c r="P1449" t="s">
        <v>260</v>
      </c>
      <c r="Q1449" t="s">
        <v>260</v>
      </c>
      <c r="R1449" t="s">
        <v>261</v>
      </c>
      <c r="S1449" t="s">
        <v>21</v>
      </c>
      <c r="T1449">
        <v>100</v>
      </c>
      <c r="W1449" t="s">
        <v>262</v>
      </c>
      <c r="X1449">
        <v>-37.008299999999998</v>
      </c>
      <c r="Y1449">
        <v>174.87049999999999</v>
      </c>
    </row>
    <row r="1450" spans="1:25" x14ac:dyDescent="0.3">
      <c r="A1450" t="s">
        <v>21</v>
      </c>
      <c r="B1450" t="s">
        <v>4216</v>
      </c>
      <c r="C1450" t="s">
        <v>270</v>
      </c>
      <c r="D1450" t="s">
        <v>4217</v>
      </c>
      <c r="E1450">
        <v>55973</v>
      </c>
      <c r="M1450" t="s">
        <v>297</v>
      </c>
      <c r="N1450" t="s">
        <v>276</v>
      </c>
      <c r="P1450" t="s">
        <v>260</v>
      </c>
      <c r="Q1450" t="s">
        <v>260</v>
      </c>
      <c r="R1450" t="s">
        <v>261</v>
      </c>
      <c r="S1450" t="s">
        <v>21</v>
      </c>
      <c r="T1450">
        <v>100</v>
      </c>
      <c r="W1450" t="s">
        <v>262</v>
      </c>
    </row>
    <row r="1451" spans="1:25" x14ac:dyDescent="0.3">
      <c r="A1451" t="s">
        <v>21</v>
      </c>
      <c r="B1451" t="s">
        <v>4218</v>
      </c>
      <c r="C1451" t="s">
        <v>270</v>
      </c>
      <c r="D1451" t="s">
        <v>4219</v>
      </c>
      <c r="E1451">
        <v>55972</v>
      </c>
      <c r="M1451" t="s">
        <v>631</v>
      </c>
      <c r="N1451" t="s">
        <v>276</v>
      </c>
      <c r="P1451" t="s">
        <v>260</v>
      </c>
      <c r="Q1451" t="s">
        <v>260</v>
      </c>
      <c r="R1451" t="s">
        <v>261</v>
      </c>
      <c r="S1451" t="s">
        <v>21</v>
      </c>
      <c r="T1451">
        <v>100</v>
      </c>
      <c r="W1451" t="s">
        <v>262</v>
      </c>
    </row>
    <row r="1452" spans="1:25" x14ac:dyDescent="0.3">
      <c r="A1452" t="s">
        <v>21</v>
      </c>
      <c r="B1452" t="s">
        <v>4220</v>
      </c>
      <c r="C1452" t="s">
        <v>270</v>
      </c>
      <c r="D1452" t="s">
        <v>4221</v>
      </c>
      <c r="E1452">
        <v>10.199999999999999</v>
      </c>
      <c r="M1452" t="s">
        <v>631</v>
      </c>
      <c r="N1452" t="s">
        <v>276</v>
      </c>
      <c r="P1452" t="s">
        <v>260</v>
      </c>
      <c r="Q1452" t="s">
        <v>260</v>
      </c>
      <c r="R1452" t="s">
        <v>283</v>
      </c>
      <c r="S1452" t="s">
        <v>21</v>
      </c>
      <c r="T1452">
        <v>100</v>
      </c>
      <c r="W1452" t="s">
        <v>262</v>
      </c>
    </row>
    <row r="1453" spans="1:25" x14ac:dyDescent="0.3">
      <c r="A1453" t="s">
        <v>21</v>
      </c>
      <c r="B1453" t="s">
        <v>4222</v>
      </c>
      <c r="C1453" t="s">
        <v>270</v>
      </c>
      <c r="D1453" t="s">
        <v>4223</v>
      </c>
      <c r="E1453">
        <v>10091</v>
      </c>
      <c r="M1453" t="s">
        <v>631</v>
      </c>
      <c r="N1453" t="s">
        <v>276</v>
      </c>
      <c r="P1453" t="s">
        <v>260</v>
      </c>
      <c r="Q1453" t="s">
        <v>260</v>
      </c>
      <c r="R1453" t="s">
        <v>283</v>
      </c>
      <c r="S1453" t="s">
        <v>21</v>
      </c>
      <c r="T1453">
        <v>100</v>
      </c>
      <c r="W1453" t="s">
        <v>262</v>
      </c>
    </row>
    <row r="1454" spans="1:25" x14ac:dyDescent="0.3">
      <c r="A1454" t="s">
        <v>21</v>
      </c>
      <c r="B1454" t="s">
        <v>4224</v>
      </c>
      <c r="C1454" t="s">
        <v>270</v>
      </c>
      <c r="D1454" t="s">
        <v>4225</v>
      </c>
      <c r="E1454" t="s">
        <v>4225</v>
      </c>
      <c r="F1454" t="s">
        <v>4225</v>
      </c>
      <c r="M1454" t="s">
        <v>411</v>
      </c>
      <c r="N1454" t="s">
        <v>259</v>
      </c>
      <c r="P1454" t="s">
        <v>260</v>
      </c>
      <c r="Q1454" t="s">
        <v>260</v>
      </c>
      <c r="R1454" t="s">
        <v>283</v>
      </c>
      <c r="S1454" t="s">
        <v>21</v>
      </c>
      <c r="T1454">
        <v>100</v>
      </c>
      <c r="W1454" t="s">
        <v>262</v>
      </c>
    </row>
    <row r="1455" spans="1:25" x14ac:dyDescent="0.3">
      <c r="A1455" t="s">
        <v>21</v>
      </c>
      <c r="B1455" t="s">
        <v>4226</v>
      </c>
      <c r="C1455" t="s">
        <v>270</v>
      </c>
      <c r="D1455" t="s">
        <v>4227</v>
      </c>
      <c r="E1455" t="s">
        <v>4227</v>
      </c>
      <c r="M1455" t="s">
        <v>411</v>
      </c>
      <c r="N1455" t="s">
        <v>259</v>
      </c>
      <c r="P1455" t="s">
        <v>260</v>
      </c>
      <c r="Q1455" t="s">
        <v>260</v>
      </c>
      <c r="R1455" t="s">
        <v>283</v>
      </c>
      <c r="S1455" t="s">
        <v>21</v>
      </c>
      <c r="T1455">
        <v>100</v>
      </c>
      <c r="W1455" t="s">
        <v>262</v>
      </c>
    </row>
    <row r="1456" spans="1:25" x14ac:dyDescent="0.3">
      <c r="A1456" t="s">
        <v>21</v>
      </c>
      <c r="B1456" t="s">
        <v>4228</v>
      </c>
      <c r="C1456" t="s">
        <v>270</v>
      </c>
      <c r="D1456" t="s">
        <v>4229</v>
      </c>
      <c r="E1456">
        <v>55195</v>
      </c>
      <c r="H1456" t="s">
        <v>2433</v>
      </c>
      <c r="I1456" t="s">
        <v>1343</v>
      </c>
      <c r="J1456" t="s">
        <v>297</v>
      </c>
      <c r="K1456">
        <v>2104</v>
      </c>
      <c r="L1456" t="s">
        <v>276</v>
      </c>
      <c r="M1456" t="s">
        <v>631</v>
      </c>
      <c r="N1456" t="s">
        <v>276</v>
      </c>
      <c r="P1456" t="s">
        <v>260</v>
      </c>
      <c r="Q1456" t="s">
        <v>260</v>
      </c>
      <c r="R1456" t="s">
        <v>261</v>
      </c>
      <c r="S1456" t="s">
        <v>21</v>
      </c>
      <c r="T1456">
        <v>100</v>
      </c>
      <c r="W1456" t="s">
        <v>262</v>
      </c>
      <c r="X1456">
        <v>-37.008299999999998</v>
      </c>
      <c r="Y1456">
        <v>174.87049999999999</v>
      </c>
    </row>
    <row r="1457" spans="1:28" x14ac:dyDescent="0.3">
      <c r="A1457" t="s">
        <v>21</v>
      </c>
      <c r="B1457" t="s">
        <v>4230</v>
      </c>
      <c r="C1457" t="s">
        <v>2464</v>
      </c>
      <c r="D1457" t="s">
        <v>4231</v>
      </c>
      <c r="E1457">
        <v>555313</v>
      </c>
      <c r="G1457" t="s">
        <v>4232</v>
      </c>
      <c r="M1457" t="s">
        <v>425</v>
      </c>
      <c r="N1457" t="s">
        <v>276</v>
      </c>
      <c r="P1457" t="s">
        <v>260</v>
      </c>
      <c r="Q1457" t="s">
        <v>260</v>
      </c>
      <c r="R1457" t="s">
        <v>261</v>
      </c>
      <c r="S1457" t="s">
        <v>21</v>
      </c>
      <c r="T1457">
        <v>100</v>
      </c>
      <c r="W1457" t="s">
        <v>262</v>
      </c>
    </row>
    <row r="1458" spans="1:28" x14ac:dyDescent="0.3">
      <c r="A1458" t="s">
        <v>21</v>
      </c>
      <c r="B1458" t="s">
        <v>4233</v>
      </c>
      <c r="C1458" t="s">
        <v>2464</v>
      </c>
      <c r="D1458" t="s">
        <v>4234</v>
      </c>
      <c r="E1458">
        <v>555311</v>
      </c>
      <c r="G1458" t="s">
        <v>4235</v>
      </c>
      <c r="M1458" t="s">
        <v>425</v>
      </c>
      <c r="N1458" t="s">
        <v>276</v>
      </c>
      <c r="P1458" t="s">
        <v>260</v>
      </c>
      <c r="Q1458" t="s">
        <v>260</v>
      </c>
      <c r="R1458" t="s">
        <v>261</v>
      </c>
      <c r="S1458" t="s">
        <v>21</v>
      </c>
      <c r="T1458">
        <v>100</v>
      </c>
      <c r="W1458" t="s">
        <v>262</v>
      </c>
    </row>
    <row r="1459" spans="1:28" x14ac:dyDescent="0.3">
      <c r="A1459" t="s">
        <v>21</v>
      </c>
      <c r="B1459" t="s">
        <v>4236</v>
      </c>
      <c r="C1459" t="s">
        <v>2464</v>
      </c>
      <c r="D1459" t="s">
        <v>4237</v>
      </c>
      <c r="E1459">
        <v>555316</v>
      </c>
      <c r="G1459" t="s">
        <v>4238</v>
      </c>
      <c r="M1459" t="s">
        <v>425</v>
      </c>
      <c r="N1459" t="s">
        <v>276</v>
      </c>
      <c r="P1459" t="s">
        <v>260</v>
      </c>
      <c r="Q1459" t="s">
        <v>260</v>
      </c>
      <c r="R1459" t="s">
        <v>261</v>
      </c>
      <c r="S1459" t="s">
        <v>21</v>
      </c>
      <c r="T1459">
        <v>100</v>
      </c>
      <c r="W1459" t="s">
        <v>262</v>
      </c>
    </row>
    <row r="1460" spans="1:28" x14ac:dyDescent="0.3">
      <c r="A1460" t="s">
        <v>21</v>
      </c>
      <c r="B1460" t="s">
        <v>4239</v>
      </c>
      <c r="C1460" t="s">
        <v>2464</v>
      </c>
      <c r="D1460" t="s">
        <v>4240</v>
      </c>
      <c r="E1460">
        <v>555315</v>
      </c>
      <c r="G1460" t="s">
        <v>4241</v>
      </c>
      <c r="M1460" t="s">
        <v>425</v>
      </c>
      <c r="N1460" t="s">
        <v>276</v>
      </c>
      <c r="P1460" t="s">
        <v>260</v>
      </c>
      <c r="Q1460" t="s">
        <v>260</v>
      </c>
      <c r="R1460" t="s">
        <v>261</v>
      </c>
      <c r="S1460" t="s">
        <v>21</v>
      </c>
      <c r="T1460">
        <v>100</v>
      </c>
      <c r="W1460" t="s">
        <v>262</v>
      </c>
    </row>
    <row r="1461" spans="1:28" x14ac:dyDescent="0.3">
      <c r="A1461" t="s">
        <v>21</v>
      </c>
      <c r="B1461" t="s">
        <v>4242</v>
      </c>
      <c r="C1461" t="s">
        <v>2464</v>
      </c>
      <c r="D1461" t="s">
        <v>4243</v>
      </c>
      <c r="E1461">
        <v>555314</v>
      </c>
      <c r="G1461" t="s">
        <v>4244</v>
      </c>
      <c r="M1461" t="s">
        <v>425</v>
      </c>
      <c r="N1461" t="s">
        <v>276</v>
      </c>
      <c r="P1461" t="s">
        <v>260</v>
      </c>
      <c r="Q1461" t="s">
        <v>260</v>
      </c>
      <c r="R1461" t="s">
        <v>261</v>
      </c>
      <c r="S1461" t="s">
        <v>21</v>
      </c>
      <c r="T1461">
        <v>100</v>
      </c>
      <c r="W1461" t="s">
        <v>262</v>
      </c>
    </row>
    <row r="1462" spans="1:28" x14ac:dyDescent="0.3">
      <c r="A1462" t="s">
        <v>21</v>
      </c>
      <c r="B1462" t="s">
        <v>4245</v>
      </c>
      <c r="C1462" t="s">
        <v>2464</v>
      </c>
      <c r="D1462" t="s">
        <v>4246</v>
      </c>
      <c r="E1462">
        <v>555310</v>
      </c>
      <c r="G1462" t="s">
        <v>4247</v>
      </c>
      <c r="M1462" t="s">
        <v>425</v>
      </c>
      <c r="N1462" t="s">
        <v>276</v>
      </c>
      <c r="P1462" t="s">
        <v>260</v>
      </c>
      <c r="Q1462" t="s">
        <v>260</v>
      </c>
      <c r="R1462" t="s">
        <v>261</v>
      </c>
      <c r="S1462" t="s">
        <v>21</v>
      </c>
      <c r="T1462">
        <v>100</v>
      </c>
      <c r="W1462" t="s">
        <v>262</v>
      </c>
    </row>
    <row r="1463" spans="1:28" x14ac:dyDescent="0.3">
      <c r="A1463" t="s">
        <v>21</v>
      </c>
      <c r="B1463" t="s">
        <v>4248</v>
      </c>
      <c r="C1463" t="s">
        <v>1111</v>
      </c>
      <c r="D1463" t="s">
        <v>4249</v>
      </c>
      <c r="E1463">
        <v>555271</v>
      </c>
      <c r="G1463" t="s">
        <v>4250</v>
      </c>
      <c r="M1463" t="s">
        <v>425</v>
      </c>
      <c r="N1463" t="s">
        <v>276</v>
      </c>
      <c r="P1463" t="s">
        <v>260</v>
      </c>
      <c r="Q1463" t="s">
        <v>260</v>
      </c>
      <c r="R1463" t="s">
        <v>261</v>
      </c>
      <c r="S1463" t="s">
        <v>21</v>
      </c>
      <c r="T1463">
        <v>100</v>
      </c>
      <c r="W1463" t="s">
        <v>262</v>
      </c>
    </row>
    <row r="1464" spans="1:28" x14ac:dyDescent="0.3">
      <c r="A1464" t="s">
        <v>21</v>
      </c>
      <c r="B1464" t="s">
        <v>4251</v>
      </c>
      <c r="C1464" t="s">
        <v>270</v>
      </c>
      <c r="D1464" t="s">
        <v>4252</v>
      </c>
      <c r="E1464">
        <v>555080</v>
      </c>
      <c r="H1464" t="s">
        <v>2433</v>
      </c>
      <c r="I1464" t="s">
        <v>1343</v>
      </c>
      <c r="J1464" t="s">
        <v>297</v>
      </c>
      <c r="K1464">
        <v>2104</v>
      </c>
      <c r="L1464" t="s">
        <v>276</v>
      </c>
      <c r="M1464" t="s">
        <v>631</v>
      </c>
      <c r="N1464" t="s">
        <v>276</v>
      </c>
      <c r="P1464" t="s">
        <v>260</v>
      </c>
      <c r="Q1464" t="s">
        <v>260</v>
      </c>
      <c r="R1464" t="s">
        <v>261</v>
      </c>
      <c r="S1464" t="s">
        <v>21</v>
      </c>
      <c r="T1464">
        <v>100</v>
      </c>
      <c r="W1464" t="s">
        <v>262</v>
      </c>
      <c r="X1464">
        <v>-37.008299999999998</v>
      </c>
      <c r="Y1464">
        <v>174.87049999999999</v>
      </c>
    </row>
    <row r="1465" spans="1:28" x14ac:dyDescent="0.3">
      <c r="A1465" t="s">
        <v>21</v>
      </c>
      <c r="B1465" t="s">
        <v>4253</v>
      </c>
      <c r="C1465" t="s">
        <v>270</v>
      </c>
      <c r="D1465" t="s">
        <v>4254</v>
      </c>
      <c r="E1465">
        <v>91380</v>
      </c>
      <c r="M1465" t="s">
        <v>631</v>
      </c>
      <c r="N1465" t="s">
        <v>276</v>
      </c>
      <c r="P1465" t="s">
        <v>260</v>
      </c>
      <c r="Q1465" t="s">
        <v>260</v>
      </c>
      <c r="R1465" t="s">
        <v>293</v>
      </c>
      <c r="S1465" t="s">
        <v>21</v>
      </c>
      <c r="T1465">
        <v>100</v>
      </c>
      <c r="W1465" t="s">
        <v>262</v>
      </c>
      <c r="AB1465" s="9">
        <v>45473</v>
      </c>
    </row>
    <row r="1466" spans="1:28" x14ac:dyDescent="0.3">
      <c r="A1466" t="s">
        <v>21</v>
      </c>
      <c r="B1466" t="s">
        <v>4255</v>
      </c>
      <c r="C1466" t="s">
        <v>270</v>
      </c>
      <c r="D1466" t="s">
        <v>4256</v>
      </c>
      <c r="E1466">
        <v>91308</v>
      </c>
      <c r="H1466" t="s">
        <v>4257</v>
      </c>
      <c r="I1466" t="s">
        <v>4258</v>
      </c>
      <c r="J1466" t="s">
        <v>717</v>
      </c>
      <c r="K1466">
        <v>7011</v>
      </c>
      <c r="L1466" t="s">
        <v>276</v>
      </c>
      <c r="M1466" t="s">
        <v>717</v>
      </c>
      <c r="N1466" t="s">
        <v>276</v>
      </c>
      <c r="P1466" t="s">
        <v>260</v>
      </c>
      <c r="Q1466" t="s">
        <v>260</v>
      </c>
      <c r="R1466" t="s">
        <v>293</v>
      </c>
      <c r="S1466" t="s">
        <v>21</v>
      </c>
      <c r="T1466">
        <v>100</v>
      </c>
      <c r="W1466" t="s">
        <v>262</v>
      </c>
      <c r="X1466">
        <v>-41.314700000000002</v>
      </c>
      <c r="Y1466">
        <v>173.2149</v>
      </c>
      <c r="AB1466" s="9">
        <v>45473</v>
      </c>
    </row>
    <row r="1467" spans="1:28" x14ac:dyDescent="0.3">
      <c r="A1467" t="s">
        <v>21</v>
      </c>
      <c r="B1467" t="s">
        <v>4259</v>
      </c>
      <c r="C1467" t="s">
        <v>270</v>
      </c>
      <c r="D1467" t="s">
        <v>4260</v>
      </c>
      <c r="E1467">
        <v>55304</v>
      </c>
      <c r="H1467" t="s">
        <v>2433</v>
      </c>
      <c r="I1467" t="s">
        <v>1343</v>
      </c>
      <c r="J1467" t="s">
        <v>297</v>
      </c>
      <c r="K1467">
        <v>2104</v>
      </c>
      <c r="L1467" t="s">
        <v>276</v>
      </c>
      <c r="M1467" t="s">
        <v>631</v>
      </c>
      <c r="N1467" t="s">
        <v>276</v>
      </c>
      <c r="P1467" t="s">
        <v>260</v>
      </c>
      <c r="Q1467" t="s">
        <v>260</v>
      </c>
      <c r="R1467" t="s">
        <v>261</v>
      </c>
      <c r="S1467" t="s">
        <v>21</v>
      </c>
      <c r="T1467">
        <v>100</v>
      </c>
      <c r="W1467" t="s">
        <v>262</v>
      </c>
      <c r="X1467">
        <v>-37.008299999999998</v>
      </c>
      <c r="Y1467">
        <v>174.87049999999999</v>
      </c>
    </row>
    <row r="1468" spans="1:28" x14ac:dyDescent="0.3">
      <c r="A1468" t="s">
        <v>21</v>
      </c>
      <c r="B1468" t="s">
        <v>4261</v>
      </c>
      <c r="C1468" t="s">
        <v>270</v>
      </c>
      <c r="D1468" t="s">
        <v>714</v>
      </c>
      <c r="E1468">
        <v>55610</v>
      </c>
      <c r="H1468" t="s">
        <v>4262</v>
      </c>
      <c r="I1468" t="s">
        <v>716</v>
      </c>
      <c r="J1468" t="s">
        <v>716</v>
      </c>
      <c r="K1468">
        <v>7081</v>
      </c>
      <c r="L1468" t="s">
        <v>276</v>
      </c>
      <c r="M1468" t="s">
        <v>718</v>
      </c>
      <c r="N1468" t="s">
        <v>276</v>
      </c>
      <c r="P1468" t="s">
        <v>260</v>
      </c>
      <c r="Q1468" t="s">
        <v>260</v>
      </c>
      <c r="R1468" t="s">
        <v>261</v>
      </c>
      <c r="S1468" t="s">
        <v>21</v>
      </c>
      <c r="T1468">
        <v>100</v>
      </c>
      <c r="W1468" t="s">
        <v>262</v>
      </c>
      <c r="X1468">
        <v>-41.308199999999999</v>
      </c>
      <c r="Y1468">
        <v>173.15209999999999</v>
      </c>
    </row>
    <row r="1469" spans="1:28" x14ac:dyDescent="0.3">
      <c r="A1469" t="s">
        <v>21</v>
      </c>
      <c r="B1469" t="s">
        <v>4263</v>
      </c>
      <c r="C1469" t="s">
        <v>270</v>
      </c>
      <c r="D1469" t="s">
        <v>4264</v>
      </c>
      <c r="E1469">
        <v>10179</v>
      </c>
      <c r="G1469">
        <v>10.179</v>
      </c>
      <c r="H1469" t="s">
        <v>2433</v>
      </c>
      <c r="I1469" t="s">
        <v>1343</v>
      </c>
      <c r="J1469" t="s">
        <v>297</v>
      </c>
      <c r="K1469">
        <v>2104</v>
      </c>
      <c r="L1469" t="s">
        <v>276</v>
      </c>
      <c r="M1469" t="s">
        <v>631</v>
      </c>
      <c r="N1469" t="s">
        <v>276</v>
      </c>
      <c r="P1469" t="s">
        <v>260</v>
      </c>
      <c r="Q1469" t="s">
        <v>260</v>
      </c>
      <c r="R1469" t="s">
        <v>283</v>
      </c>
      <c r="S1469" t="s">
        <v>21</v>
      </c>
      <c r="T1469">
        <v>100</v>
      </c>
      <c r="W1469" t="s">
        <v>262</v>
      </c>
      <c r="X1469">
        <v>-37.008299999999998</v>
      </c>
      <c r="Y1469">
        <v>174.87049999999999</v>
      </c>
    </row>
    <row r="1470" spans="1:28" x14ac:dyDescent="0.3">
      <c r="A1470" t="s">
        <v>21</v>
      </c>
      <c r="B1470" t="s">
        <v>4265</v>
      </c>
      <c r="C1470" t="s">
        <v>270</v>
      </c>
      <c r="D1470" t="s">
        <v>4266</v>
      </c>
      <c r="E1470" t="s">
        <v>4266</v>
      </c>
      <c r="F1470" t="s">
        <v>4266</v>
      </c>
      <c r="M1470" t="s">
        <v>411</v>
      </c>
      <c r="N1470" t="s">
        <v>259</v>
      </c>
      <c r="P1470" t="s">
        <v>260</v>
      </c>
      <c r="Q1470" t="s">
        <v>260</v>
      </c>
      <c r="R1470" t="s">
        <v>283</v>
      </c>
      <c r="S1470" t="s">
        <v>21</v>
      </c>
      <c r="T1470">
        <v>100</v>
      </c>
      <c r="W1470" t="s">
        <v>262</v>
      </c>
    </row>
    <row r="1471" spans="1:28" x14ac:dyDescent="0.3">
      <c r="A1471" t="s">
        <v>21</v>
      </c>
      <c r="B1471" t="s">
        <v>4267</v>
      </c>
      <c r="C1471" t="s">
        <v>270</v>
      </c>
      <c r="D1471" t="s">
        <v>4268</v>
      </c>
      <c r="E1471">
        <v>10170</v>
      </c>
      <c r="G1471">
        <v>10.17</v>
      </c>
      <c r="H1471" t="s">
        <v>2433</v>
      </c>
      <c r="I1471" t="s">
        <v>1343</v>
      </c>
      <c r="J1471" t="s">
        <v>297</v>
      </c>
      <c r="K1471">
        <v>2104</v>
      </c>
      <c r="L1471" t="s">
        <v>276</v>
      </c>
      <c r="M1471" t="s">
        <v>631</v>
      </c>
      <c r="N1471" t="s">
        <v>276</v>
      </c>
      <c r="P1471" t="s">
        <v>260</v>
      </c>
      <c r="Q1471" t="s">
        <v>260</v>
      </c>
      <c r="R1471" t="s">
        <v>283</v>
      </c>
      <c r="S1471" t="s">
        <v>21</v>
      </c>
      <c r="T1471">
        <v>100</v>
      </c>
      <c r="W1471" t="s">
        <v>262</v>
      </c>
      <c r="X1471">
        <v>-37.008299999999998</v>
      </c>
      <c r="Y1471">
        <v>174.87049999999999</v>
      </c>
    </row>
    <row r="1472" spans="1:28" x14ac:dyDescent="0.3">
      <c r="A1472" t="s">
        <v>21</v>
      </c>
      <c r="B1472" t="s">
        <v>4269</v>
      </c>
      <c r="C1472" t="s">
        <v>270</v>
      </c>
      <c r="D1472" t="s">
        <v>4270</v>
      </c>
      <c r="E1472" t="s">
        <v>4270</v>
      </c>
      <c r="F1472" t="s">
        <v>4270</v>
      </c>
      <c r="M1472" t="s">
        <v>297</v>
      </c>
      <c r="N1472" t="s">
        <v>276</v>
      </c>
      <c r="P1472" t="s">
        <v>260</v>
      </c>
      <c r="Q1472" t="s">
        <v>260</v>
      </c>
      <c r="R1472" t="s">
        <v>283</v>
      </c>
      <c r="S1472" t="s">
        <v>21</v>
      </c>
      <c r="T1472">
        <v>100</v>
      </c>
      <c r="W1472" t="s">
        <v>262</v>
      </c>
    </row>
    <row r="1473" spans="1:25" x14ac:dyDescent="0.3">
      <c r="A1473" t="s">
        <v>21</v>
      </c>
      <c r="B1473" t="s">
        <v>4271</v>
      </c>
      <c r="C1473" t="s">
        <v>270</v>
      </c>
      <c r="D1473" t="s">
        <v>4272</v>
      </c>
      <c r="E1473">
        <v>10081</v>
      </c>
      <c r="M1473" t="s">
        <v>631</v>
      </c>
      <c r="N1473" t="s">
        <v>276</v>
      </c>
      <c r="P1473" t="s">
        <v>260</v>
      </c>
      <c r="Q1473" t="s">
        <v>260</v>
      </c>
      <c r="R1473" t="s">
        <v>283</v>
      </c>
      <c r="S1473" t="s">
        <v>21</v>
      </c>
      <c r="T1473">
        <v>100</v>
      </c>
      <c r="W1473" t="s">
        <v>262</v>
      </c>
    </row>
    <row r="1474" spans="1:25" x14ac:dyDescent="0.3">
      <c r="A1474" t="s">
        <v>21</v>
      </c>
      <c r="B1474" t="s">
        <v>4273</v>
      </c>
      <c r="C1474" t="s">
        <v>270</v>
      </c>
      <c r="D1474" t="s">
        <v>4274</v>
      </c>
      <c r="E1474" t="s">
        <v>4274</v>
      </c>
      <c r="F1474" t="s">
        <v>4274</v>
      </c>
      <c r="M1474" t="s">
        <v>411</v>
      </c>
      <c r="N1474" t="s">
        <v>259</v>
      </c>
      <c r="P1474" t="s">
        <v>260</v>
      </c>
      <c r="Q1474" t="s">
        <v>260</v>
      </c>
      <c r="R1474" t="s">
        <v>283</v>
      </c>
      <c r="S1474" t="s">
        <v>21</v>
      </c>
      <c r="T1474">
        <v>100</v>
      </c>
      <c r="W1474" t="s">
        <v>262</v>
      </c>
    </row>
    <row r="1475" spans="1:25" x14ac:dyDescent="0.3">
      <c r="A1475" t="s">
        <v>21</v>
      </c>
      <c r="B1475" t="s">
        <v>4275</v>
      </c>
      <c r="C1475" t="s">
        <v>270</v>
      </c>
      <c r="D1475" t="s">
        <v>4276</v>
      </c>
      <c r="E1475" t="s">
        <v>4276</v>
      </c>
      <c r="M1475" t="s">
        <v>411</v>
      </c>
      <c r="N1475" t="s">
        <v>259</v>
      </c>
      <c r="P1475" t="s">
        <v>260</v>
      </c>
      <c r="Q1475" t="s">
        <v>260</v>
      </c>
      <c r="R1475" t="s">
        <v>283</v>
      </c>
      <c r="S1475" t="s">
        <v>21</v>
      </c>
      <c r="T1475">
        <v>100</v>
      </c>
      <c r="W1475" t="s">
        <v>262</v>
      </c>
    </row>
    <row r="1476" spans="1:25" x14ac:dyDescent="0.3">
      <c r="A1476" t="s">
        <v>21</v>
      </c>
      <c r="B1476" t="s">
        <v>4277</v>
      </c>
      <c r="C1476" t="s">
        <v>270</v>
      </c>
      <c r="D1476" t="s">
        <v>4278</v>
      </c>
      <c r="E1476" t="s">
        <v>4278</v>
      </c>
      <c r="M1476" t="s">
        <v>411</v>
      </c>
      <c r="N1476" t="s">
        <v>259</v>
      </c>
      <c r="P1476" t="s">
        <v>260</v>
      </c>
      <c r="Q1476" t="s">
        <v>260</v>
      </c>
      <c r="R1476" t="s">
        <v>283</v>
      </c>
      <c r="S1476" t="s">
        <v>21</v>
      </c>
      <c r="T1476">
        <v>100</v>
      </c>
      <c r="W1476" t="s">
        <v>262</v>
      </c>
    </row>
    <row r="1477" spans="1:25" x14ac:dyDescent="0.3">
      <c r="A1477" t="s">
        <v>21</v>
      </c>
      <c r="B1477" t="s">
        <v>4279</v>
      </c>
      <c r="C1477" t="s">
        <v>270</v>
      </c>
      <c r="D1477" t="s">
        <v>4280</v>
      </c>
      <c r="E1477" t="s">
        <v>4280</v>
      </c>
      <c r="M1477" t="s">
        <v>411</v>
      </c>
      <c r="N1477" t="s">
        <v>259</v>
      </c>
      <c r="P1477" t="s">
        <v>260</v>
      </c>
      <c r="Q1477" t="s">
        <v>260</v>
      </c>
      <c r="R1477" t="s">
        <v>283</v>
      </c>
      <c r="S1477" t="s">
        <v>21</v>
      </c>
      <c r="T1477">
        <v>100</v>
      </c>
      <c r="W1477" t="s">
        <v>262</v>
      </c>
    </row>
    <row r="1478" spans="1:25" x14ac:dyDescent="0.3">
      <c r="A1478" t="s">
        <v>21</v>
      </c>
      <c r="B1478" t="s">
        <v>4281</v>
      </c>
      <c r="C1478" t="s">
        <v>270</v>
      </c>
      <c r="D1478" t="s">
        <v>4282</v>
      </c>
      <c r="E1478" t="s">
        <v>4282</v>
      </c>
      <c r="F1478" t="s">
        <v>4282</v>
      </c>
      <c r="M1478" t="s">
        <v>411</v>
      </c>
      <c r="N1478" t="s">
        <v>259</v>
      </c>
      <c r="P1478" t="s">
        <v>260</v>
      </c>
      <c r="Q1478" t="s">
        <v>260</v>
      </c>
      <c r="R1478" t="s">
        <v>283</v>
      </c>
      <c r="S1478" t="s">
        <v>21</v>
      </c>
      <c r="T1478">
        <v>100</v>
      </c>
      <c r="W1478" t="s">
        <v>262</v>
      </c>
    </row>
    <row r="1479" spans="1:25" x14ac:dyDescent="0.3">
      <c r="A1479" t="s">
        <v>21</v>
      </c>
      <c r="B1479" t="s">
        <v>4283</v>
      </c>
      <c r="C1479" t="s">
        <v>270</v>
      </c>
      <c r="D1479" t="s">
        <v>4284</v>
      </c>
      <c r="E1479" t="s">
        <v>4284</v>
      </c>
      <c r="M1479" t="s">
        <v>411</v>
      </c>
      <c r="N1479" t="s">
        <v>259</v>
      </c>
      <c r="P1479" t="s">
        <v>260</v>
      </c>
      <c r="Q1479" t="s">
        <v>260</v>
      </c>
      <c r="R1479" t="s">
        <v>283</v>
      </c>
      <c r="S1479" t="s">
        <v>21</v>
      </c>
      <c r="T1479">
        <v>100</v>
      </c>
      <c r="W1479" t="s">
        <v>262</v>
      </c>
    </row>
    <row r="1480" spans="1:25" x14ac:dyDescent="0.3">
      <c r="A1480" t="s">
        <v>21</v>
      </c>
      <c r="B1480" t="s">
        <v>4285</v>
      </c>
      <c r="C1480" t="s">
        <v>270</v>
      </c>
      <c r="D1480" t="s">
        <v>4286</v>
      </c>
      <c r="E1480">
        <v>91241</v>
      </c>
      <c r="H1480" t="s">
        <v>4287</v>
      </c>
      <c r="I1480" t="s">
        <v>4288</v>
      </c>
      <c r="J1480" t="s">
        <v>398</v>
      </c>
      <c r="K1480">
        <v>4312</v>
      </c>
      <c r="L1480" t="s">
        <v>276</v>
      </c>
      <c r="M1480" t="s">
        <v>398</v>
      </c>
      <c r="N1480" t="s">
        <v>276</v>
      </c>
      <c r="P1480" t="s">
        <v>260</v>
      </c>
      <c r="Q1480" t="s">
        <v>260</v>
      </c>
      <c r="R1480" t="s">
        <v>293</v>
      </c>
      <c r="S1480" t="s">
        <v>21</v>
      </c>
      <c r="T1480">
        <v>100</v>
      </c>
      <c r="W1480" t="s">
        <v>262</v>
      </c>
      <c r="X1480">
        <v>-39.050899999999999</v>
      </c>
      <c r="Y1480">
        <v>174.09630000000001</v>
      </c>
    </row>
    <row r="1481" spans="1:25" x14ac:dyDescent="0.3">
      <c r="A1481" t="s">
        <v>21</v>
      </c>
      <c r="B1481" t="s">
        <v>4289</v>
      </c>
      <c r="C1481" t="s">
        <v>270</v>
      </c>
      <c r="D1481" t="s">
        <v>4290</v>
      </c>
      <c r="E1481" t="s">
        <v>4291</v>
      </c>
      <c r="H1481" t="s">
        <v>2433</v>
      </c>
      <c r="I1481" t="s">
        <v>1343</v>
      </c>
      <c r="J1481" t="s">
        <v>297</v>
      </c>
      <c r="K1481">
        <v>2104</v>
      </c>
      <c r="L1481" t="s">
        <v>276</v>
      </c>
      <c r="M1481" t="s">
        <v>631</v>
      </c>
      <c r="N1481" t="s">
        <v>276</v>
      </c>
      <c r="P1481" t="s">
        <v>260</v>
      </c>
      <c r="Q1481" t="s">
        <v>260</v>
      </c>
      <c r="R1481" t="s">
        <v>283</v>
      </c>
      <c r="S1481" t="s">
        <v>21</v>
      </c>
      <c r="T1481">
        <v>100</v>
      </c>
      <c r="W1481" t="s">
        <v>262</v>
      </c>
      <c r="X1481">
        <v>-37.008299999999998</v>
      </c>
      <c r="Y1481">
        <v>174.87049999999999</v>
      </c>
    </row>
    <row r="1482" spans="1:25" x14ac:dyDescent="0.3">
      <c r="A1482" t="s">
        <v>21</v>
      </c>
      <c r="B1482" t="s">
        <v>4292</v>
      </c>
      <c r="C1482" t="s">
        <v>270</v>
      </c>
      <c r="D1482" t="s">
        <v>4293</v>
      </c>
      <c r="E1482" t="s">
        <v>4294</v>
      </c>
      <c r="H1482" t="s">
        <v>2433</v>
      </c>
      <c r="I1482" t="s">
        <v>1343</v>
      </c>
      <c r="J1482" t="s">
        <v>297</v>
      </c>
      <c r="K1482">
        <v>2104</v>
      </c>
      <c r="L1482" t="s">
        <v>276</v>
      </c>
      <c r="M1482" t="s">
        <v>631</v>
      </c>
      <c r="N1482" t="s">
        <v>276</v>
      </c>
      <c r="P1482" t="s">
        <v>260</v>
      </c>
      <c r="Q1482" t="s">
        <v>260</v>
      </c>
      <c r="R1482" t="s">
        <v>283</v>
      </c>
      <c r="S1482" t="s">
        <v>21</v>
      </c>
      <c r="T1482">
        <v>100</v>
      </c>
      <c r="W1482" t="s">
        <v>262</v>
      </c>
      <c r="X1482">
        <v>-37.008299999999998</v>
      </c>
      <c r="Y1482">
        <v>174.87049999999999</v>
      </c>
    </row>
    <row r="1483" spans="1:25" x14ac:dyDescent="0.3">
      <c r="A1483" t="s">
        <v>21</v>
      </c>
      <c r="B1483" t="s">
        <v>4295</v>
      </c>
      <c r="C1483" t="s">
        <v>270</v>
      </c>
      <c r="D1483" t="s">
        <v>4296</v>
      </c>
      <c r="E1483">
        <v>91239</v>
      </c>
      <c r="H1483" t="s">
        <v>4297</v>
      </c>
      <c r="I1483" t="s">
        <v>3996</v>
      </c>
      <c r="J1483" t="s">
        <v>398</v>
      </c>
      <c r="K1483">
        <v>4312</v>
      </c>
      <c r="L1483" t="s">
        <v>276</v>
      </c>
      <c r="M1483" t="s">
        <v>398</v>
      </c>
      <c r="N1483" t="s">
        <v>276</v>
      </c>
      <c r="P1483" t="s">
        <v>260</v>
      </c>
      <c r="Q1483" t="s">
        <v>260</v>
      </c>
      <c r="R1483" t="s">
        <v>293</v>
      </c>
      <c r="S1483" t="s">
        <v>21</v>
      </c>
      <c r="T1483">
        <v>100</v>
      </c>
      <c r="W1483" t="s">
        <v>262</v>
      </c>
      <c r="X1483">
        <v>-39.0261</v>
      </c>
      <c r="Y1483">
        <v>174.1617</v>
      </c>
    </row>
    <row r="1484" spans="1:25" x14ac:dyDescent="0.3">
      <c r="A1484" t="s">
        <v>21</v>
      </c>
      <c r="B1484" t="s">
        <v>4298</v>
      </c>
      <c r="C1484" t="s">
        <v>270</v>
      </c>
      <c r="D1484" t="s">
        <v>1303</v>
      </c>
      <c r="E1484" t="s">
        <v>4299</v>
      </c>
      <c r="H1484" t="s">
        <v>4300</v>
      </c>
      <c r="I1484" t="s">
        <v>4301</v>
      </c>
      <c r="J1484" t="s">
        <v>398</v>
      </c>
      <c r="K1484">
        <v>4312</v>
      </c>
      <c r="L1484" t="s">
        <v>276</v>
      </c>
      <c r="M1484" t="s">
        <v>398</v>
      </c>
      <c r="N1484" t="s">
        <v>276</v>
      </c>
      <c r="P1484" t="s">
        <v>260</v>
      </c>
      <c r="Q1484" t="s">
        <v>260</v>
      </c>
      <c r="R1484" t="s">
        <v>283</v>
      </c>
      <c r="S1484" t="s">
        <v>21</v>
      </c>
      <c r="T1484">
        <v>100</v>
      </c>
      <c r="W1484" t="s">
        <v>262</v>
      </c>
      <c r="X1484">
        <v>-39.0779</v>
      </c>
      <c r="Y1484">
        <v>174.0976</v>
      </c>
    </row>
    <row r="1485" spans="1:25" x14ac:dyDescent="0.3">
      <c r="A1485" t="s">
        <v>21</v>
      </c>
      <c r="B1485" t="s">
        <v>4302</v>
      </c>
      <c r="C1485" t="s">
        <v>270</v>
      </c>
      <c r="D1485" t="s">
        <v>720</v>
      </c>
      <c r="E1485">
        <v>55572</v>
      </c>
      <c r="H1485" t="s">
        <v>2570</v>
      </c>
      <c r="I1485" t="s">
        <v>2571</v>
      </c>
      <c r="J1485" t="s">
        <v>398</v>
      </c>
      <c r="K1485">
        <v>4312</v>
      </c>
      <c r="L1485" t="s">
        <v>276</v>
      </c>
      <c r="M1485" t="s">
        <v>398</v>
      </c>
      <c r="N1485" t="s">
        <v>276</v>
      </c>
      <c r="P1485" t="s">
        <v>260</v>
      </c>
      <c r="Q1485" t="s">
        <v>260</v>
      </c>
      <c r="R1485" t="s">
        <v>261</v>
      </c>
      <c r="S1485" t="s">
        <v>21</v>
      </c>
      <c r="T1485">
        <v>100</v>
      </c>
      <c r="W1485" t="s">
        <v>262</v>
      </c>
      <c r="X1485">
        <v>-39.041800000000002</v>
      </c>
      <c r="Y1485">
        <v>174.11930000000001</v>
      </c>
    </row>
    <row r="1486" spans="1:25" x14ac:dyDescent="0.3">
      <c r="A1486" t="s">
        <v>21</v>
      </c>
      <c r="B1486" t="s">
        <v>4303</v>
      </c>
      <c r="C1486" t="s">
        <v>270</v>
      </c>
      <c r="D1486" t="s">
        <v>4304</v>
      </c>
      <c r="E1486">
        <v>10177</v>
      </c>
      <c r="G1486">
        <v>10.177</v>
      </c>
      <c r="H1486" t="s">
        <v>2433</v>
      </c>
      <c r="I1486" t="s">
        <v>1343</v>
      </c>
      <c r="J1486" t="s">
        <v>297</v>
      </c>
      <c r="K1486">
        <v>2104</v>
      </c>
      <c r="L1486" t="s">
        <v>276</v>
      </c>
      <c r="M1486" t="s">
        <v>631</v>
      </c>
      <c r="N1486" t="s">
        <v>276</v>
      </c>
      <c r="P1486" t="s">
        <v>260</v>
      </c>
      <c r="Q1486" t="s">
        <v>260</v>
      </c>
      <c r="R1486" t="s">
        <v>283</v>
      </c>
      <c r="S1486" t="s">
        <v>21</v>
      </c>
      <c r="T1486">
        <v>100</v>
      </c>
      <c r="W1486" t="s">
        <v>262</v>
      </c>
      <c r="X1486">
        <v>-37.008299999999998</v>
      </c>
      <c r="Y1486">
        <v>174.87049999999999</v>
      </c>
    </row>
    <row r="1487" spans="1:25" x14ac:dyDescent="0.3">
      <c r="A1487" t="s">
        <v>21</v>
      </c>
      <c r="B1487" t="s">
        <v>4305</v>
      </c>
      <c r="C1487" t="s">
        <v>270</v>
      </c>
      <c r="D1487" t="s">
        <v>4306</v>
      </c>
      <c r="E1487" t="s">
        <v>4306</v>
      </c>
      <c r="M1487" t="s">
        <v>394</v>
      </c>
      <c r="N1487" t="s">
        <v>276</v>
      </c>
      <c r="P1487" t="s">
        <v>260</v>
      </c>
      <c r="Q1487" t="s">
        <v>260</v>
      </c>
      <c r="R1487" t="s">
        <v>283</v>
      </c>
      <c r="S1487" t="s">
        <v>21</v>
      </c>
      <c r="T1487">
        <v>100</v>
      </c>
      <c r="W1487" t="s">
        <v>262</v>
      </c>
    </row>
    <row r="1488" spans="1:25" x14ac:dyDescent="0.3">
      <c r="A1488" t="s">
        <v>21</v>
      </c>
      <c r="B1488" t="s">
        <v>4307</v>
      </c>
      <c r="C1488" t="s">
        <v>270</v>
      </c>
      <c r="D1488" t="s">
        <v>4308</v>
      </c>
      <c r="E1488" t="s">
        <v>4309</v>
      </c>
      <c r="M1488" t="s">
        <v>398</v>
      </c>
      <c r="N1488" t="s">
        <v>276</v>
      </c>
      <c r="P1488" t="s">
        <v>260</v>
      </c>
      <c r="Q1488" t="s">
        <v>260</v>
      </c>
      <c r="R1488" t="s">
        <v>283</v>
      </c>
      <c r="S1488" t="s">
        <v>21</v>
      </c>
      <c r="T1488">
        <v>100</v>
      </c>
      <c r="W1488" t="s">
        <v>262</v>
      </c>
    </row>
    <row r="1489" spans="1:28" x14ac:dyDescent="0.3">
      <c r="A1489" t="s">
        <v>21</v>
      </c>
      <c r="B1489" t="s">
        <v>4310</v>
      </c>
      <c r="C1489" t="s">
        <v>270</v>
      </c>
      <c r="D1489" t="s">
        <v>4311</v>
      </c>
      <c r="E1489">
        <v>2000004700</v>
      </c>
      <c r="H1489" t="s">
        <v>4312</v>
      </c>
      <c r="I1489" t="s">
        <v>4313</v>
      </c>
      <c r="J1489" t="s">
        <v>4313</v>
      </c>
      <c r="K1489">
        <v>2681</v>
      </c>
      <c r="L1489" t="s">
        <v>276</v>
      </c>
      <c r="M1489" t="s">
        <v>4314</v>
      </c>
      <c r="N1489" t="s">
        <v>276</v>
      </c>
      <c r="P1489" t="s">
        <v>260</v>
      </c>
      <c r="Q1489" t="s">
        <v>260</v>
      </c>
      <c r="R1489" t="s">
        <v>268</v>
      </c>
      <c r="S1489" t="s">
        <v>21</v>
      </c>
      <c r="T1489">
        <v>100</v>
      </c>
      <c r="W1489" t="s">
        <v>262</v>
      </c>
      <c r="X1489">
        <v>-37.209299999999999</v>
      </c>
      <c r="Y1489">
        <v>174.73519999999999</v>
      </c>
    </row>
    <row r="1490" spans="1:28" x14ac:dyDescent="0.3">
      <c r="A1490" t="s">
        <v>21</v>
      </c>
      <c r="B1490" t="s">
        <v>4315</v>
      </c>
      <c r="C1490" t="s">
        <v>299</v>
      </c>
      <c r="D1490" t="s">
        <v>4316</v>
      </c>
      <c r="E1490">
        <v>7043</v>
      </c>
      <c r="H1490" t="s">
        <v>4317</v>
      </c>
      <c r="I1490" t="s">
        <v>4318</v>
      </c>
      <c r="J1490" t="s">
        <v>366</v>
      </c>
      <c r="K1490">
        <v>2285</v>
      </c>
      <c r="M1490" t="s">
        <v>1136</v>
      </c>
      <c r="N1490" t="s">
        <v>259</v>
      </c>
      <c r="P1490" t="s">
        <v>260</v>
      </c>
      <c r="Q1490" t="s">
        <v>260</v>
      </c>
      <c r="R1490" t="s">
        <v>283</v>
      </c>
      <c r="S1490" t="s">
        <v>21</v>
      </c>
      <c r="T1490">
        <v>100</v>
      </c>
      <c r="W1490" t="s">
        <v>262</v>
      </c>
    </row>
    <row r="1491" spans="1:28" x14ac:dyDescent="0.3">
      <c r="A1491" t="s">
        <v>21</v>
      </c>
      <c r="B1491" t="s">
        <v>4319</v>
      </c>
      <c r="C1491" t="s">
        <v>356</v>
      </c>
      <c r="D1491" t="s">
        <v>4320</v>
      </c>
      <c r="E1491">
        <v>197</v>
      </c>
      <c r="H1491" t="s">
        <v>4321</v>
      </c>
      <c r="I1491" t="s">
        <v>4322</v>
      </c>
      <c r="J1491" t="s">
        <v>555</v>
      </c>
      <c r="K1491">
        <v>6753</v>
      </c>
      <c r="L1491" t="s">
        <v>259</v>
      </c>
      <c r="M1491" t="s">
        <v>503</v>
      </c>
      <c r="N1491" t="s">
        <v>259</v>
      </c>
      <c r="P1491" t="s">
        <v>260</v>
      </c>
      <c r="Q1491" t="s">
        <v>260</v>
      </c>
      <c r="R1491" t="s">
        <v>261</v>
      </c>
      <c r="S1491" t="s">
        <v>21</v>
      </c>
      <c r="T1491">
        <v>100</v>
      </c>
      <c r="W1491" t="s">
        <v>262</v>
      </c>
      <c r="X1491">
        <v>-22.715</v>
      </c>
      <c r="Y1491">
        <v>119.047</v>
      </c>
      <c r="Z1491">
        <v>170</v>
      </c>
    </row>
    <row r="1492" spans="1:28" x14ac:dyDescent="0.3">
      <c r="A1492" t="s">
        <v>21</v>
      </c>
      <c r="B1492" t="s">
        <v>4323</v>
      </c>
      <c r="C1492" t="s">
        <v>299</v>
      </c>
      <c r="D1492" t="s">
        <v>4324</v>
      </c>
      <c r="E1492">
        <v>3012</v>
      </c>
      <c r="F1492">
        <v>198</v>
      </c>
      <c r="H1492" t="s">
        <v>4325</v>
      </c>
      <c r="I1492" t="s">
        <v>4323</v>
      </c>
      <c r="J1492" t="s">
        <v>335</v>
      </c>
      <c r="K1492">
        <v>3015</v>
      </c>
      <c r="L1492" t="s">
        <v>259</v>
      </c>
      <c r="M1492" t="s">
        <v>282</v>
      </c>
      <c r="N1492" t="s">
        <v>259</v>
      </c>
      <c r="P1492" t="s">
        <v>260</v>
      </c>
      <c r="Q1492" t="s">
        <v>260</v>
      </c>
      <c r="R1492" t="s">
        <v>513</v>
      </c>
      <c r="S1492" t="s">
        <v>21</v>
      </c>
      <c r="T1492">
        <v>100</v>
      </c>
      <c r="V1492" s="9">
        <v>45412</v>
      </c>
      <c r="W1492" t="s">
        <v>262</v>
      </c>
      <c r="X1492">
        <v>-25.542000000000002</v>
      </c>
      <c r="Y1492">
        <v>152.70500000000001</v>
      </c>
      <c r="Z1492">
        <v>239</v>
      </c>
      <c r="AB1492" s="9">
        <v>45412</v>
      </c>
    </row>
    <row r="1493" spans="1:28" x14ac:dyDescent="0.3">
      <c r="A1493" t="s">
        <v>21</v>
      </c>
      <c r="B1493" t="s">
        <v>4326</v>
      </c>
      <c r="C1493" t="s">
        <v>270</v>
      </c>
      <c r="D1493" t="s">
        <v>4327</v>
      </c>
      <c r="E1493" t="s">
        <v>4327</v>
      </c>
      <c r="M1493" t="s">
        <v>411</v>
      </c>
      <c r="N1493" t="s">
        <v>259</v>
      </c>
      <c r="P1493" t="s">
        <v>260</v>
      </c>
      <c r="Q1493" t="s">
        <v>260</v>
      </c>
      <c r="R1493" t="s">
        <v>283</v>
      </c>
      <c r="S1493" t="s">
        <v>21</v>
      </c>
      <c r="T1493">
        <v>100</v>
      </c>
      <c r="W1493" t="s">
        <v>262</v>
      </c>
    </row>
    <row r="1494" spans="1:28" x14ac:dyDescent="0.3">
      <c r="A1494" t="s">
        <v>21</v>
      </c>
      <c r="B1494" t="s">
        <v>4328</v>
      </c>
      <c r="C1494" t="s">
        <v>270</v>
      </c>
      <c r="D1494" t="s">
        <v>4329</v>
      </c>
      <c r="E1494" t="s">
        <v>4329</v>
      </c>
      <c r="F1494" t="s">
        <v>4329</v>
      </c>
      <c r="M1494" t="s">
        <v>411</v>
      </c>
      <c r="N1494" t="s">
        <v>259</v>
      </c>
      <c r="P1494" t="s">
        <v>260</v>
      </c>
      <c r="Q1494" t="s">
        <v>260</v>
      </c>
      <c r="R1494" t="s">
        <v>283</v>
      </c>
      <c r="S1494" t="s">
        <v>21</v>
      </c>
      <c r="T1494">
        <v>100</v>
      </c>
      <c r="W1494" t="s">
        <v>262</v>
      </c>
    </row>
    <row r="1495" spans="1:28" x14ac:dyDescent="0.3">
      <c r="A1495" t="s">
        <v>21</v>
      </c>
      <c r="B1495" t="s">
        <v>4330</v>
      </c>
      <c r="C1495" t="s">
        <v>270</v>
      </c>
      <c r="D1495" t="s">
        <v>4331</v>
      </c>
      <c r="E1495">
        <v>8804</v>
      </c>
      <c r="H1495" t="s">
        <v>2433</v>
      </c>
      <c r="I1495" t="s">
        <v>1343</v>
      </c>
      <c r="J1495" t="s">
        <v>297</v>
      </c>
      <c r="K1495">
        <v>2104</v>
      </c>
      <c r="L1495" t="s">
        <v>276</v>
      </c>
      <c r="M1495" t="s">
        <v>631</v>
      </c>
      <c r="N1495" t="s">
        <v>276</v>
      </c>
      <c r="P1495" t="s">
        <v>260</v>
      </c>
      <c r="Q1495" t="s">
        <v>260</v>
      </c>
      <c r="R1495" t="s">
        <v>261</v>
      </c>
      <c r="S1495" t="s">
        <v>21</v>
      </c>
      <c r="T1495">
        <v>100</v>
      </c>
      <c r="W1495" t="s">
        <v>262</v>
      </c>
      <c r="X1495">
        <v>-37.008299999999998</v>
      </c>
      <c r="Y1495">
        <v>174.87049999999999</v>
      </c>
    </row>
    <row r="1496" spans="1:28" x14ac:dyDescent="0.3">
      <c r="A1496" t="s">
        <v>21</v>
      </c>
      <c r="B1496" t="s">
        <v>4332</v>
      </c>
      <c r="C1496" t="s">
        <v>264</v>
      </c>
      <c r="D1496" t="s">
        <v>2104</v>
      </c>
      <c r="E1496">
        <v>1006</v>
      </c>
      <c r="F1496">
        <v>201</v>
      </c>
      <c r="G1496" t="s">
        <v>4333</v>
      </c>
      <c r="H1496" t="s">
        <v>4334</v>
      </c>
      <c r="I1496" t="s">
        <v>411</v>
      </c>
      <c r="J1496" t="s">
        <v>366</v>
      </c>
      <c r="K1496">
        <v>2113</v>
      </c>
      <c r="L1496" t="s">
        <v>259</v>
      </c>
      <c r="M1496" t="s">
        <v>312</v>
      </c>
      <c r="N1496" t="s">
        <v>259</v>
      </c>
      <c r="P1496" t="s">
        <v>260</v>
      </c>
      <c r="Q1496" t="s">
        <v>260</v>
      </c>
      <c r="R1496" t="s">
        <v>293</v>
      </c>
      <c r="S1496" t="s">
        <v>21</v>
      </c>
      <c r="T1496">
        <v>100</v>
      </c>
      <c r="W1496" t="s">
        <v>262</v>
      </c>
      <c r="X1496">
        <v>-33.793999999999997</v>
      </c>
      <c r="Y1496">
        <v>151.13900000000001</v>
      </c>
      <c r="Z1496">
        <v>729</v>
      </c>
    </row>
    <row r="1497" spans="1:28" x14ac:dyDescent="0.3">
      <c r="A1497" t="s">
        <v>21</v>
      </c>
      <c r="B1497" t="s">
        <v>4335</v>
      </c>
      <c r="C1497" t="s">
        <v>264</v>
      </c>
      <c r="D1497" t="s">
        <v>4336</v>
      </c>
      <c r="E1497">
        <v>1012</v>
      </c>
      <c r="H1497" t="s">
        <v>4334</v>
      </c>
      <c r="I1497" t="s">
        <v>1001</v>
      </c>
      <c r="J1497" t="s">
        <v>366</v>
      </c>
      <c r="K1497">
        <v>2113</v>
      </c>
      <c r="M1497" t="s">
        <v>411</v>
      </c>
      <c r="N1497" t="s">
        <v>259</v>
      </c>
      <c r="P1497" t="s">
        <v>260</v>
      </c>
      <c r="Q1497" t="s">
        <v>260</v>
      </c>
      <c r="R1497" t="s">
        <v>293</v>
      </c>
      <c r="S1497" t="s">
        <v>21</v>
      </c>
      <c r="T1497">
        <v>100</v>
      </c>
      <c r="W1497" t="s">
        <v>262</v>
      </c>
      <c r="Z1497">
        <v>729</v>
      </c>
    </row>
    <row r="1498" spans="1:28" x14ac:dyDescent="0.3">
      <c r="A1498" t="s">
        <v>21</v>
      </c>
      <c r="B1498" t="s">
        <v>4337</v>
      </c>
      <c r="C1498" t="s">
        <v>264</v>
      </c>
      <c r="D1498" t="s">
        <v>4338</v>
      </c>
      <c r="E1498">
        <v>1007</v>
      </c>
      <c r="F1498">
        <v>408</v>
      </c>
      <c r="G1498" t="s">
        <v>4339</v>
      </c>
      <c r="H1498" t="s">
        <v>4334</v>
      </c>
      <c r="I1498" t="s">
        <v>411</v>
      </c>
      <c r="J1498" t="s">
        <v>366</v>
      </c>
      <c r="K1498">
        <v>2113</v>
      </c>
      <c r="L1498" t="s">
        <v>259</v>
      </c>
      <c r="M1498" t="s">
        <v>312</v>
      </c>
      <c r="N1498" t="s">
        <v>259</v>
      </c>
      <c r="P1498" t="s">
        <v>260</v>
      </c>
      <c r="Q1498" t="s">
        <v>260</v>
      </c>
      <c r="R1498" t="s">
        <v>293</v>
      </c>
      <c r="S1498" t="s">
        <v>21</v>
      </c>
      <c r="T1498">
        <v>100</v>
      </c>
      <c r="W1498" t="s">
        <v>262</v>
      </c>
      <c r="X1498">
        <v>-33.793999999999997</v>
      </c>
      <c r="Y1498">
        <v>151.13900000000001</v>
      </c>
      <c r="Z1498">
        <v>729</v>
      </c>
    </row>
    <row r="1499" spans="1:28" x14ac:dyDescent="0.3">
      <c r="A1499" t="s">
        <v>21</v>
      </c>
      <c r="B1499" t="s">
        <v>4340</v>
      </c>
      <c r="C1499" t="s">
        <v>264</v>
      </c>
      <c r="D1499" t="s">
        <v>4341</v>
      </c>
      <c r="E1499">
        <v>1008</v>
      </c>
      <c r="F1499">
        <v>410</v>
      </c>
      <c r="G1499" t="s">
        <v>4342</v>
      </c>
      <c r="H1499" t="s">
        <v>4334</v>
      </c>
      <c r="I1499" t="s">
        <v>411</v>
      </c>
      <c r="J1499" t="s">
        <v>366</v>
      </c>
      <c r="K1499">
        <v>2113</v>
      </c>
      <c r="L1499" t="s">
        <v>259</v>
      </c>
      <c r="M1499" t="s">
        <v>312</v>
      </c>
      <c r="N1499" t="s">
        <v>259</v>
      </c>
      <c r="P1499" t="s">
        <v>260</v>
      </c>
      <c r="Q1499" t="s">
        <v>260</v>
      </c>
      <c r="R1499" t="s">
        <v>293</v>
      </c>
      <c r="S1499" t="s">
        <v>21</v>
      </c>
      <c r="T1499">
        <v>100</v>
      </c>
      <c r="W1499" t="s">
        <v>262</v>
      </c>
      <c r="X1499">
        <v>-33.793999999999997</v>
      </c>
      <c r="Y1499">
        <v>151.13900000000001</v>
      </c>
      <c r="Z1499">
        <v>729</v>
      </c>
    </row>
    <row r="1500" spans="1:28" x14ac:dyDescent="0.3">
      <c r="A1500" t="s">
        <v>21</v>
      </c>
      <c r="B1500" t="s">
        <v>4343</v>
      </c>
      <c r="C1500" t="s">
        <v>264</v>
      </c>
      <c r="D1500" t="s">
        <v>4344</v>
      </c>
      <c r="E1500">
        <v>1013</v>
      </c>
      <c r="H1500" t="s">
        <v>4334</v>
      </c>
      <c r="I1500" t="s">
        <v>1001</v>
      </c>
      <c r="J1500" t="s">
        <v>366</v>
      </c>
      <c r="K1500">
        <v>2113</v>
      </c>
      <c r="M1500" t="s">
        <v>411</v>
      </c>
      <c r="N1500" t="s">
        <v>259</v>
      </c>
      <c r="P1500" t="s">
        <v>260</v>
      </c>
      <c r="Q1500" t="s">
        <v>260</v>
      </c>
      <c r="R1500" t="s">
        <v>293</v>
      </c>
      <c r="S1500" t="s">
        <v>21</v>
      </c>
      <c r="T1500">
        <v>100</v>
      </c>
      <c r="W1500" t="s">
        <v>262</v>
      </c>
      <c r="Z1500">
        <v>729</v>
      </c>
    </row>
    <row r="1501" spans="1:28" x14ac:dyDescent="0.3">
      <c r="A1501" t="s">
        <v>21</v>
      </c>
      <c r="B1501" t="s">
        <v>4345</v>
      </c>
      <c r="C1501" t="s">
        <v>264</v>
      </c>
      <c r="D1501" t="s">
        <v>4346</v>
      </c>
      <c r="E1501">
        <v>1009</v>
      </c>
      <c r="F1501">
        <v>202</v>
      </c>
      <c r="G1501" t="s">
        <v>4347</v>
      </c>
      <c r="H1501" t="s">
        <v>4348</v>
      </c>
      <c r="I1501" t="s">
        <v>411</v>
      </c>
      <c r="J1501" t="s">
        <v>366</v>
      </c>
      <c r="K1501">
        <v>2113</v>
      </c>
      <c r="L1501" t="s">
        <v>259</v>
      </c>
      <c r="M1501" t="s">
        <v>411</v>
      </c>
      <c r="N1501" t="s">
        <v>259</v>
      </c>
      <c r="P1501" t="s">
        <v>260</v>
      </c>
      <c r="Q1501" t="s">
        <v>260</v>
      </c>
      <c r="R1501" t="s">
        <v>293</v>
      </c>
      <c r="S1501" t="s">
        <v>21</v>
      </c>
      <c r="T1501">
        <v>100</v>
      </c>
      <c r="W1501" t="s">
        <v>262</v>
      </c>
      <c r="X1501">
        <v>-33.793999999999997</v>
      </c>
      <c r="Y1501">
        <v>151.13900000000001</v>
      </c>
      <c r="Z1501">
        <v>729</v>
      </c>
    </row>
    <row r="1502" spans="1:28" x14ac:dyDescent="0.3">
      <c r="A1502" t="s">
        <v>21</v>
      </c>
      <c r="B1502" t="s">
        <v>4349</v>
      </c>
      <c r="C1502" t="s">
        <v>270</v>
      </c>
      <c r="D1502" t="s">
        <v>4350</v>
      </c>
      <c r="E1502" t="s">
        <v>4351</v>
      </c>
      <c r="H1502" t="s">
        <v>2433</v>
      </c>
      <c r="I1502" t="s">
        <v>1343</v>
      </c>
      <c r="J1502" t="s">
        <v>297</v>
      </c>
      <c r="K1502">
        <v>2104</v>
      </c>
      <c r="L1502" t="s">
        <v>276</v>
      </c>
      <c r="M1502" t="s">
        <v>631</v>
      </c>
      <c r="N1502" t="s">
        <v>276</v>
      </c>
      <c r="P1502" t="s">
        <v>260</v>
      </c>
      <c r="Q1502" t="s">
        <v>260</v>
      </c>
      <c r="R1502" t="s">
        <v>283</v>
      </c>
      <c r="S1502" t="s">
        <v>21</v>
      </c>
      <c r="T1502">
        <v>100</v>
      </c>
      <c r="W1502" t="s">
        <v>262</v>
      </c>
      <c r="X1502">
        <v>-37.008299999999998</v>
      </c>
      <c r="Y1502">
        <v>174.87049999999999</v>
      </c>
    </row>
    <row r="1503" spans="1:28" x14ac:dyDescent="0.3">
      <c r="A1503" t="s">
        <v>21</v>
      </c>
      <c r="B1503" t="s">
        <v>4352</v>
      </c>
      <c r="C1503" t="s">
        <v>2423</v>
      </c>
      <c r="D1503" t="s">
        <v>913</v>
      </c>
      <c r="E1503" t="s">
        <v>913</v>
      </c>
      <c r="G1503" t="s">
        <v>4353</v>
      </c>
      <c r="H1503" t="s">
        <v>4354</v>
      </c>
      <c r="I1503" t="s">
        <v>4355</v>
      </c>
      <c r="J1503" t="s">
        <v>366</v>
      </c>
      <c r="K1503">
        <v>2500</v>
      </c>
      <c r="M1503" t="s">
        <v>2255</v>
      </c>
      <c r="N1503" t="s">
        <v>259</v>
      </c>
      <c r="P1503" t="s">
        <v>260</v>
      </c>
      <c r="Q1503" t="s">
        <v>260</v>
      </c>
      <c r="R1503" t="s">
        <v>293</v>
      </c>
      <c r="S1503" t="s">
        <v>21</v>
      </c>
      <c r="T1503">
        <v>100</v>
      </c>
      <c r="W1503" t="s">
        <v>262</v>
      </c>
      <c r="X1503">
        <v>-34.408276999999998</v>
      </c>
      <c r="Y1503">
        <v>150.89343299999999</v>
      </c>
      <c r="Z1503">
        <v>729</v>
      </c>
    </row>
    <row r="1504" spans="1:28" x14ac:dyDescent="0.3">
      <c r="A1504" t="s">
        <v>21</v>
      </c>
      <c r="B1504" t="s">
        <v>4356</v>
      </c>
      <c r="C1504" t="s">
        <v>270</v>
      </c>
      <c r="D1504" t="s">
        <v>4357</v>
      </c>
      <c r="E1504">
        <v>10237</v>
      </c>
      <c r="G1504">
        <v>10.237</v>
      </c>
      <c r="H1504" t="s">
        <v>2433</v>
      </c>
      <c r="I1504" t="s">
        <v>1343</v>
      </c>
      <c r="J1504" t="s">
        <v>297</v>
      </c>
      <c r="K1504">
        <v>2104</v>
      </c>
      <c r="L1504" t="s">
        <v>276</v>
      </c>
      <c r="M1504" t="s">
        <v>631</v>
      </c>
      <c r="N1504" t="s">
        <v>276</v>
      </c>
      <c r="P1504" t="s">
        <v>260</v>
      </c>
      <c r="Q1504" t="s">
        <v>260</v>
      </c>
      <c r="R1504" t="s">
        <v>283</v>
      </c>
      <c r="S1504" t="s">
        <v>21</v>
      </c>
      <c r="T1504">
        <v>100</v>
      </c>
      <c r="W1504" t="s">
        <v>262</v>
      </c>
      <c r="X1504">
        <v>-37.008299999999998</v>
      </c>
      <c r="Y1504">
        <v>174.87049999999999</v>
      </c>
    </row>
    <row r="1505" spans="1:26" x14ac:dyDescent="0.3">
      <c r="A1505" t="s">
        <v>21</v>
      </c>
      <c r="B1505" t="s">
        <v>4358</v>
      </c>
      <c r="C1505" t="s">
        <v>270</v>
      </c>
      <c r="D1505" t="s">
        <v>3983</v>
      </c>
      <c r="E1505">
        <v>10131</v>
      </c>
      <c r="H1505" t="s">
        <v>2433</v>
      </c>
      <c r="I1505" t="s">
        <v>1343</v>
      </c>
      <c r="J1505" t="s">
        <v>297</v>
      </c>
      <c r="K1505">
        <v>2104</v>
      </c>
      <c r="L1505" t="s">
        <v>276</v>
      </c>
      <c r="M1505" t="s">
        <v>631</v>
      </c>
      <c r="N1505" t="s">
        <v>276</v>
      </c>
      <c r="P1505" t="s">
        <v>260</v>
      </c>
      <c r="Q1505" t="s">
        <v>260</v>
      </c>
      <c r="R1505" t="s">
        <v>268</v>
      </c>
      <c r="S1505" t="s">
        <v>21</v>
      </c>
      <c r="T1505">
        <v>100</v>
      </c>
      <c r="W1505" t="s">
        <v>262</v>
      </c>
      <c r="X1505">
        <v>-37.008299999999998</v>
      </c>
      <c r="Y1505">
        <v>174.87049999999999</v>
      </c>
    </row>
    <row r="1506" spans="1:26" x14ac:dyDescent="0.3">
      <c r="A1506" t="s">
        <v>21</v>
      </c>
      <c r="B1506" t="s">
        <v>4359</v>
      </c>
      <c r="C1506" t="s">
        <v>270</v>
      </c>
      <c r="D1506" t="s">
        <v>4360</v>
      </c>
      <c r="E1506">
        <v>2000005064</v>
      </c>
      <c r="H1506" t="s">
        <v>2433</v>
      </c>
      <c r="I1506" t="s">
        <v>1343</v>
      </c>
      <c r="J1506" t="s">
        <v>297</v>
      </c>
      <c r="K1506">
        <v>2104</v>
      </c>
      <c r="L1506" t="s">
        <v>276</v>
      </c>
      <c r="M1506" t="s">
        <v>631</v>
      </c>
      <c r="N1506" t="s">
        <v>276</v>
      </c>
      <c r="P1506" t="s">
        <v>260</v>
      </c>
      <c r="Q1506" t="s">
        <v>260</v>
      </c>
      <c r="R1506" t="s">
        <v>268</v>
      </c>
      <c r="S1506" t="s">
        <v>21</v>
      </c>
      <c r="T1506">
        <v>100</v>
      </c>
      <c r="W1506" t="s">
        <v>262</v>
      </c>
      <c r="X1506">
        <v>-37.008299999999998</v>
      </c>
      <c r="Y1506">
        <v>174.87049999999999</v>
      </c>
    </row>
    <row r="1507" spans="1:26" x14ac:dyDescent="0.3">
      <c r="A1507" t="s">
        <v>21</v>
      </c>
      <c r="B1507" t="s">
        <v>4361</v>
      </c>
      <c r="C1507" t="s">
        <v>270</v>
      </c>
      <c r="D1507" t="s">
        <v>2030</v>
      </c>
      <c r="E1507" t="s">
        <v>4362</v>
      </c>
      <c r="H1507" t="s">
        <v>2433</v>
      </c>
      <c r="I1507" t="s">
        <v>1343</v>
      </c>
      <c r="J1507" t="s">
        <v>297</v>
      </c>
      <c r="K1507">
        <v>2104</v>
      </c>
      <c r="L1507" t="s">
        <v>276</v>
      </c>
      <c r="M1507" t="s">
        <v>631</v>
      </c>
      <c r="N1507" t="s">
        <v>276</v>
      </c>
      <c r="P1507" t="s">
        <v>260</v>
      </c>
      <c r="Q1507" t="s">
        <v>260</v>
      </c>
      <c r="R1507" t="s">
        <v>261</v>
      </c>
      <c r="S1507" t="s">
        <v>21</v>
      </c>
      <c r="T1507">
        <v>100</v>
      </c>
      <c r="W1507" t="s">
        <v>262</v>
      </c>
      <c r="X1507">
        <v>-37.008299999999998</v>
      </c>
      <c r="Y1507">
        <v>174.87049999999999</v>
      </c>
    </row>
    <row r="1508" spans="1:26" x14ac:dyDescent="0.3">
      <c r="A1508" t="s">
        <v>21</v>
      </c>
      <c r="B1508" t="s">
        <v>4363</v>
      </c>
      <c r="C1508" t="s">
        <v>270</v>
      </c>
      <c r="D1508" t="s">
        <v>4364</v>
      </c>
      <c r="E1508" t="s">
        <v>4365</v>
      </c>
      <c r="H1508" t="s">
        <v>2433</v>
      </c>
      <c r="I1508" t="s">
        <v>1343</v>
      </c>
      <c r="J1508" t="s">
        <v>297</v>
      </c>
      <c r="K1508">
        <v>2104</v>
      </c>
      <c r="L1508" t="s">
        <v>276</v>
      </c>
      <c r="M1508" t="s">
        <v>631</v>
      </c>
      <c r="N1508" t="s">
        <v>276</v>
      </c>
      <c r="P1508" t="s">
        <v>260</v>
      </c>
      <c r="Q1508" t="s">
        <v>260</v>
      </c>
      <c r="R1508" t="s">
        <v>283</v>
      </c>
      <c r="S1508" t="s">
        <v>21</v>
      </c>
      <c r="T1508">
        <v>100</v>
      </c>
      <c r="W1508" t="s">
        <v>262</v>
      </c>
      <c r="X1508">
        <v>-37.008299999999998</v>
      </c>
      <c r="Y1508">
        <v>174.87049999999999</v>
      </c>
    </row>
    <row r="1509" spans="1:26" x14ac:dyDescent="0.3">
      <c r="A1509" t="s">
        <v>21</v>
      </c>
      <c r="B1509" t="s">
        <v>4366</v>
      </c>
      <c r="C1509" t="s">
        <v>270</v>
      </c>
      <c r="D1509" t="s">
        <v>4367</v>
      </c>
      <c r="E1509">
        <v>55923</v>
      </c>
      <c r="H1509" t="s">
        <v>2433</v>
      </c>
      <c r="I1509" t="s">
        <v>1343</v>
      </c>
      <c r="J1509" t="s">
        <v>297</v>
      </c>
      <c r="K1509">
        <v>2104</v>
      </c>
      <c r="L1509" t="s">
        <v>276</v>
      </c>
      <c r="M1509" t="s">
        <v>631</v>
      </c>
      <c r="N1509" t="s">
        <v>276</v>
      </c>
      <c r="P1509" t="s">
        <v>260</v>
      </c>
      <c r="Q1509" t="s">
        <v>260</v>
      </c>
      <c r="R1509" t="s">
        <v>261</v>
      </c>
      <c r="S1509" t="s">
        <v>21</v>
      </c>
      <c r="T1509">
        <v>100</v>
      </c>
      <c r="W1509" t="s">
        <v>262</v>
      </c>
      <c r="X1509">
        <v>-37.008299999999998</v>
      </c>
      <c r="Y1509">
        <v>174.87049999999999</v>
      </c>
    </row>
    <row r="1510" spans="1:26" x14ac:dyDescent="0.3">
      <c r="A1510" t="s">
        <v>21</v>
      </c>
      <c r="B1510" t="s">
        <v>4368</v>
      </c>
      <c r="C1510" t="s">
        <v>270</v>
      </c>
      <c r="D1510" t="s">
        <v>4369</v>
      </c>
      <c r="E1510">
        <v>10132</v>
      </c>
      <c r="H1510" t="s">
        <v>2433</v>
      </c>
      <c r="I1510" t="s">
        <v>1343</v>
      </c>
      <c r="J1510" t="s">
        <v>297</v>
      </c>
      <c r="K1510">
        <v>2104</v>
      </c>
      <c r="L1510" t="s">
        <v>276</v>
      </c>
      <c r="M1510" t="s">
        <v>631</v>
      </c>
      <c r="N1510" t="s">
        <v>276</v>
      </c>
      <c r="P1510" t="s">
        <v>260</v>
      </c>
      <c r="Q1510" t="s">
        <v>260</v>
      </c>
      <c r="R1510" t="s">
        <v>268</v>
      </c>
      <c r="S1510" t="s">
        <v>21</v>
      </c>
      <c r="T1510">
        <v>100</v>
      </c>
      <c r="W1510" t="s">
        <v>262</v>
      </c>
      <c r="X1510">
        <v>-37.008299999999998</v>
      </c>
      <c r="Y1510">
        <v>174.87049999999999</v>
      </c>
    </row>
    <row r="1511" spans="1:26" x14ac:dyDescent="0.3">
      <c r="A1511" t="s">
        <v>21</v>
      </c>
      <c r="B1511" t="s">
        <v>4370</v>
      </c>
      <c r="C1511" t="s">
        <v>270</v>
      </c>
      <c r="D1511" t="s">
        <v>4371</v>
      </c>
      <c r="E1511">
        <v>2000003263</v>
      </c>
      <c r="M1511" t="s">
        <v>631</v>
      </c>
      <c r="N1511" t="s">
        <v>276</v>
      </c>
      <c r="P1511" t="s">
        <v>260</v>
      </c>
      <c r="Q1511" t="s">
        <v>260</v>
      </c>
      <c r="R1511" t="s">
        <v>268</v>
      </c>
      <c r="S1511" t="s">
        <v>21</v>
      </c>
      <c r="T1511">
        <v>100</v>
      </c>
      <c r="W1511" t="s">
        <v>262</v>
      </c>
    </row>
    <row r="1512" spans="1:26" x14ac:dyDescent="0.3">
      <c r="A1512" t="s">
        <v>21</v>
      </c>
      <c r="B1512" t="s">
        <v>4372</v>
      </c>
      <c r="C1512" t="s">
        <v>270</v>
      </c>
      <c r="D1512" t="s">
        <v>4373</v>
      </c>
      <c r="E1512">
        <v>2000004516</v>
      </c>
      <c r="H1512" t="s">
        <v>2433</v>
      </c>
      <c r="I1512" t="s">
        <v>1343</v>
      </c>
      <c r="J1512" t="s">
        <v>297</v>
      </c>
      <c r="K1512">
        <v>2104</v>
      </c>
      <c r="L1512" t="s">
        <v>276</v>
      </c>
      <c r="M1512" t="s">
        <v>631</v>
      </c>
      <c r="N1512" t="s">
        <v>276</v>
      </c>
      <c r="P1512" t="s">
        <v>260</v>
      </c>
      <c r="Q1512" t="s">
        <v>260</v>
      </c>
      <c r="R1512" t="s">
        <v>268</v>
      </c>
      <c r="S1512" t="s">
        <v>21</v>
      </c>
      <c r="T1512">
        <v>100</v>
      </c>
      <c r="W1512" t="s">
        <v>262</v>
      </c>
      <c r="X1512">
        <v>-37.008299999999998</v>
      </c>
      <c r="Y1512">
        <v>174.87049999999999</v>
      </c>
    </row>
    <row r="1513" spans="1:26" x14ac:dyDescent="0.3">
      <c r="A1513" t="s">
        <v>21</v>
      </c>
      <c r="B1513" t="s">
        <v>4374</v>
      </c>
      <c r="C1513" t="s">
        <v>270</v>
      </c>
      <c r="D1513" t="s">
        <v>4375</v>
      </c>
      <c r="E1513" t="s">
        <v>4375</v>
      </c>
      <c r="F1513" t="s">
        <v>4375</v>
      </c>
      <c r="M1513" t="s">
        <v>297</v>
      </c>
      <c r="N1513" t="s">
        <v>276</v>
      </c>
      <c r="P1513" t="s">
        <v>260</v>
      </c>
      <c r="Q1513" t="s">
        <v>260</v>
      </c>
      <c r="R1513" t="s">
        <v>283</v>
      </c>
      <c r="S1513" t="s">
        <v>21</v>
      </c>
      <c r="T1513">
        <v>100</v>
      </c>
      <c r="W1513" t="s">
        <v>262</v>
      </c>
    </row>
    <row r="1514" spans="1:26" x14ac:dyDescent="0.3">
      <c r="A1514" t="s">
        <v>21</v>
      </c>
      <c r="B1514" t="s">
        <v>4376</v>
      </c>
      <c r="C1514" t="s">
        <v>2289</v>
      </c>
      <c r="D1514" t="s">
        <v>4377</v>
      </c>
      <c r="E1514" t="s">
        <v>4377</v>
      </c>
      <c r="M1514" t="s">
        <v>312</v>
      </c>
      <c r="N1514" t="s">
        <v>259</v>
      </c>
      <c r="P1514" t="s">
        <v>260</v>
      </c>
      <c r="Q1514" t="s">
        <v>260</v>
      </c>
      <c r="R1514" t="s">
        <v>268</v>
      </c>
      <c r="S1514" t="s">
        <v>21</v>
      </c>
      <c r="T1514">
        <v>100</v>
      </c>
      <c r="W1514" t="s">
        <v>262</v>
      </c>
    </row>
    <row r="1515" spans="1:26" x14ac:dyDescent="0.3">
      <c r="A1515" t="s">
        <v>21</v>
      </c>
      <c r="B1515" t="s">
        <v>4378</v>
      </c>
      <c r="C1515" t="s">
        <v>299</v>
      </c>
      <c r="D1515" t="s">
        <v>4379</v>
      </c>
      <c r="E1515">
        <v>171210</v>
      </c>
      <c r="G1515" t="s">
        <v>4380</v>
      </c>
      <c r="H1515" t="s">
        <v>4381</v>
      </c>
      <c r="I1515" t="s">
        <v>4382</v>
      </c>
      <c r="J1515" t="s">
        <v>366</v>
      </c>
      <c r="K1515">
        <v>2460</v>
      </c>
      <c r="L1515" t="s">
        <v>259</v>
      </c>
      <c r="M1515" t="s">
        <v>312</v>
      </c>
      <c r="N1515" t="s">
        <v>259</v>
      </c>
      <c r="P1515" t="s">
        <v>260</v>
      </c>
      <c r="Q1515" t="s">
        <v>260</v>
      </c>
      <c r="R1515" t="s">
        <v>261</v>
      </c>
      <c r="S1515" t="s">
        <v>21</v>
      </c>
      <c r="T1515">
        <v>100</v>
      </c>
      <c r="W1515" t="s">
        <v>262</v>
      </c>
      <c r="X1515">
        <v>-29.717987999999998</v>
      </c>
      <c r="Y1515">
        <v>152.94833199999999</v>
      </c>
      <c r="Z1515">
        <v>310</v>
      </c>
    </row>
    <row r="1516" spans="1:26" x14ac:dyDescent="0.3">
      <c r="A1516" t="s">
        <v>21</v>
      </c>
      <c r="B1516" t="s">
        <v>4383</v>
      </c>
      <c r="C1516" t="s">
        <v>270</v>
      </c>
      <c r="D1516" t="s">
        <v>4384</v>
      </c>
      <c r="E1516" t="s">
        <v>4384</v>
      </c>
      <c r="F1516" t="s">
        <v>4384</v>
      </c>
      <c r="M1516" t="s">
        <v>411</v>
      </c>
      <c r="N1516" t="s">
        <v>259</v>
      </c>
      <c r="P1516" t="s">
        <v>260</v>
      </c>
      <c r="Q1516" t="s">
        <v>260</v>
      </c>
      <c r="R1516" t="s">
        <v>283</v>
      </c>
      <c r="S1516" t="s">
        <v>21</v>
      </c>
      <c r="T1516">
        <v>100</v>
      </c>
      <c r="W1516" t="s">
        <v>262</v>
      </c>
    </row>
    <row r="1517" spans="1:26" x14ac:dyDescent="0.3">
      <c r="A1517" t="s">
        <v>21</v>
      </c>
      <c r="B1517" t="s">
        <v>4385</v>
      </c>
      <c r="C1517" t="s">
        <v>270</v>
      </c>
      <c r="D1517" t="s">
        <v>4386</v>
      </c>
      <c r="E1517" t="s">
        <v>4386</v>
      </c>
      <c r="M1517" t="s">
        <v>411</v>
      </c>
      <c r="N1517" t="s">
        <v>259</v>
      </c>
      <c r="P1517" t="s">
        <v>260</v>
      </c>
      <c r="Q1517" t="s">
        <v>260</v>
      </c>
      <c r="R1517" t="s">
        <v>283</v>
      </c>
      <c r="S1517" t="s">
        <v>21</v>
      </c>
      <c r="T1517">
        <v>100</v>
      </c>
      <c r="W1517" t="s">
        <v>262</v>
      </c>
    </row>
    <row r="1518" spans="1:26" x14ac:dyDescent="0.3">
      <c r="A1518" t="s">
        <v>21</v>
      </c>
      <c r="B1518" t="s">
        <v>4387</v>
      </c>
      <c r="C1518" t="s">
        <v>270</v>
      </c>
      <c r="D1518" t="s">
        <v>4388</v>
      </c>
      <c r="E1518" t="s">
        <v>4388</v>
      </c>
      <c r="F1518" t="s">
        <v>4388</v>
      </c>
      <c r="M1518" t="s">
        <v>411</v>
      </c>
      <c r="N1518" t="s">
        <v>259</v>
      </c>
      <c r="P1518" t="s">
        <v>260</v>
      </c>
      <c r="Q1518" t="s">
        <v>260</v>
      </c>
      <c r="R1518" t="s">
        <v>283</v>
      </c>
      <c r="S1518" t="s">
        <v>21</v>
      </c>
      <c r="T1518">
        <v>100</v>
      </c>
      <c r="W1518" t="s">
        <v>262</v>
      </c>
    </row>
    <row r="1519" spans="1:26" x14ac:dyDescent="0.3">
      <c r="A1519" t="s">
        <v>21</v>
      </c>
      <c r="B1519" t="s">
        <v>4389</v>
      </c>
      <c r="C1519" t="s">
        <v>270</v>
      </c>
      <c r="D1519" t="s">
        <v>4390</v>
      </c>
      <c r="E1519" t="s">
        <v>4390</v>
      </c>
      <c r="F1519" t="s">
        <v>4390</v>
      </c>
      <c r="M1519" t="s">
        <v>411</v>
      </c>
      <c r="N1519" t="s">
        <v>259</v>
      </c>
      <c r="P1519" t="s">
        <v>260</v>
      </c>
      <c r="Q1519" t="s">
        <v>260</v>
      </c>
      <c r="R1519" t="s">
        <v>283</v>
      </c>
      <c r="S1519" t="s">
        <v>21</v>
      </c>
      <c r="T1519">
        <v>100</v>
      </c>
      <c r="W1519" t="s">
        <v>262</v>
      </c>
    </row>
    <row r="1520" spans="1:26" x14ac:dyDescent="0.3">
      <c r="A1520" t="s">
        <v>21</v>
      </c>
      <c r="B1520" t="s">
        <v>4391</v>
      </c>
      <c r="C1520" t="s">
        <v>270</v>
      </c>
      <c r="D1520" t="s">
        <v>4392</v>
      </c>
      <c r="E1520">
        <v>2000004776</v>
      </c>
      <c r="H1520" t="s">
        <v>4393</v>
      </c>
      <c r="I1520" t="s">
        <v>4394</v>
      </c>
      <c r="J1520" t="s">
        <v>4394</v>
      </c>
      <c r="K1520">
        <v>9877</v>
      </c>
      <c r="L1520" t="s">
        <v>276</v>
      </c>
      <c r="M1520" t="s">
        <v>417</v>
      </c>
      <c r="N1520" t="s">
        <v>276</v>
      </c>
      <c r="P1520" t="s">
        <v>260</v>
      </c>
      <c r="Q1520" t="s">
        <v>260</v>
      </c>
      <c r="R1520" t="s">
        <v>268</v>
      </c>
      <c r="S1520" t="s">
        <v>21</v>
      </c>
      <c r="T1520">
        <v>100</v>
      </c>
      <c r="W1520" t="s">
        <v>262</v>
      </c>
      <c r="X1520">
        <v>-46.582999999999998</v>
      </c>
      <c r="Y1520">
        <v>168.38749999999999</v>
      </c>
    </row>
    <row r="1521" spans="1:25" x14ac:dyDescent="0.3">
      <c r="A1521" t="s">
        <v>21</v>
      </c>
      <c r="B1521" t="s">
        <v>4395</v>
      </c>
      <c r="C1521" t="s">
        <v>270</v>
      </c>
      <c r="D1521" t="s">
        <v>4396</v>
      </c>
      <c r="E1521">
        <v>2000003339</v>
      </c>
      <c r="H1521" t="s">
        <v>2433</v>
      </c>
      <c r="I1521" t="s">
        <v>1343</v>
      </c>
      <c r="J1521" t="s">
        <v>297</v>
      </c>
      <c r="K1521">
        <v>2104</v>
      </c>
      <c r="L1521" t="s">
        <v>276</v>
      </c>
      <c r="M1521" t="s">
        <v>631</v>
      </c>
      <c r="N1521" t="s">
        <v>276</v>
      </c>
      <c r="P1521" t="s">
        <v>260</v>
      </c>
      <c r="Q1521" t="s">
        <v>260</v>
      </c>
      <c r="R1521" t="s">
        <v>268</v>
      </c>
      <c r="S1521" t="s">
        <v>21</v>
      </c>
      <c r="T1521">
        <v>100</v>
      </c>
      <c r="W1521" t="s">
        <v>262</v>
      </c>
      <c r="X1521">
        <v>-37.008299999999998</v>
      </c>
      <c r="Y1521">
        <v>174.87049999999999</v>
      </c>
    </row>
    <row r="1522" spans="1:25" x14ac:dyDescent="0.3">
      <c r="A1522" t="s">
        <v>21</v>
      </c>
      <c r="B1522" t="s">
        <v>4397</v>
      </c>
      <c r="C1522" t="s">
        <v>270</v>
      </c>
      <c r="D1522" t="s">
        <v>49</v>
      </c>
      <c r="E1522">
        <v>1937</v>
      </c>
      <c r="M1522" t="s">
        <v>631</v>
      </c>
      <c r="N1522" t="s">
        <v>276</v>
      </c>
      <c r="P1522" t="s">
        <v>260</v>
      </c>
      <c r="Q1522" t="s">
        <v>260</v>
      </c>
      <c r="R1522" t="s">
        <v>261</v>
      </c>
      <c r="S1522" t="s">
        <v>21</v>
      </c>
      <c r="T1522">
        <v>100</v>
      </c>
      <c r="W1522" t="s">
        <v>262</v>
      </c>
    </row>
    <row r="1523" spans="1:25" x14ac:dyDescent="0.3">
      <c r="A1523" t="s">
        <v>21</v>
      </c>
      <c r="B1523" t="s">
        <v>4398</v>
      </c>
      <c r="C1523" t="s">
        <v>270</v>
      </c>
      <c r="D1523" t="s">
        <v>4399</v>
      </c>
      <c r="E1523">
        <v>1936</v>
      </c>
      <c r="G1523" t="s">
        <v>4400</v>
      </c>
      <c r="M1523" t="s">
        <v>297</v>
      </c>
      <c r="N1523" t="s">
        <v>276</v>
      </c>
      <c r="P1523" t="s">
        <v>260</v>
      </c>
      <c r="Q1523" t="s">
        <v>260</v>
      </c>
      <c r="R1523" t="s">
        <v>261</v>
      </c>
      <c r="S1523" t="s">
        <v>21</v>
      </c>
      <c r="T1523">
        <v>100</v>
      </c>
      <c r="W1523" t="s">
        <v>262</v>
      </c>
    </row>
    <row r="1524" spans="1:25" x14ac:dyDescent="0.3">
      <c r="A1524" t="s">
        <v>21</v>
      </c>
      <c r="B1524" t="s">
        <v>4401</v>
      </c>
      <c r="C1524" t="s">
        <v>270</v>
      </c>
      <c r="D1524" t="s">
        <v>4402</v>
      </c>
      <c r="E1524">
        <v>1028</v>
      </c>
      <c r="M1524" t="s">
        <v>394</v>
      </c>
      <c r="N1524" t="s">
        <v>276</v>
      </c>
      <c r="P1524" t="s">
        <v>260</v>
      </c>
      <c r="Q1524" t="s">
        <v>260</v>
      </c>
      <c r="R1524" t="s">
        <v>293</v>
      </c>
      <c r="S1524" t="s">
        <v>21</v>
      </c>
      <c r="T1524">
        <v>100</v>
      </c>
      <c r="W1524" t="s">
        <v>262</v>
      </c>
    </row>
    <row r="1525" spans="1:25" x14ac:dyDescent="0.3">
      <c r="A1525" t="s">
        <v>21</v>
      </c>
      <c r="B1525" t="s">
        <v>4403</v>
      </c>
      <c r="C1525" t="s">
        <v>270</v>
      </c>
      <c r="D1525" t="s">
        <v>4404</v>
      </c>
      <c r="E1525">
        <v>2000008050</v>
      </c>
      <c r="H1525" t="s">
        <v>2433</v>
      </c>
      <c r="I1525" t="s">
        <v>1343</v>
      </c>
      <c r="J1525" t="s">
        <v>297</v>
      </c>
      <c r="K1525">
        <v>2104</v>
      </c>
      <c r="L1525" t="s">
        <v>276</v>
      </c>
      <c r="M1525" t="s">
        <v>631</v>
      </c>
      <c r="N1525" t="s">
        <v>276</v>
      </c>
      <c r="P1525" t="s">
        <v>260</v>
      </c>
      <c r="Q1525" t="s">
        <v>260</v>
      </c>
      <c r="R1525" t="s">
        <v>268</v>
      </c>
      <c r="S1525" t="s">
        <v>21</v>
      </c>
      <c r="T1525">
        <v>100</v>
      </c>
      <c r="V1525" s="9">
        <v>45291</v>
      </c>
      <c r="W1525" t="s">
        <v>262</v>
      </c>
      <c r="X1525">
        <v>-37.008299999999998</v>
      </c>
      <c r="Y1525">
        <v>174.87049999999999</v>
      </c>
    </row>
    <row r="1526" spans="1:25" x14ac:dyDescent="0.3">
      <c r="A1526" t="s">
        <v>21</v>
      </c>
      <c r="B1526" t="s">
        <v>4405</v>
      </c>
      <c r="C1526" t="s">
        <v>270</v>
      </c>
      <c r="D1526" t="s">
        <v>4406</v>
      </c>
      <c r="E1526">
        <v>2000008005</v>
      </c>
      <c r="H1526" t="s">
        <v>2433</v>
      </c>
      <c r="I1526" t="s">
        <v>1343</v>
      </c>
      <c r="J1526" t="s">
        <v>297</v>
      </c>
      <c r="K1526">
        <v>2104</v>
      </c>
      <c r="L1526" t="s">
        <v>276</v>
      </c>
      <c r="M1526" t="s">
        <v>631</v>
      </c>
      <c r="N1526" t="s">
        <v>276</v>
      </c>
      <c r="P1526" t="s">
        <v>260</v>
      </c>
      <c r="Q1526" t="s">
        <v>260</v>
      </c>
      <c r="R1526" t="s">
        <v>268</v>
      </c>
      <c r="S1526" t="s">
        <v>21</v>
      </c>
      <c r="T1526">
        <v>100</v>
      </c>
      <c r="V1526" s="9">
        <v>45291</v>
      </c>
      <c r="W1526" t="s">
        <v>262</v>
      </c>
      <c r="X1526">
        <v>-37.008299999999998</v>
      </c>
      <c r="Y1526">
        <v>174.87049999999999</v>
      </c>
    </row>
    <row r="1527" spans="1:25" x14ac:dyDescent="0.3">
      <c r="A1527" t="s">
        <v>21</v>
      </c>
      <c r="B1527" t="s">
        <v>4407</v>
      </c>
      <c r="C1527" t="s">
        <v>270</v>
      </c>
      <c r="D1527" t="s">
        <v>4408</v>
      </c>
      <c r="E1527">
        <v>2000008051</v>
      </c>
      <c r="H1527" t="s">
        <v>2433</v>
      </c>
      <c r="I1527" t="s">
        <v>1343</v>
      </c>
      <c r="J1527" t="s">
        <v>297</v>
      </c>
      <c r="K1527">
        <v>2104</v>
      </c>
      <c r="L1527" t="s">
        <v>276</v>
      </c>
      <c r="M1527" t="s">
        <v>631</v>
      </c>
      <c r="N1527" t="s">
        <v>276</v>
      </c>
      <c r="P1527" t="s">
        <v>260</v>
      </c>
      <c r="Q1527" t="s">
        <v>260</v>
      </c>
      <c r="R1527" t="s">
        <v>268</v>
      </c>
      <c r="S1527" t="s">
        <v>21</v>
      </c>
      <c r="T1527">
        <v>100</v>
      </c>
      <c r="V1527" s="9">
        <v>45291</v>
      </c>
      <c r="W1527" t="s">
        <v>262</v>
      </c>
      <c r="X1527">
        <v>-37.008299999999998</v>
      </c>
      <c r="Y1527">
        <v>174.87049999999999</v>
      </c>
    </row>
    <row r="1528" spans="1:25" x14ac:dyDescent="0.3">
      <c r="A1528" t="s">
        <v>21</v>
      </c>
      <c r="B1528" t="s">
        <v>4409</v>
      </c>
      <c r="C1528" t="s">
        <v>278</v>
      </c>
      <c r="D1528" t="s">
        <v>4410</v>
      </c>
      <c r="E1528">
        <v>2000008049</v>
      </c>
      <c r="M1528" t="s">
        <v>297</v>
      </c>
      <c r="N1528" t="s">
        <v>276</v>
      </c>
      <c r="P1528" t="s">
        <v>260</v>
      </c>
      <c r="Q1528" t="s">
        <v>260</v>
      </c>
      <c r="R1528" t="s">
        <v>268</v>
      </c>
      <c r="S1528" t="s">
        <v>21</v>
      </c>
      <c r="T1528">
        <v>100</v>
      </c>
      <c r="V1528" s="9">
        <v>45291</v>
      </c>
      <c r="W1528" t="s">
        <v>262</v>
      </c>
    </row>
    <row r="1529" spans="1:25" x14ac:dyDescent="0.3">
      <c r="A1529" t="s">
        <v>21</v>
      </c>
      <c r="B1529" t="s">
        <v>4411</v>
      </c>
      <c r="C1529" t="s">
        <v>270</v>
      </c>
      <c r="D1529" t="s">
        <v>4412</v>
      </c>
      <c r="E1529">
        <v>2000004855</v>
      </c>
      <c r="H1529" t="s">
        <v>2433</v>
      </c>
      <c r="I1529" t="s">
        <v>1343</v>
      </c>
      <c r="J1529" t="s">
        <v>297</v>
      </c>
      <c r="K1529">
        <v>2104</v>
      </c>
      <c r="L1529" t="s">
        <v>276</v>
      </c>
      <c r="M1529" t="s">
        <v>631</v>
      </c>
      <c r="N1529" t="s">
        <v>276</v>
      </c>
      <c r="P1529" t="s">
        <v>260</v>
      </c>
      <c r="Q1529" t="s">
        <v>260</v>
      </c>
      <c r="R1529" t="s">
        <v>268</v>
      </c>
      <c r="S1529" t="s">
        <v>21</v>
      </c>
      <c r="T1529">
        <v>100</v>
      </c>
      <c r="W1529" t="s">
        <v>262</v>
      </c>
      <c r="X1529">
        <v>-37.008299999999998</v>
      </c>
      <c r="Y1529">
        <v>174.87049999999999</v>
      </c>
    </row>
    <row r="1530" spans="1:25" x14ac:dyDescent="0.3">
      <c r="A1530" t="s">
        <v>21</v>
      </c>
      <c r="B1530" t="s">
        <v>4413</v>
      </c>
      <c r="C1530" t="s">
        <v>270</v>
      </c>
      <c r="D1530" t="s">
        <v>4414</v>
      </c>
      <c r="E1530">
        <v>2000004482</v>
      </c>
      <c r="H1530" t="s">
        <v>2433</v>
      </c>
      <c r="I1530" t="s">
        <v>1343</v>
      </c>
      <c r="J1530" t="s">
        <v>297</v>
      </c>
      <c r="K1530">
        <v>2104</v>
      </c>
      <c r="L1530" t="s">
        <v>276</v>
      </c>
      <c r="M1530" t="s">
        <v>631</v>
      </c>
      <c r="N1530" t="s">
        <v>276</v>
      </c>
      <c r="P1530" t="s">
        <v>260</v>
      </c>
      <c r="Q1530" t="s">
        <v>260</v>
      </c>
      <c r="R1530" t="s">
        <v>268</v>
      </c>
      <c r="S1530" t="s">
        <v>21</v>
      </c>
      <c r="T1530">
        <v>100</v>
      </c>
      <c r="W1530" t="s">
        <v>262</v>
      </c>
      <c r="X1530">
        <v>-37.008299999999998</v>
      </c>
      <c r="Y1530">
        <v>174.87049999999999</v>
      </c>
    </row>
    <row r="1531" spans="1:25" x14ac:dyDescent="0.3">
      <c r="A1531" t="s">
        <v>21</v>
      </c>
      <c r="B1531" t="s">
        <v>4415</v>
      </c>
      <c r="C1531" t="s">
        <v>270</v>
      </c>
      <c r="D1531" t="s">
        <v>1148</v>
      </c>
      <c r="E1531">
        <v>2000008009</v>
      </c>
      <c r="H1531" t="s">
        <v>2433</v>
      </c>
      <c r="I1531" t="s">
        <v>1343</v>
      </c>
      <c r="J1531" t="s">
        <v>297</v>
      </c>
      <c r="K1531">
        <v>2104</v>
      </c>
      <c r="L1531" t="s">
        <v>276</v>
      </c>
      <c r="M1531" t="s">
        <v>631</v>
      </c>
      <c r="N1531" t="s">
        <v>276</v>
      </c>
      <c r="P1531" t="s">
        <v>260</v>
      </c>
      <c r="Q1531" t="s">
        <v>260</v>
      </c>
      <c r="R1531" t="s">
        <v>268</v>
      </c>
      <c r="S1531" t="s">
        <v>21</v>
      </c>
      <c r="T1531">
        <v>100</v>
      </c>
      <c r="V1531" s="9">
        <v>45291</v>
      </c>
      <c r="W1531" t="s">
        <v>262</v>
      </c>
      <c r="X1531">
        <v>-37.008299999999998</v>
      </c>
      <c r="Y1531">
        <v>174.87049999999999</v>
      </c>
    </row>
    <row r="1532" spans="1:25" x14ac:dyDescent="0.3">
      <c r="A1532" t="s">
        <v>21</v>
      </c>
      <c r="B1532" t="s">
        <v>4416</v>
      </c>
      <c r="C1532" t="s">
        <v>270</v>
      </c>
      <c r="D1532" t="s">
        <v>4417</v>
      </c>
      <c r="E1532">
        <v>2000008055</v>
      </c>
      <c r="H1532" t="s">
        <v>2433</v>
      </c>
      <c r="I1532" t="s">
        <v>1343</v>
      </c>
      <c r="J1532" t="s">
        <v>297</v>
      </c>
      <c r="K1532">
        <v>2104</v>
      </c>
      <c r="L1532" t="s">
        <v>276</v>
      </c>
      <c r="M1532" t="s">
        <v>631</v>
      </c>
      <c r="N1532" t="s">
        <v>276</v>
      </c>
      <c r="P1532" t="s">
        <v>260</v>
      </c>
      <c r="Q1532" t="s">
        <v>260</v>
      </c>
      <c r="R1532" t="s">
        <v>268</v>
      </c>
      <c r="S1532" t="s">
        <v>21</v>
      </c>
      <c r="T1532">
        <v>100</v>
      </c>
      <c r="V1532" s="9">
        <v>45291</v>
      </c>
      <c r="W1532" t="s">
        <v>262</v>
      </c>
      <c r="X1532">
        <v>-37.008299999999998</v>
      </c>
      <c r="Y1532">
        <v>174.87049999999999</v>
      </c>
    </row>
    <row r="1533" spans="1:25" x14ac:dyDescent="0.3">
      <c r="A1533" t="s">
        <v>21</v>
      </c>
      <c r="B1533" t="s">
        <v>4418</v>
      </c>
      <c r="C1533" t="s">
        <v>270</v>
      </c>
      <c r="D1533" t="s">
        <v>4419</v>
      </c>
      <c r="E1533">
        <v>2000004978</v>
      </c>
      <c r="H1533" t="s">
        <v>2433</v>
      </c>
      <c r="I1533" t="s">
        <v>1343</v>
      </c>
      <c r="J1533" t="s">
        <v>297</v>
      </c>
      <c r="K1533">
        <v>2104</v>
      </c>
      <c r="L1533" t="s">
        <v>276</v>
      </c>
      <c r="M1533" t="s">
        <v>631</v>
      </c>
      <c r="N1533" t="s">
        <v>276</v>
      </c>
      <c r="P1533" t="s">
        <v>260</v>
      </c>
      <c r="Q1533" t="s">
        <v>260</v>
      </c>
      <c r="R1533" t="s">
        <v>268</v>
      </c>
      <c r="S1533" t="s">
        <v>21</v>
      </c>
      <c r="T1533">
        <v>100</v>
      </c>
      <c r="W1533" t="s">
        <v>262</v>
      </c>
      <c r="X1533">
        <v>-37.008299999999998</v>
      </c>
      <c r="Y1533">
        <v>174.87049999999999</v>
      </c>
    </row>
    <row r="1534" spans="1:25" x14ac:dyDescent="0.3">
      <c r="A1534" t="s">
        <v>21</v>
      </c>
      <c r="B1534" t="s">
        <v>4420</v>
      </c>
      <c r="C1534" t="s">
        <v>270</v>
      </c>
      <c r="D1534" t="s">
        <v>4421</v>
      </c>
      <c r="E1534">
        <v>2000004979</v>
      </c>
      <c r="H1534" t="s">
        <v>4422</v>
      </c>
      <c r="I1534" t="s">
        <v>4423</v>
      </c>
      <c r="J1534" t="s">
        <v>390</v>
      </c>
      <c r="K1534">
        <v>8083</v>
      </c>
      <c r="L1534" t="s">
        <v>276</v>
      </c>
      <c r="M1534" t="s">
        <v>390</v>
      </c>
      <c r="N1534" t="s">
        <v>276</v>
      </c>
      <c r="P1534" t="s">
        <v>260</v>
      </c>
      <c r="Q1534" t="s">
        <v>260</v>
      </c>
      <c r="R1534" t="s">
        <v>268</v>
      </c>
      <c r="S1534" t="s">
        <v>21</v>
      </c>
      <c r="T1534">
        <v>100</v>
      </c>
      <c r="W1534" t="s">
        <v>262</v>
      </c>
      <c r="X1534">
        <v>-43.493699999999997</v>
      </c>
      <c r="Y1534">
        <v>172.7055</v>
      </c>
    </row>
    <row r="1535" spans="1:25" x14ac:dyDescent="0.3">
      <c r="A1535" t="s">
        <v>21</v>
      </c>
      <c r="B1535" t="s">
        <v>4424</v>
      </c>
      <c r="C1535" t="s">
        <v>270</v>
      </c>
      <c r="D1535" t="s">
        <v>4425</v>
      </c>
      <c r="E1535">
        <v>2000004981</v>
      </c>
      <c r="H1535" t="s">
        <v>2433</v>
      </c>
      <c r="I1535" t="s">
        <v>1343</v>
      </c>
      <c r="J1535" t="s">
        <v>297</v>
      </c>
      <c r="K1535">
        <v>2104</v>
      </c>
      <c r="L1535" t="s">
        <v>276</v>
      </c>
      <c r="M1535" t="s">
        <v>631</v>
      </c>
      <c r="N1535" t="s">
        <v>276</v>
      </c>
      <c r="P1535" t="s">
        <v>260</v>
      </c>
      <c r="Q1535" t="s">
        <v>260</v>
      </c>
      <c r="R1535" t="s">
        <v>268</v>
      </c>
      <c r="S1535" t="s">
        <v>21</v>
      </c>
      <c r="T1535">
        <v>100</v>
      </c>
      <c r="W1535" t="s">
        <v>262</v>
      </c>
      <c r="X1535">
        <v>-37.008299999999998</v>
      </c>
      <c r="Y1535">
        <v>174.87049999999999</v>
      </c>
    </row>
    <row r="1536" spans="1:25" x14ac:dyDescent="0.3">
      <c r="A1536" t="s">
        <v>21</v>
      </c>
      <c r="B1536" t="s">
        <v>4426</v>
      </c>
      <c r="C1536" t="s">
        <v>270</v>
      </c>
      <c r="D1536" t="s">
        <v>4427</v>
      </c>
      <c r="E1536">
        <v>2000008053</v>
      </c>
      <c r="H1536" t="s">
        <v>2433</v>
      </c>
      <c r="I1536" t="s">
        <v>1343</v>
      </c>
      <c r="J1536" t="s">
        <v>297</v>
      </c>
      <c r="K1536">
        <v>2104</v>
      </c>
      <c r="L1536" t="s">
        <v>276</v>
      </c>
      <c r="M1536" t="s">
        <v>631</v>
      </c>
      <c r="N1536" t="s">
        <v>276</v>
      </c>
      <c r="P1536" t="s">
        <v>260</v>
      </c>
      <c r="Q1536" t="s">
        <v>260</v>
      </c>
      <c r="R1536" t="s">
        <v>268</v>
      </c>
      <c r="S1536" t="s">
        <v>21</v>
      </c>
      <c r="T1536">
        <v>100</v>
      </c>
      <c r="V1536" s="9">
        <v>45291</v>
      </c>
      <c r="W1536" t="s">
        <v>262</v>
      </c>
      <c r="X1536">
        <v>-37.008299999999998</v>
      </c>
      <c r="Y1536">
        <v>174.87049999999999</v>
      </c>
    </row>
    <row r="1537" spans="1:26" x14ac:dyDescent="0.3">
      <c r="A1537" t="s">
        <v>21</v>
      </c>
      <c r="B1537" t="s">
        <v>4428</v>
      </c>
      <c r="C1537" t="s">
        <v>270</v>
      </c>
      <c r="D1537" t="s">
        <v>4429</v>
      </c>
      <c r="E1537">
        <v>2000008052</v>
      </c>
      <c r="M1537" t="s">
        <v>297</v>
      </c>
      <c r="N1537" t="s">
        <v>276</v>
      </c>
      <c r="P1537" t="s">
        <v>260</v>
      </c>
      <c r="Q1537" t="s">
        <v>260</v>
      </c>
      <c r="R1537" t="s">
        <v>268</v>
      </c>
      <c r="S1537" t="s">
        <v>21</v>
      </c>
      <c r="T1537">
        <v>100</v>
      </c>
      <c r="V1537" s="9">
        <v>45291</v>
      </c>
      <c r="W1537" t="s">
        <v>262</v>
      </c>
    </row>
    <row r="1538" spans="1:26" x14ac:dyDescent="0.3">
      <c r="A1538" t="s">
        <v>21</v>
      </c>
      <c r="B1538" t="s">
        <v>4430</v>
      </c>
      <c r="C1538" t="s">
        <v>253</v>
      </c>
      <c r="D1538" t="s">
        <v>4431</v>
      </c>
      <c r="E1538">
        <v>300210</v>
      </c>
      <c r="G1538" t="s">
        <v>4432</v>
      </c>
      <c r="M1538" t="s">
        <v>4433</v>
      </c>
      <c r="N1538" t="s">
        <v>4434</v>
      </c>
      <c r="P1538" t="s">
        <v>260</v>
      </c>
      <c r="Q1538" t="s">
        <v>260</v>
      </c>
      <c r="R1538" t="s">
        <v>261</v>
      </c>
      <c r="S1538" t="s">
        <v>21</v>
      </c>
      <c r="T1538">
        <v>100</v>
      </c>
      <c r="W1538" t="s">
        <v>262</v>
      </c>
    </row>
    <row r="1539" spans="1:26" x14ac:dyDescent="0.3">
      <c r="A1539" t="s">
        <v>21</v>
      </c>
      <c r="B1539" t="s">
        <v>4435</v>
      </c>
      <c r="C1539" t="s">
        <v>253</v>
      </c>
      <c r="D1539" t="s">
        <v>4436</v>
      </c>
      <c r="E1539">
        <v>4040</v>
      </c>
      <c r="M1539" t="s">
        <v>4437</v>
      </c>
      <c r="N1539" t="s">
        <v>4438</v>
      </c>
      <c r="P1539" t="s">
        <v>260</v>
      </c>
      <c r="Q1539" t="s">
        <v>260</v>
      </c>
      <c r="R1539" t="s">
        <v>261</v>
      </c>
      <c r="S1539" t="s">
        <v>21</v>
      </c>
      <c r="T1539">
        <v>100</v>
      </c>
      <c r="W1539" t="s">
        <v>262</v>
      </c>
    </row>
    <row r="1540" spans="1:26" x14ac:dyDescent="0.3">
      <c r="A1540" t="s">
        <v>21</v>
      </c>
      <c r="B1540" t="s">
        <v>4439</v>
      </c>
      <c r="C1540" t="s">
        <v>270</v>
      </c>
      <c r="D1540" t="s">
        <v>4440</v>
      </c>
      <c r="E1540">
        <v>90</v>
      </c>
      <c r="G1540" t="s">
        <v>4441</v>
      </c>
      <c r="H1540" t="s">
        <v>4442</v>
      </c>
      <c r="J1540" t="s">
        <v>4443</v>
      </c>
      <c r="L1540" t="s">
        <v>4443</v>
      </c>
      <c r="M1540" t="s">
        <v>4444</v>
      </c>
      <c r="N1540" t="s">
        <v>4443</v>
      </c>
      <c r="P1540" t="s">
        <v>260</v>
      </c>
      <c r="Q1540" t="s">
        <v>260</v>
      </c>
      <c r="R1540" t="s">
        <v>261</v>
      </c>
      <c r="S1540" t="s">
        <v>21</v>
      </c>
      <c r="T1540">
        <v>100</v>
      </c>
      <c r="W1540" t="s">
        <v>262</v>
      </c>
      <c r="X1540">
        <v>-17.787500000000001</v>
      </c>
      <c r="Y1540">
        <v>168.45140000000001</v>
      </c>
      <c r="Z1540">
        <v>310</v>
      </c>
    </row>
    <row r="1541" spans="1:26" x14ac:dyDescent="0.3">
      <c r="A1541" t="s">
        <v>21</v>
      </c>
      <c r="B1541" t="s">
        <v>4445</v>
      </c>
      <c r="C1541" t="s">
        <v>1111</v>
      </c>
      <c r="D1541" t="s">
        <v>4446</v>
      </c>
      <c r="E1541">
        <v>552415</v>
      </c>
      <c r="G1541" t="s">
        <v>4447</v>
      </c>
      <c r="M1541" t="s">
        <v>399</v>
      </c>
      <c r="N1541" t="s">
        <v>276</v>
      </c>
      <c r="P1541" t="s">
        <v>260</v>
      </c>
      <c r="Q1541" t="s">
        <v>260</v>
      </c>
      <c r="R1541" t="s">
        <v>261</v>
      </c>
      <c r="S1541" t="s">
        <v>21</v>
      </c>
      <c r="T1541">
        <v>100</v>
      </c>
      <c r="W1541" t="s">
        <v>262</v>
      </c>
    </row>
    <row r="1542" spans="1:26" x14ac:dyDescent="0.3">
      <c r="A1542" t="s">
        <v>21</v>
      </c>
      <c r="B1542" t="s">
        <v>4448</v>
      </c>
      <c r="C1542" t="s">
        <v>270</v>
      </c>
      <c r="D1542" t="s">
        <v>4449</v>
      </c>
      <c r="E1542">
        <v>55143</v>
      </c>
      <c r="M1542" t="s">
        <v>631</v>
      </c>
      <c r="N1542" t="s">
        <v>276</v>
      </c>
      <c r="P1542" t="s">
        <v>260</v>
      </c>
      <c r="Q1542" t="s">
        <v>260</v>
      </c>
      <c r="R1542" t="s">
        <v>261</v>
      </c>
      <c r="S1542" t="s">
        <v>21</v>
      </c>
      <c r="T1542">
        <v>100</v>
      </c>
      <c r="W1542" t="s">
        <v>262</v>
      </c>
    </row>
    <row r="1543" spans="1:26" x14ac:dyDescent="0.3">
      <c r="A1543" t="s">
        <v>21</v>
      </c>
      <c r="B1543" t="s">
        <v>4450</v>
      </c>
      <c r="C1543" t="s">
        <v>270</v>
      </c>
      <c r="D1543" t="s">
        <v>4451</v>
      </c>
      <c r="E1543">
        <v>556224</v>
      </c>
      <c r="F1543">
        <v>556224</v>
      </c>
      <c r="M1543" t="s">
        <v>275</v>
      </c>
      <c r="N1543" t="s">
        <v>276</v>
      </c>
      <c r="P1543" t="s">
        <v>260</v>
      </c>
      <c r="Q1543" t="s">
        <v>260</v>
      </c>
      <c r="R1543" t="s">
        <v>261</v>
      </c>
      <c r="S1543" t="s">
        <v>21</v>
      </c>
      <c r="T1543">
        <v>100</v>
      </c>
      <c r="W1543" t="s">
        <v>262</v>
      </c>
    </row>
    <row r="1544" spans="1:26" x14ac:dyDescent="0.3">
      <c r="A1544" t="s">
        <v>21</v>
      </c>
      <c r="B1544" t="s">
        <v>4452</v>
      </c>
      <c r="C1544" t="s">
        <v>270</v>
      </c>
      <c r="D1544" t="s">
        <v>4453</v>
      </c>
      <c r="E1544">
        <v>55383</v>
      </c>
      <c r="H1544" t="s">
        <v>2433</v>
      </c>
      <c r="I1544" t="s">
        <v>1343</v>
      </c>
      <c r="J1544" t="s">
        <v>297</v>
      </c>
      <c r="K1544">
        <v>2104</v>
      </c>
      <c r="L1544" t="s">
        <v>276</v>
      </c>
      <c r="M1544" t="s">
        <v>631</v>
      </c>
      <c r="N1544" t="s">
        <v>276</v>
      </c>
      <c r="P1544" t="s">
        <v>260</v>
      </c>
      <c r="Q1544" t="s">
        <v>260</v>
      </c>
      <c r="R1544" t="s">
        <v>261</v>
      </c>
      <c r="S1544" t="s">
        <v>21</v>
      </c>
      <c r="T1544">
        <v>100</v>
      </c>
      <c r="W1544" t="s">
        <v>262</v>
      </c>
      <c r="X1544">
        <v>-37.008299999999998</v>
      </c>
      <c r="Y1544">
        <v>174.87049999999999</v>
      </c>
    </row>
    <row r="1545" spans="1:26" x14ac:dyDescent="0.3">
      <c r="A1545" t="s">
        <v>21</v>
      </c>
      <c r="B1545" t="s">
        <v>4454</v>
      </c>
      <c r="C1545" t="s">
        <v>270</v>
      </c>
      <c r="D1545" t="s">
        <v>4455</v>
      </c>
      <c r="E1545">
        <v>556227</v>
      </c>
      <c r="M1545" t="s">
        <v>631</v>
      </c>
      <c r="N1545" t="s">
        <v>276</v>
      </c>
      <c r="P1545" t="s">
        <v>260</v>
      </c>
      <c r="Q1545" t="s">
        <v>260</v>
      </c>
      <c r="R1545" t="s">
        <v>261</v>
      </c>
      <c r="S1545" t="s">
        <v>21</v>
      </c>
      <c r="T1545">
        <v>100</v>
      </c>
      <c r="W1545" t="s">
        <v>262</v>
      </c>
    </row>
    <row r="1546" spans="1:26" x14ac:dyDescent="0.3">
      <c r="A1546" t="s">
        <v>21</v>
      </c>
      <c r="B1546" t="s">
        <v>4456</v>
      </c>
      <c r="C1546" t="s">
        <v>270</v>
      </c>
      <c r="D1546" t="s">
        <v>4457</v>
      </c>
      <c r="E1546">
        <v>556260</v>
      </c>
      <c r="H1546" t="s">
        <v>4458</v>
      </c>
      <c r="I1546" t="s">
        <v>781</v>
      </c>
      <c r="J1546" t="s">
        <v>385</v>
      </c>
      <c r="K1546">
        <v>9672</v>
      </c>
      <c r="L1546" t="s">
        <v>276</v>
      </c>
      <c r="M1546" t="s">
        <v>781</v>
      </c>
      <c r="N1546" t="s">
        <v>276</v>
      </c>
      <c r="P1546" t="s">
        <v>260</v>
      </c>
      <c r="Q1546" t="s">
        <v>260</v>
      </c>
      <c r="R1546" t="s">
        <v>261</v>
      </c>
      <c r="S1546" t="s">
        <v>21</v>
      </c>
      <c r="T1546">
        <v>100</v>
      </c>
      <c r="W1546" t="s">
        <v>262</v>
      </c>
      <c r="X1546">
        <v>-45.4146</v>
      </c>
      <c r="Y1546">
        <v>167.81399999999999</v>
      </c>
    </row>
    <row r="1547" spans="1:26" x14ac:dyDescent="0.3">
      <c r="A1547" t="s">
        <v>21</v>
      </c>
      <c r="B1547" t="s">
        <v>4459</v>
      </c>
      <c r="C1547" t="s">
        <v>270</v>
      </c>
      <c r="D1547" t="s">
        <v>4460</v>
      </c>
      <c r="E1547">
        <v>55404</v>
      </c>
      <c r="H1547" t="s">
        <v>2433</v>
      </c>
      <c r="I1547" t="s">
        <v>1343</v>
      </c>
      <c r="J1547" t="s">
        <v>297</v>
      </c>
      <c r="K1547">
        <v>2104</v>
      </c>
      <c r="L1547" t="s">
        <v>276</v>
      </c>
      <c r="M1547" t="s">
        <v>631</v>
      </c>
      <c r="N1547" t="s">
        <v>276</v>
      </c>
      <c r="P1547" t="s">
        <v>260</v>
      </c>
      <c r="Q1547" t="s">
        <v>260</v>
      </c>
      <c r="R1547" t="s">
        <v>261</v>
      </c>
      <c r="S1547" t="s">
        <v>21</v>
      </c>
      <c r="T1547">
        <v>100</v>
      </c>
      <c r="W1547" t="s">
        <v>262</v>
      </c>
      <c r="X1547">
        <v>-37.008299999999998</v>
      </c>
      <c r="Y1547">
        <v>174.87049999999999</v>
      </c>
    </row>
    <row r="1548" spans="1:26" x14ac:dyDescent="0.3">
      <c r="A1548" t="s">
        <v>21</v>
      </c>
      <c r="B1548" t="s">
        <v>4461</v>
      </c>
      <c r="C1548" t="s">
        <v>270</v>
      </c>
      <c r="D1548" t="s">
        <v>4462</v>
      </c>
      <c r="E1548">
        <v>551983</v>
      </c>
      <c r="F1548">
        <v>551983</v>
      </c>
      <c r="M1548" t="s">
        <v>399</v>
      </c>
      <c r="N1548" t="s">
        <v>276</v>
      </c>
      <c r="P1548" t="s">
        <v>260</v>
      </c>
      <c r="Q1548" t="s">
        <v>260</v>
      </c>
      <c r="R1548" t="s">
        <v>261</v>
      </c>
      <c r="S1548" t="s">
        <v>21</v>
      </c>
      <c r="T1548">
        <v>100</v>
      </c>
      <c r="W1548" t="s">
        <v>262</v>
      </c>
    </row>
    <row r="1549" spans="1:26" x14ac:dyDescent="0.3">
      <c r="A1549" t="s">
        <v>21</v>
      </c>
      <c r="B1549" t="s">
        <v>4463</v>
      </c>
      <c r="C1549" t="s">
        <v>270</v>
      </c>
      <c r="D1549" t="s">
        <v>4464</v>
      </c>
      <c r="E1549">
        <v>552038</v>
      </c>
      <c r="M1549" t="s">
        <v>631</v>
      </c>
      <c r="N1549" t="s">
        <v>276</v>
      </c>
      <c r="P1549" t="s">
        <v>260</v>
      </c>
      <c r="Q1549" t="s">
        <v>260</v>
      </c>
      <c r="R1549" t="s">
        <v>261</v>
      </c>
      <c r="S1549" t="s">
        <v>21</v>
      </c>
      <c r="T1549">
        <v>100</v>
      </c>
      <c r="W1549" t="s">
        <v>262</v>
      </c>
    </row>
    <row r="1550" spans="1:26" x14ac:dyDescent="0.3">
      <c r="A1550" t="s">
        <v>21</v>
      </c>
      <c r="B1550" t="s">
        <v>4465</v>
      </c>
      <c r="C1550" t="s">
        <v>264</v>
      </c>
      <c r="D1550" t="s">
        <v>4466</v>
      </c>
      <c r="E1550">
        <v>558020</v>
      </c>
      <c r="G1550" t="s">
        <v>4467</v>
      </c>
      <c r="M1550" t="s">
        <v>685</v>
      </c>
      <c r="N1550" t="s">
        <v>276</v>
      </c>
      <c r="P1550" t="s">
        <v>260</v>
      </c>
      <c r="Q1550" t="s">
        <v>260</v>
      </c>
      <c r="R1550" t="s">
        <v>261</v>
      </c>
      <c r="S1550" t="s">
        <v>21</v>
      </c>
      <c r="T1550">
        <v>100</v>
      </c>
      <c r="W1550" t="s">
        <v>262</v>
      </c>
    </row>
    <row r="1551" spans="1:26" x14ac:dyDescent="0.3">
      <c r="A1551" t="s">
        <v>21</v>
      </c>
      <c r="B1551" t="s">
        <v>4468</v>
      </c>
      <c r="C1551" t="s">
        <v>270</v>
      </c>
      <c r="D1551" t="s">
        <v>4469</v>
      </c>
      <c r="E1551">
        <v>91335</v>
      </c>
      <c r="H1551" t="s">
        <v>4470</v>
      </c>
      <c r="I1551" t="s">
        <v>274</v>
      </c>
      <c r="J1551" t="s">
        <v>274</v>
      </c>
      <c r="K1551">
        <v>9400</v>
      </c>
      <c r="L1551" t="s">
        <v>276</v>
      </c>
      <c r="M1551" t="s">
        <v>274</v>
      </c>
      <c r="N1551" t="s">
        <v>276</v>
      </c>
      <c r="P1551" t="s">
        <v>260</v>
      </c>
      <c r="Q1551" t="s">
        <v>260</v>
      </c>
      <c r="R1551" t="s">
        <v>293</v>
      </c>
      <c r="S1551" t="s">
        <v>21</v>
      </c>
      <c r="T1551">
        <v>100</v>
      </c>
      <c r="W1551" t="s">
        <v>262</v>
      </c>
      <c r="X1551">
        <v>-45.097700000000003</v>
      </c>
      <c r="Y1551">
        <v>170.9562</v>
      </c>
    </row>
    <row r="1552" spans="1:26" x14ac:dyDescent="0.3">
      <c r="A1552" t="s">
        <v>21</v>
      </c>
      <c r="B1552" t="s">
        <v>4471</v>
      </c>
      <c r="C1552" t="s">
        <v>270</v>
      </c>
      <c r="D1552" t="s">
        <v>722</v>
      </c>
      <c r="E1552">
        <v>55684</v>
      </c>
      <c r="H1552" t="s">
        <v>4472</v>
      </c>
      <c r="I1552" t="s">
        <v>4473</v>
      </c>
      <c r="J1552" t="s">
        <v>274</v>
      </c>
      <c r="K1552">
        <v>9494</v>
      </c>
      <c r="L1552" t="s">
        <v>276</v>
      </c>
      <c r="M1552" t="s">
        <v>274</v>
      </c>
      <c r="N1552" t="s">
        <v>276</v>
      </c>
      <c r="P1552" t="s">
        <v>260</v>
      </c>
      <c r="Q1552" t="s">
        <v>260</v>
      </c>
      <c r="R1552" t="s">
        <v>261</v>
      </c>
      <c r="S1552" t="s">
        <v>21</v>
      </c>
      <c r="T1552">
        <v>100</v>
      </c>
      <c r="W1552" t="s">
        <v>262</v>
      </c>
      <c r="X1552">
        <v>-45.065399999999997</v>
      </c>
      <c r="Y1552">
        <v>170.99639999999999</v>
      </c>
    </row>
    <row r="1553" spans="1:25" x14ac:dyDescent="0.3">
      <c r="A1553" t="s">
        <v>21</v>
      </c>
      <c r="B1553" t="s">
        <v>4474</v>
      </c>
      <c r="C1553" t="s">
        <v>270</v>
      </c>
      <c r="D1553" t="s">
        <v>4475</v>
      </c>
      <c r="E1553">
        <v>312035</v>
      </c>
      <c r="F1553">
        <v>312035</v>
      </c>
      <c r="M1553" t="s">
        <v>403</v>
      </c>
      <c r="N1553" t="s">
        <v>276</v>
      </c>
      <c r="P1553" t="s">
        <v>260</v>
      </c>
      <c r="Q1553" t="s">
        <v>260</v>
      </c>
      <c r="R1553" t="s">
        <v>261</v>
      </c>
      <c r="S1553" t="s">
        <v>21</v>
      </c>
      <c r="T1553">
        <v>100</v>
      </c>
      <c r="W1553" t="s">
        <v>262</v>
      </c>
    </row>
    <row r="1554" spans="1:25" x14ac:dyDescent="0.3">
      <c r="A1554" t="s">
        <v>21</v>
      </c>
      <c r="B1554" t="s">
        <v>4476</v>
      </c>
      <c r="C1554" t="s">
        <v>270</v>
      </c>
      <c r="D1554" t="s">
        <v>4477</v>
      </c>
      <c r="E1554">
        <v>8109</v>
      </c>
      <c r="M1554" t="s">
        <v>631</v>
      </c>
      <c r="N1554" t="s">
        <v>276</v>
      </c>
      <c r="P1554" t="s">
        <v>260</v>
      </c>
      <c r="Q1554" t="s">
        <v>260</v>
      </c>
      <c r="R1554" t="s">
        <v>261</v>
      </c>
      <c r="S1554" t="s">
        <v>21</v>
      </c>
      <c r="T1554">
        <v>100</v>
      </c>
      <c r="W1554" t="s">
        <v>262</v>
      </c>
    </row>
    <row r="1555" spans="1:25" x14ac:dyDescent="0.3">
      <c r="A1555" t="s">
        <v>21</v>
      </c>
      <c r="B1555" t="s">
        <v>4478</v>
      </c>
      <c r="C1555" t="s">
        <v>270</v>
      </c>
      <c r="D1555" t="s">
        <v>4479</v>
      </c>
      <c r="E1555">
        <v>2000003278</v>
      </c>
      <c r="G1555" t="s">
        <v>4480</v>
      </c>
      <c r="H1555" t="s">
        <v>2433</v>
      </c>
      <c r="I1555" t="s">
        <v>1343</v>
      </c>
      <c r="J1555" t="s">
        <v>297</v>
      </c>
      <c r="K1555">
        <v>2104</v>
      </c>
      <c r="L1555" t="s">
        <v>276</v>
      </c>
      <c r="M1555" t="s">
        <v>631</v>
      </c>
      <c r="N1555" t="s">
        <v>276</v>
      </c>
      <c r="P1555" t="s">
        <v>260</v>
      </c>
      <c r="Q1555" t="s">
        <v>260</v>
      </c>
      <c r="R1555" t="s">
        <v>268</v>
      </c>
      <c r="S1555" t="s">
        <v>21</v>
      </c>
      <c r="T1555">
        <v>100</v>
      </c>
      <c r="W1555" t="s">
        <v>262</v>
      </c>
      <c r="X1555">
        <v>-37.008299999999998</v>
      </c>
      <c r="Y1555">
        <v>174.87049999999999</v>
      </c>
    </row>
    <row r="1556" spans="1:25" x14ac:dyDescent="0.3">
      <c r="A1556" t="s">
        <v>21</v>
      </c>
      <c r="B1556" t="s">
        <v>4481</v>
      </c>
      <c r="C1556" t="s">
        <v>270</v>
      </c>
      <c r="D1556" t="s">
        <v>4482</v>
      </c>
      <c r="E1556" t="s">
        <v>4482</v>
      </c>
      <c r="M1556" t="s">
        <v>411</v>
      </c>
      <c r="N1556" t="s">
        <v>259</v>
      </c>
      <c r="P1556" t="s">
        <v>260</v>
      </c>
      <c r="Q1556" t="s">
        <v>260</v>
      </c>
      <c r="R1556" t="s">
        <v>283</v>
      </c>
      <c r="S1556" t="s">
        <v>21</v>
      </c>
      <c r="T1556">
        <v>100</v>
      </c>
      <c r="W1556" t="s">
        <v>262</v>
      </c>
    </row>
    <row r="1557" spans="1:25" x14ac:dyDescent="0.3">
      <c r="A1557" t="s">
        <v>21</v>
      </c>
      <c r="B1557" t="s">
        <v>4483</v>
      </c>
      <c r="C1557" t="s">
        <v>270</v>
      </c>
      <c r="D1557" t="s">
        <v>4484</v>
      </c>
      <c r="E1557" t="s">
        <v>4484</v>
      </c>
      <c r="F1557" t="s">
        <v>4484</v>
      </c>
      <c r="M1557" t="s">
        <v>411</v>
      </c>
      <c r="N1557" t="s">
        <v>259</v>
      </c>
      <c r="P1557" t="s">
        <v>260</v>
      </c>
      <c r="Q1557" t="s">
        <v>260</v>
      </c>
      <c r="R1557" t="s">
        <v>283</v>
      </c>
      <c r="S1557" t="s">
        <v>21</v>
      </c>
      <c r="T1557">
        <v>100</v>
      </c>
      <c r="W1557" t="s">
        <v>262</v>
      </c>
    </row>
    <row r="1558" spans="1:25" x14ac:dyDescent="0.3">
      <c r="A1558" t="s">
        <v>21</v>
      </c>
      <c r="B1558" t="s">
        <v>4485</v>
      </c>
      <c r="C1558" t="s">
        <v>270</v>
      </c>
      <c r="D1558" t="s">
        <v>4486</v>
      </c>
      <c r="E1558" t="s">
        <v>4486</v>
      </c>
      <c r="F1558" t="s">
        <v>4486</v>
      </c>
      <c r="M1558" t="s">
        <v>411</v>
      </c>
      <c r="N1558" t="s">
        <v>259</v>
      </c>
      <c r="P1558" t="s">
        <v>260</v>
      </c>
      <c r="Q1558" t="s">
        <v>260</v>
      </c>
      <c r="R1558" t="s">
        <v>283</v>
      </c>
      <c r="S1558" t="s">
        <v>21</v>
      </c>
      <c r="T1558">
        <v>100</v>
      </c>
      <c r="W1558" t="s">
        <v>262</v>
      </c>
    </row>
    <row r="1559" spans="1:25" x14ac:dyDescent="0.3">
      <c r="A1559" t="s">
        <v>21</v>
      </c>
      <c r="B1559" t="s">
        <v>4487</v>
      </c>
      <c r="C1559" t="s">
        <v>270</v>
      </c>
      <c r="D1559" t="s">
        <v>4488</v>
      </c>
      <c r="E1559">
        <v>2000004492</v>
      </c>
      <c r="H1559" t="s">
        <v>2433</v>
      </c>
      <c r="I1559" t="s">
        <v>1343</v>
      </c>
      <c r="J1559" t="s">
        <v>297</v>
      </c>
      <c r="K1559">
        <v>2104</v>
      </c>
      <c r="L1559" t="s">
        <v>276</v>
      </c>
      <c r="M1559" t="s">
        <v>631</v>
      </c>
      <c r="N1559" t="s">
        <v>276</v>
      </c>
      <c r="P1559" t="s">
        <v>260</v>
      </c>
      <c r="Q1559" t="s">
        <v>260</v>
      </c>
      <c r="R1559" t="s">
        <v>268</v>
      </c>
      <c r="S1559" t="s">
        <v>21</v>
      </c>
      <c r="T1559">
        <v>100</v>
      </c>
      <c r="W1559" t="s">
        <v>262</v>
      </c>
      <c r="X1559">
        <v>-37.008299999999998</v>
      </c>
      <c r="Y1559">
        <v>174.87049999999999</v>
      </c>
    </row>
    <row r="1560" spans="1:25" ht="270" customHeight="1" x14ac:dyDescent="0.3">
      <c r="A1560" t="s">
        <v>21</v>
      </c>
      <c r="B1560" t="s">
        <v>4489</v>
      </c>
      <c r="C1560" t="s">
        <v>2464</v>
      </c>
      <c r="D1560" t="s">
        <v>4490</v>
      </c>
      <c r="E1560" t="s">
        <v>4491</v>
      </c>
      <c r="G1560" s="10" t="s">
        <v>4492</v>
      </c>
      <c r="M1560" t="s">
        <v>297</v>
      </c>
      <c r="N1560" t="s">
        <v>276</v>
      </c>
      <c r="P1560" t="s">
        <v>260</v>
      </c>
      <c r="Q1560" t="s">
        <v>260</v>
      </c>
      <c r="R1560" t="s">
        <v>261</v>
      </c>
      <c r="S1560" t="s">
        <v>21</v>
      </c>
      <c r="T1560">
        <v>100</v>
      </c>
      <c r="W1560" t="s">
        <v>262</v>
      </c>
    </row>
    <row r="1561" spans="1:25" x14ac:dyDescent="0.3">
      <c r="A1561" t="s">
        <v>21</v>
      </c>
      <c r="B1561" t="s">
        <v>4493</v>
      </c>
      <c r="C1561" t="s">
        <v>270</v>
      </c>
      <c r="D1561" t="s">
        <v>4494</v>
      </c>
      <c r="E1561" t="s">
        <v>4494</v>
      </c>
      <c r="M1561" t="s">
        <v>411</v>
      </c>
      <c r="N1561" t="s">
        <v>259</v>
      </c>
      <c r="P1561" t="s">
        <v>260</v>
      </c>
      <c r="Q1561" t="s">
        <v>260</v>
      </c>
      <c r="R1561" t="s">
        <v>283</v>
      </c>
      <c r="S1561" t="s">
        <v>21</v>
      </c>
      <c r="T1561">
        <v>100</v>
      </c>
      <c r="W1561" t="s">
        <v>262</v>
      </c>
    </row>
    <row r="1562" spans="1:25" x14ac:dyDescent="0.3">
      <c r="A1562" t="s">
        <v>21</v>
      </c>
      <c r="B1562" t="s">
        <v>4495</v>
      </c>
      <c r="C1562" t="s">
        <v>270</v>
      </c>
      <c r="D1562" t="s">
        <v>4496</v>
      </c>
      <c r="E1562" t="s">
        <v>4496</v>
      </c>
      <c r="F1562" t="s">
        <v>4496</v>
      </c>
      <c r="M1562" t="s">
        <v>411</v>
      </c>
      <c r="N1562" t="s">
        <v>259</v>
      </c>
      <c r="P1562" t="s">
        <v>260</v>
      </c>
      <c r="Q1562" t="s">
        <v>260</v>
      </c>
      <c r="R1562" t="s">
        <v>283</v>
      </c>
      <c r="S1562" t="s">
        <v>21</v>
      </c>
      <c r="T1562">
        <v>100</v>
      </c>
      <c r="W1562" t="s">
        <v>262</v>
      </c>
    </row>
    <row r="1563" spans="1:25" x14ac:dyDescent="0.3">
      <c r="A1563" t="s">
        <v>21</v>
      </c>
      <c r="B1563" t="s">
        <v>4497</v>
      </c>
      <c r="C1563" t="s">
        <v>560</v>
      </c>
      <c r="D1563" t="s">
        <v>561</v>
      </c>
      <c r="E1563" t="s">
        <v>4498</v>
      </c>
      <c r="G1563" t="s">
        <v>4499</v>
      </c>
      <c r="H1563" t="s">
        <v>4500</v>
      </c>
      <c r="I1563" t="s">
        <v>526</v>
      </c>
      <c r="J1563" t="s">
        <v>282</v>
      </c>
      <c r="M1563" t="s">
        <v>526</v>
      </c>
      <c r="N1563" t="s">
        <v>259</v>
      </c>
      <c r="P1563" t="s">
        <v>260</v>
      </c>
      <c r="Q1563" t="s">
        <v>260</v>
      </c>
      <c r="R1563" t="s">
        <v>293</v>
      </c>
      <c r="S1563" t="s">
        <v>21</v>
      </c>
      <c r="T1563">
        <v>100</v>
      </c>
      <c r="W1563" t="s">
        <v>262</v>
      </c>
    </row>
    <row r="1564" spans="1:25" x14ac:dyDescent="0.3">
      <c r="A1564" t="s">
        <v>21</v>
      </c>
      <c r="B1564" t="s">
        <v>4501</v>
      </c>
      <c r="C1564" t="s">
        <v>270</v>
      </c>
      <c r="D1564" t="s">
        <v>4502</v>
      </c>
      <c r="E1564">
        <v>10086</v>
      </c>
      <c r="G1564" t="s">
        <v>4503</v>
      </c>
      <c r="M1564" t="s">
        <v>297</v>
      </c>
      <c r="N1564" t="s">
        <v>276</v>
      </c>
      <c r="P1564" t="s">
        <v>260</v>
      </c>
      <c r="Q1564" t="s">
        <v>260</v>
      </c>
      <c r="R1564" t="s">
        <v>283</v>
      </c>
      <c r="S1564" t="s">
        <v>21</v>
      </c>
      <c r="T1564">
        <v>100</v>
      </c>
      <c r="W1564" t="s">
        <v>262</v>
      </c>
    </row>
    <row r="1565" spans="1:25" x14ac:dyDescent="0.3">
      <c r="A1565" t="s">
        <v>21</v>
      </c>
      <c r="B1565" t="s">
        <v>4504</v>
      </c>
      <c r="C1565" t="s">
        <v>270</v>
      </c>
      <c r="D1565" t="s">
        <v>4505</v>
      </c>
      <c r="E1565" t="s">
        <v>4505</v>
      </c>
      <c r="M1565" t="s">
        <v>394</v>
      </c>
      <c r="N1565" t="s">
        <v>276</v>
      </c>
      <c r="P1565" t="s">
        <v>260</v>
      </c>
      <c r="Q1565" t="s">
        <v>260</v>
      </c>
      <c r="R1565" t="s">
        <v>283</v>
      </c>
      <c r="S1565" t="s">
        <v>21</v>
      </c>
      <c r="T1565">
        <v>100</v>
      </c>
      <c r="W1565" t="s">
        <v>262</v>
      </c>
    </row>
    <row r="1566" spans="1:25" x14ac:dyDescent="0.3">
      <c r="A1566" t="s">
        <v>21</v>
      </c>
      <c r="B1566" t="s">
        <v>4506</v>
      </c>
      <c r="C1566" t="s">
        <v>270</v>
      </c>
      <c r="D1566" t="s">
        <v>4507</v>
      </c>
      <c r="E1566" t="s">
        <v>4507</v>
      </c>
      <c r="M1566" t="s">
        <v>394</v>
      </c>
      <c r="N1566" t="s">
        <v>276</v>
      </c>
      <c r="P1566" t="s">
        <v>260</v>
      </c>
      <c r="Q1566" t="s">
        <v>260</v>
      </c>
      <c r="R1566" t="s">
        <v>283</v>
      </c>
      <c r="S1566" t="s">
        <v>21</v>
      </c>
      <c r="T1566">
        <v>100</v>
      </c>
      <c r="W1566" t="s">
        <v>262</v>
      </c>
    </row>
    <row r="1567" spans="1:25" x14ac:dyDescent="0.3">
      <c r="A1567" t="s">
        <v>21</v>
      </c>
      <c r="B1567" t="s">
        <v>4508</v>
      </c>
      <c r="C1567" t="s">
        <v>270</v>
      </c>
      <c r="D1567" t="s">
        <v>4509</v>
      </c>
      <c r="E1567" t="s">
        <v>4509</v>
      </c>
      <c r="M1567" t="s">
        <v>394</v>
      </c>
      <c r="N1567" t="s">
        <v>276</v>
      </c>
      <c r="P1567" t="s">
        <v>260</v>
      </c>
      <c r="Q1567" t="s">
        <v>260</v>
      </c>
      <c r="R1567" t="s">
        <v>283</v>
      </c>
      <c r="S1567" t="s">
        <v>21</v>
      </c>
      <c r="T1567">
        <v>100</v>
      </c>
      <c r="W1567" t="s">
        <v>262</v>
      </c>
    </row>
    <row r="1568" spans="1:25" x14ac:dyDescent="0.3">
      <c r="A1568" t="s">
        <v>21</v>
      </c>
      <c r="B1568" t="s">
        <v>4510</v>
      </c>
      <c r="C1568" t="s">
        <v>270</v>
      </c>
      <c r="D1568" t="s">
        <v>4511</v>
      </c>
      <c r="E1568" t="s">
        <v>4512</v>
      </c>
      <c r="M1568" t="s">
        <v>631</v>
      </c>
      <c r="N1568" t="s">
        <v>276</v>
      </c>
      <c r="P1568" t="s">
        <v>260</v>
      </c>
      <c r="Q1568" t="s">
        <v>260</v>
      </c>
      <c r="R1568" t="s">
        <v>261</v>
      </c>
      <c r="S1568" t="s">
        <v>21</v>
      </c>
      <c r="T1568">
        <v>100</v>
      </c>
      <c r="W1568" t="s">
        <v>262</v>
      </c>
    </row>
    <row r="1569" spans="1:25" x14ac:dyDescent="0.3">
      <c r="A1569" t="s">
        <v>21</v>
      </c>
      <c r="B1569" t="s">
        <v>4513</v>
      </c>
      <c r="C1569" t="s">
        <v>270</v>
      </c>
      <c r="D1569" t="s">
        <v>4514</v>
      </c>
      <c r="E1569">
        <v>8810</v>
      </c>
      <c r="H1569" t="s">
        <v>2433</v>
      </c>
      <c r="I1569" t="s">
        <v>1343</v>
      </c>
      <c r="J1569" t="s">
        <v>297</v>
      </c>
      <c r="K1569">
        <v>2104</v>
      </c>
      <c r="L1569" t="s">
        <v>276</v>
      </c>
      <c r="M1569" t="s">
        <v>631</v>
      </c>
      <c r="N1569" t="s">
        <v>276</v>
      </c>
      <c r="P1569" t="s">
        <v>260</v>
      </c>
      <c r="Q1569" t="s">
        <v>260</v>
      </c>
      <c r="R1569" t="s">
        <v>261</v>
      </c>
      <c r="S1569" t="s">
        <v>21</v>
      </c>
      <c r="T1569">
        <v>100</v>
      </c>
      <c r="W1569" t="s">
        <v>262</v>
      </c>
      <c r="X1569">
        <v>-37.008299999999998</v>
      </c>
      <c r="Y1569">
        <v>174.87049999999999</v>
      </c>
    </row>
    <row r="1570" spans="1:25" x14ac:dyDescent="0.3">
      <c r="A1570" t="s">
        <v>21</v>
      </c>
      <c r="B1570" t="s">
        <v>4515</v>
      </c>
      <c r="C1570" t="s">
        <v>270</v>
      </c>
      <c r="D1570" t="s">
        <v>1934</v>
      </c>
      <c r="E1570">
        <v>55925</v>
      </c>
      <c r="H1570" t="s">
        <v>2433</v>
      </c>
      <c r="I1570" t="s">
        <v>1343</v>
      </c>
      <c r="J1570" t="s">
        <v>297</v>
      </c>
      <c r="K1570">
        <v>2104</v>
      </c>
      <c r="L1570" t="s">
        <v>276</v>
      </c>
      <c r="M1570" t="s">
        <v>631</v>
      </c>
      <c r="N1570" t="s">
        <v>276</v>
      </c>
      <c r="P1570" t="s">
        <v>260</v>
      </c>
      <c r="Q1570" t="s">
        <v>260</v>
      </c>
      <c r="R1570" t="s">
        <v>261</v>
      </c>
      <c r="S1570" t="s">
        <v>21</v>
      </c>
      <c r="T1570">
        <v>100</v>
      </c>
      <c r="W1570" t="s">
        <v>262</v>
      </c>
      <c r="X1570">
        <v>-37.008299999999998</v>
      </c>
      <c r="Y1570">
        <v>174.87049999999999</v>
      </c>
    </row>
    <row r="1571" spans="1:25" x14ac:dyDescent="0.3">
      <c r="A1571" t="s">
        <v>21</v>
      </c>
      <c r="B1571" t="s">
        <v>4516</v>
      </c>
      <c r="C1571" t="s">
        <v>270</v>
      </c>
      <c r="D1571" t="s">
        <v>1462</v>
      </c>
      <c r="E1571">
        <v>9009</v>
      </c>
      <c r="H1571" t="s">
        <v>2433</v>
      </c>
      <c r="I1571" t="s">
        <v>1343</v>
      </c>
      <c r="J1571" t="s">
        <v>297</v>
      </c>
      <c r="K1571">
        <v>2104</v>
      </c>
      <c r="L1571" t="s">
        <v>276</v>
      </c>
      <c r="M1571" t="s">
        <v>631</v>
      </c>
      <c r="N1571" t="s">
        <v>276</v>
      </c>
      <c r="P1571" t="s">
        <v>260</v>
      </c>
      <c r="Q1571" t="s">
        <v>260</v>
      </c>
      <c r="R1571" t="s">
        <v>293</v>
      </c>
      <c r="S1571" t="s">
        <v>21</v>
      </c>
      <c r="T1571">
        <v>100</v>
      </c>
      <c r="W1571" t="s">
        <v>262</v>
      </c>
      <c r="X1571">
        <v>-37.008299999999998</v>
      </c>
      <c r="Y1571">
        <v>174.87049999999999</v>
      </c>
    </row>
    <row r="1572" spans="1:25" x14ac:dyDescent="0.3">
      <c r="A1572" t="s">
        <v>21</v>
      </c>
      <c r="B1572" t="s">
        <v>4517</v>
      </c>
      <c r="C1572" t="s">
        <v>270</v>
      </c>
      <c r="D1572" t="s">
        <v>1947</v>
      </c>
      <c r="E1572">
        <v>55926</v>
      </c>
      <c r="H1572" t="s">
        <v>2433</v>
      </c>
      <c r="I1572" t="s">
        <v>1343</v>
      </c>
      <c r="J1572" t="s">
        <v>297</v>
      </c>
      <c r="K1572">
        <v>2104</v>
      </c>
      <c r="L1572" t="s">
        <v>276</v>
      </c>
      <c r="M1572" t="s">
        <v>631</v>
      </c>
      <c r="N1572" t="s">
        <v>276</v>
      </c>
      <c r="P1572" t="s">
        <v>260</v>
      </c>
      <c r="Q1572" t="s">
        <v>260</v>
      </c>
      <c r="R1572" t="s">
        <v>261</v>
      </c>
      <c r="S1572" t="s">
        <v>21</v>
      </c>
      <c r="T1572">
        <v>100</v>
      </c>
      <c r="W1572" t="s">
        <v>262</v>
      </c>
      <c r="X1572">
        <v>-37.008299999999998</v>
      </c>
      <c r="Y1572">
        <v>174.87049999999999</v>
      </c>
    </row>
    <row r="1573" spans="1:25" x14ac:dyDescent="0.3">
      <c r="A1573" t="s">
        <v>21</v>
      </c>
      <c r="B1573" t="s">
        <v>4518</v>
      </c>
      <c r="C1573" t="s">
        <v>270</v>
      </c>
      <c r="D1573" t="s">
        <v>1906</v>
      </c>
      <c r="E1573">
        <v>10035</v>
      </c>
      <c r="G1573">
        <v>10.035</v>
      </c>
      <c r="H1573" t="s">
        <v>2433</v>
      </c>
      <c r="I1573" t="s">
        <v>1343</v>
      </c>
      <c r="J1573" t="s">
        <v>297</v>
      </c>
      <c r="K1573">
        <v>2104</v>
      </c>
      <c r="L1573" t="s">
        <v>276</v>
      </c>
      <c r="M1573" t="s">
        <v>631</v>
      </c>
      <c r="N1573" t="s">
        <v>276</v>
      </c>
      <c r="P1573" t="s">
        <v>260</v>
      </c>
      <c r="Q1573" t="s">
        <v>260</v>
      </c>
      <c r="R1573" t="s">
        <v>283</v>
      </c>
      <c r="S1573" t="s">
        <v>21</v>
      </c>
      <c r="T1573">
        <v>100</v>
      </c>
      <c r="W1573" t="s">
        <v>262</v>
      </c>
      <c r="X1573">
        <v>-37.008299999999998</v>
      </c>
      <c r="Y1573">
        <v>174.87049999999999</v>
      </c>
    </row>
    <row r="1574" spans="1:25" x14ac:dyDescent="0.3">
      <c r="A1574" t="s">
        <v>21</v>
      </c>
      <c r="B1574" t="s">
        <v>4519</v>
      </c>
      <c r="C1574" t="s">
        <v>270</v>
      </c>
      <c r="D1574" t="s">
        <v>4520</v>
      </c>
      <c r="E1574">
        <v>66901</v>
      </c>
      <c r="H1574" t="s">
        <v>2433</v>
      </c>
      <c r="I1574" t="s">
        <v>1343</v>
      </c>
      <c r="J1574" t="s">
        <v>297</v>
      </c>
      <c r="K1574">
        <v>2104</v>
      </c>
      <c r="L1574" t="s">
        <v>276</v>
      </c>
      <c r="M1574" t="s">
        <v>631</v>
      </c>
      <c r="N1574" t="s">
        <v>276</v>
      </c>
      <c r="P1574" t="s">
        <v>260</v>
      </c>
      <c r="Q1574" t="s">
        <v>260</v>
      </c>
      <c r="R1574" t="s">
        <v>261</v>
      </c>
      <c r="S1574" t="s">
        <v>21</v>
      </c>
      <c r="T1574">
        <v>100</v>
      </c>
      <c r="W1574" t="s">
        <v>262</v>
      </c>
      <c r="X1574">
        <v>-37.008299999999998</v>
      </c>
      <c r="Y1574">
        <v>174.87049999999999</v>
      </c>
    </row>
    <row r="1575" spans="1:25" x14ac:dyDescent="0.3">
      <c r="A1575" t="s">
        <v>21</v>
      </c>
      <c r="B1575" t="s">
        <v>4521</v>
      </c>
      <c r="C1575" t="s">
        <v>270</v>
      </c>
      <c r="D1575" t="s">
        <v>4522</v>
      </c>
      <c r="E1575" t="s">
        <v>4522</v>
      </c>
      <c r="M1575" t="s">
        <v>394</v>
      </c>
      <c r="N1575" t="s">
        <v>276</v>
      </c>
      <c r="P1575" t="s">
        <v>260</v>
      </c>
      <c r="Q1575" t="s">
        <v>260</v>
      </c>
      <c r="R1575" t="s">
        <v>283</v>
      </c>
      <c r="S1575" t="s">
        <v>21</v>
      </c>
      <c r="T1575">
        <v>100</v>
      </c>
      <c r="W1575" t="s">
        <v>262</v>
      </c>
    </row>
    <row r="1576" spans="1:25" x14ac:dyDescent="0.3">
      <c r="A1576" t="s">
        <v>21</v>
      </c>
      <c r="B1576" t="s">
        <v>4523</v>
      </c>
      <c r="C1576" t="s">
        <v>270</v>
      </c>
      <c r="D1576" t="s">
        <v>1954</v>
      </c>
      <c r="E1576">
        <v>10037</v>
      </c>
      <c r="G1576">
        <v>10.037000000000001</v>
      </c>
      <c r="H1576" t="s">
        <v>2433</v>
      </c>
      <c r="I1576" t="s">
        <v>1343</v>
      </c>
      <c r="J1576" t="s">
        <v>297</v>
      </c>
      <c r="K1576">
        <v>2104</v>
      </c>
      <c r="L1576" t="s">
        <v>276</v>
      </c>
      <c r="M1576" t="s">
        <v>631</v>
      </c>
      <c r="N1576" t="s">
        <v>276</v>
      </c>
      <c r="P1576" t="s">
        <v>260</v>
      </c>
      <c r="Q1576" t="s">
        <v>260</v>
      </c>
      <c r="R1576" t="s">
        <v>283</v>
      </c>
      <c r="S1576" t="s">
        <v>21</v>
      </c>
      <c r="T1576">
        <v>100</v>
      </c>
      <c r="W1576" t="s">
        <v>262</v>
      </c>
      <c r="X1576">
        <v>-37.008299999999998</v>
      </c>
      <c r="Y1576">
        <v>174.87049999999999</v>
      </c>
    </row>
    <row r="1577" spans="1:25" x14ac:dyDescent="0.3">
      <c r="A1577" t="s">
        <v>21</v>
      </c>
      <c r="B1577" t="s">
        <v>4524</v>
      </c>
      <c r="C1577" t="s">
        <v>270</v>
      </c>
      <c r="D1577" t="s">
        <v>4525</v>
      </c>
      <c r="E1577" t="s">
        <v>4525</v>
      </c>
      <c r="M1577" t="s">
        <v>411</v>
      </c>
      <c r="N1577" t="s">
        <v>259</v>
      </c>
      <c r="P1577" t="s">
        <v>260</v>
      </c>
      <c r="Q1577" t="s">
        <v>260</v>
      </c>
      <c r="R1577" t="s">
        <v>283</v>
      </c>
      <c r="S1577" t="s">
        <v>21</v>
      </c>
      <c r="T1577">
        <v>100</v>
      </c>
      <c r="W1577" t="s">
        <v>262</v>
      </c>
    </row>
    <row r="1578" spans="1:25" x14ac:dyDescent="0.3">
      <c r="A1578" t="s">
        <v>21</v>
      </c>
      <c r="B1578" t="s">
        <v>4526</v>
      </c>
      <c r="C1578" t="s">
        <v>270</v>
      </c>
      <c r="D1578" t="s">
        <v>4527</v>
      </c>
      <c r="E1578">
        <v>54943</v>
      </c>
      <c r="G1578" t="s">
        <v>4528</v>
      </c>
      <c r="M1578" t="s">
        <v>275</v>
      </c>
      <c r="N1578" t="s">
        <v>276</v>
      </c>
      <c r="P1578" t="s">
        <v>260</v>
      </c>
      <c r="Q1578" t="s">
        <v>260</v>
      </c>
      <c r="R1578" t="s">
        <v>261</v>
      </c>
      <c r="S1578" t="s">
        <v>21</v>
      </c>
      <c r="T1578">
        <v>100</v>
      </c>
      <c r="W1578" t="s">
        <v>262</v>
      </c>
    </row>
    <row r="1579" spans="1:25" x14ac:dyDescent="0.3">
      <c r="A1579" t="s">
        <v>21</v>
      </c>
      <c r="B1579" t="s">
        <v>4529</v>
      </c>
      <c r="C1579" t="s">
        <v>270</v>
      </c>
      <c r="D1579" t="s">
        <v>2132</v>
      </c>
      <c r="E1579">
        <v>10185</v>
      </c>
      <c r="G1579">
        <v>10.185</v>
      </c>
      <c r="H1579" t="s">
        <v>2433</v>
      </c>
      <c r="I1579" t="s">
        <v>1343</v>
      </c>
      <c r="J1579" t="s">
        <v>297</v>
      </c>
      <c r="K1579">
        <v>2104</v>
      </c>
      <c r="L1579" t="s">
        <v>276</v>
      </c>
      <c r="M1579" t="s">
        <v>631</v>
      </c>
      <c r="N1579" t="s">
        <v>276</v>
      </c>
      <c r="P1579" t="s">
        <v>260</v>
      </c>
      <c r="Q1579" t="s">
        <v>260</v>
      </c>
      <c r="R1579" t="s">
        <v>283</v>
      </c>
      <c r="S1579" t="s">
        <v>21</v>
      </c>
      <c r="T1579">
        <v>100</v>
      </c>
      <c r="W1579" t="s">
        <v>262</v>
      </c>
      <c r="X1579">
        <v>-37.008299999999998</v>
      </c>
      <c r="Y1579">
        <v>174.87049999999999</v>
      </c>
    </row>
    <row r="1580" spans="1:25" ht="150" customHeight="1" x14ac:dyDescent="0.3">
      <c r="A1580" t="s">
        <v>21</v>
      </c>
      <c r="B1580" t="s">
        <v>4530</v>
      </c>
      <c r="C1580" t="s">
        <v>264</v>
      </c>
      <c r="D1580" t="s">
        <v>4531</v>
      </c>
      <c r="E1580">
        <v>91401</v>
      </c>
      <c r="G1580" s="10" t="s">
        <v>4532</v>
      </c>
      <c r="M1580" t="s">
        <v>4533</v>
      </c>
      <c r="N1580" t="s">
        <v>276</v>
      </c>
      <c r="P1580" t="s">
        <v>260</v>
      </c>
      <c r="Q1580" t="s">
        <v>260</v>
      </c>
      <c r="R1580" t="s">
        <v>261</v>
      </c>
      <c r="S1580" t="s">
        <v>21</v>
      </c>
      <c r="T1580">
        <v>100</v>
      </c>
      <c r="W1580" t="s">
        <v>262</v>
      </c>
    </row>
    <row r="1581" spans="1:25" x14ac:dyDescent="0.3">
      <c r="A1581" t="s">
        <v>21</v>
      </c>
      <c r="B1581" t="s">
        <v>4534</v>
      </c>
      <c r="C1581" t="s">
        <v>270</v>
      </c>
      <c r="D1581" t="s">
        <v>4535</v>
      </c>
      <c r="E1581" t="s">
        <v>4535</v>
      </c>
      <c r="M1581" t="s">
        <v>411</v>
      </c>
      <c r="N1581" t="s">
        <v>259</v>
      </c>
      <c r="P1581" t="s">
        <v>260</v>
      </c>
      <c r="Q1581" t="s">
        <v>260</v>
      </c>
      <c r="R1581" t="s">
        <v>283</v>
      </c>
      <c r="S1581" t="s">
        <v>21</v>
      </c>
      <c r="T1581">
        <v>100</v>
      </c>
      <c r="W1581" t="s">
        <v>262</v>
      </c>
    </row>
    <row r="1582" spans="1:25" x14ac:dyDescent="0.3">
      <c r="A1582" t="s">
        <v>21</v>
      </c>
      <c r="B1582" t="s">
        <v>4536</v>
      </c>
      <c r="C1582" t="s">
        <v>270</v>
      </c>
      <c r="D1582" t="s">
        <v>4537</v>
      </c>
      <c r="E1582">
        <v>8000</v>
      </c>
      <c r="M1582" t="s">
        <v>631</v>
      </c>
      <c r="N1582" t="s">
        <v>276</v>
      </c>
      <c r="P1582" t="s">
        <v>260</v>
      </c>
      <c r="Q1582" t="s">
        <v>260</v>
      </c>
      <c r="R1582" t="s">
        <v>261</v>
      </c>
      <c r="S1582" t="s">
        <v>21</v>
      </c>
      <c r="T1582">
        <v>100</v>
      </c>
      <c r="W1582" t="s">
        <v>262</v>
      </c>
    </row>
    <row r="1583" spans="1:25" x14ac:dyDescent="0.3">
      <c r="A1583" t="s">
        <v>21</v>
      </c>
      <c r="B1583" t="s">
        <v>4538</v>
      </c>
      <c r="C1583" t="s">
        <v>270</v>
      </c>
      <c r="D1583" t="s">
        <v>4539</v>
      </c>
      <c r="E1583" t="s">
        <v>4540</v>
      </c>
      <c r="H1583" t="s">
        <v>2433</v>
      </c>
      <c r="I1583" t="s">
        <v>1343</v>
      </c>
      <c r="J1583" t="s">
        <v>297</v>
      </c>
      <c r="K1583">
        <v>2104</v>
      </c>
      <c r="L1583" t="s">
        <v>276</v>
      </c>
      <c r="M1583" t="s">
        <v>631</v>
      </c>
      <c r="N1583" t="s">
        <v>276</v>
      </c>
      <c r="P1583" t="s">
        <v>260</v>
      </c>
      <c r="Q1583" t="s">
        <v>260</v>
      </c>
      <c r="R1583" t="s">
        <v>283</v>
      </c>
      <c r="S1583" t="s">
        <v>21</v>
      </c>
      <c r="T1583">
        <v>100</v>
      </c>
      <c r="W1583" t="s">
        <v>262</v>
      </c>
      <c r="X1583">
        <v>-37.008299999999998</v>
      </c>
      <c r="Y1583">
        <v>174.87049999999999</v>
      </c>
    </row>
    <row r="1584" spans="1:25" x14ac:dyDescent="0.3">
      <c r="A1584" t="s">
        <v>21</v>
      </c>
      <c r="B1584" t="s">
        <v>4541</v>
      </c>
      <c r="C1584" t="s">
        <v>270</v>
      </c>
      <c r="D1584" t="s">
        <v>4542</v>
      </c>
      <c r="E1584" t="s">
        <v>4543</v>
      </c>
      <c r="H1584" t="s">
        <v>2433</v>
      </c>
      <c r="I1584" t="s">
        <v>1343</v>
      </c>
      <c r="J1584" t="s">
        <v>297</v>
      </c>
      <c r="K1584">
        <v>2104</v>
      </c>
      <c r="L1584" t="s">
        <v>276</v>
      </c>
      <c r="M1584" t="s">
        <v>631</v>
      </c>
      <c r="N1584" t="s">
        <v>276</v>
      </c>
      <c r="P1584" t="s">
        <v>260</v>
      </c>
      <c r="Q1584" t="s">
        <v>260</v>
      </c>
      <c r="R1584" t="s">
        <v>283</v>
      </c>
      <c r="S1584" t="s">
        <v>21</v>
      </c>
      <c r="T1584">
        <v>100</v>
      </c>
      <c r="W1584" t="s">
        <v>262</v>
      </c>
      <c r="X1584">
        <v>-37.008299999999998</v>
      </c>
      <c r="Y1584">
        <v>174.87049999999999</v>
      </c>
    </row>
    <row r="1585" spans="1:28" x14ac:dyDescent="0.3">
      <c r="A1585" t="s">
        <v>21</v>
      </c>
      <c r="B1585" t="s">
        <v>4544</v>
      </c>
      <c r="C1585" t="s">
        <v>270</v>
      </c>
      <c r="D1585" t="s">
        <v>2163</v>
      </c>
      <c r="E1585" t="s">
        <v>4545</v>
      </c>
      <c r="H1585" t="s">
        <v>2433</v>
      </c>
      <c r="I1585" t="s">
        <v>1343</v>
      </c>
      <c r="J1585" t="s">
        <v>297</v>
      </c>
      <c r="K1585">
        <v>2104</v>
      </c>
      <c r="L1585" t="s">
        <v>276</v>
      </c>
      <c r="M1585" t="s">
        <v>631</v>
      </c>
      <c r="N1585" t="s">
        <v>276</v>
      </c>
      <c r="P1585" t="s">
        <v>260</v>
      </c>
      <c r="Q1585" t="s">
        <v>260</v>
      </c>
      <c r="R1585" t="s">
        <v>283</v>
      </c>
      <c r="S1585" t="s">
        <v>21</v>
      </c>
      <c r="T1585">
        <v>100</v>
      </c>
      <c r="W1585" t="s">
        <v>262</v>
      </c>
      <c r="X1585">
        <v>-37.008299999999998</v>
      </c>
      <c r="Y1585">
        <v>174.87049999999999</v>
      </c>
    </row>
    <row r="1586" spans="1:28" x14ac:dyDescent="0.3">
      <c r="A1586" t="s">
        <v>21</v>
      </c>
      <c r="B1586" t="s">
        <v>4546</v>
      </c>
      <c r="C1586" t="s">
        <v>270</v>
      </c>
      <c r="D1586" t="s">
        <v>728</v>
      </c>
      <c r="E1586">
        <v>55552</v>
      </c>
      <c r="H1586" t="s">
        <v>729</v>
      </c>
      <c r="I1586" t="s">
        <v>730</v>
      </c>
      <c r="J1586" t="s">
        <v>730</v>
      </c>
      <c r="K1586">
        <v>3600</v>
      </c>
      <c r="L1586" t="s">
        <v>276</v>
      </c>
      <c r="M1586" t="s">
        <v>730</v>
      </c>
      <c r="N1586" t="s">
        <v>276</v>
      </c>
      <c r="P1586" t="s">
        <v>260</v>
      </c>
      <c r="Q1586" t="s">
        <v>260</v>
      </c>
      <c r="R1586" t="s">
        <v>261</v>
      </c>
      <c r="S1586" t="s">
        <v>21</v>
      </c>
      <c r="T1586">
        <v>100</v>
      </c>
      <c r="W1586" t="s">
        <v>262</v>
      </c>
      <c r="X1586">
        <v>-37.374299999999998</v>
      </c>
      <c r="Y1586">
        <v>175.66149999999999</v>
      </c>
    </row>
    <row r="1587" spans="1:28" x14ac:dyDescent="0.3">
      <c r="A1587" t="s">
        <v>21</v>
      </c>
      <c r="B1587" t="s">
        <v>4547</v>
      </c>
      <c r="C1587" t="s">
        <v>270</v>
      </c>
      <c r="D1587" t="s">
        <v>4548</v>
      </c>
      <c r="E1587" t="s">
        <v>4549</v>
      </c>
      <c r="H1587" t="s">
        <v>4550</v>
      </c>
      <c r="I1587" t="s">
        <v>4551</v>
      </c>
      <c r="J1587" t="s">
        <v>4551</v>
      </c>
      <c r="K1587">
        <v>4910</v>
      </c>
      <c r="L1587" t="s">
        <v>276</v>
      </c>
      <c r="M1587" t="s">
        <v>739</v>
      </c>
      <c r="N1587" t="s">
        <v>276</v>
      </c>
      <c r="P1587" t="s">
        <v>260</v>
      </c>
      <c r="Q1587" t="s">
        <v>260</v>
      </c>
      <c r="R1587" t="s">
        <v>283</v>
      </c>
      <c r="S1587" t="s">
        <v>21</v>
      </c>
      <c r="T1587">
        <v>100</v>
      </c>
      <c r="W1587" t="s">
        <v>262</v>
      </c>
      <c r="X1587">
        <v>-40.4527</v>
      </c>
      <c r="Y1587">
        <v>175.83930000000001</v>
      </c>
    </row>
    <row r="1588" spans="1:28" x14ac:dyDescent="0.3">
      <c r="A1588" t="s">
        <v>21</v>
      </c>
      <c r="B1588" t="s">
        <v>4552</v>
      </c>
      <c r="C1588" t="s">
        <v>270</v>
      </c>
      <c r="D1588" t="s">
        <v>4553</v>
      </c>
      <c r="E1588">
        <v>91261</v>
      </c>
      <c r="H1588" t="s">
        <v>4554</v>
      </c>
      <c r="I1588" t="s">
        <v>4555</v>
      </c>
      <c r="J1588" t="s">
        <v>739</v>
      </c>
      <c r="K1588">
        <v>4410</v>
      </c>
      <c r="L1588" t="s">
        <v>276</v>
      </c>
      <c r="M1588" t="s">
        <v>739</v>
      </c>
      <c r="N1588" t="s">
        <v>276</v>
      </c>
      <c r="P1588" t="s">
        <v>260</v>
      </c>
      <c r="Q1588" t="s">
        <v>260</v>
      </c>
      <c r="R1588" t="s">
        <v>293</v>
      </c>
      <c r="S1588" t="s">
        <v>21</v>
      </c>
      <c r="T1588">
        <v>100</v>
      </c>
      <c r="W1588" t="s">
        <v>262</v>
      </c>
      <c r="X1588">
        <v>-40.360700000000001</v>
      </c>
      <c r="Y1588">
        <v>175.6326</v>
      </c>
      <c r="AB1588" s="9">
        <v>45473</v>
      </c>
    </row>
    <row r="1589" spans="1:28" x14ac:dyDescent="0.3">
      <c r="A1589" t="s">
        <v>21</v>
      </c>
      <c r="B1589" t="s">
        <v>4556</v>
      </c>
      <c r="C1589" t="s">
        <v>270</v>
      </c>
      <c r="D1589" t="s">
        <v>4557</v>
      </c>
      <c r="E1589">
        <v>91190</v>
      </c>
      <c r="H1589" t="s">
        <v>4558</v>
      </c>
      <c r="I1589" t="s">
        <v>4559</v>
      </c>
      <c r="J1589" t="s">
        <v>739</v>
      </c>
      <c r="K1589">
        <v>4474</v>
      </c>
      <c r="L1589" t="s">
        <v>276</v>
      </c>
      <c r="M1589" t="s">
        <v>739</v>
      </c>
      <c r="N1589" t="s">
        <v>276</v>
      </c>
      <c r="P1589" t="s">
        <v>260</v>
      </c>
      <c r="Q1589" t="s">
        <v>260</v>
      </c>
      <c r="R1589" t="s">
        <v>293</v>
      </c>
      <c r="S1589" t="s">
        <v>21</v>
      </c>
      <c r="T1589">
        <v>100</v>
      </c>
      <c r="W1589" t="s">
        <v>262</v>
      </c>
      <c r="X1589">
        <v>-40.383400000000002</v>
      </c>
      <c r="Y1589">
        <v>175.6146</v>
      </c>
      <c r="AB1589" s="9">
        <v>45473</v>
      </c>
    </row>
    <row r="1590" spans="1:28" x14ac:dyDescent="0.3">
      <c r="A1590" t="s">
        <v>21</v>
      </c>
      <c r="B1590" t="s">
        <v>4560</v>
      </c>
      <c r="C1590" t="s">
        <v>270</v>
      </c>
      <c r="D1590" t="s">
        <v>732</v>
      </c>
      <c r="E1590">
        <v>55550</v>
      </c>
      <c r="H1590" t="s">
        <v>733</v>
      </c>
      <c r="I1590" t="s">
        <v>734</v>
      </c>
      <c r="J1590" t="s">
        <v>734</v>
      </c>
      <c r="K1590">
        <v>9430</v>
      </c>
      <c r="L1590" t="s">
        <v>276</v>
      </c>
      <c r="M1590" t="s">
        <v>735</v>
      </c>
      <c r="N1590" t="s">
        <v>276</v>
      </c>
      <c r="P1590" t="s">
        <v>260</v>
      </c>
      <c r="Q1590" t="s">
        <v>260</v>
      </c>
      <c r="R1590" t="s">
        <v>261</v>
      </c>
      <c r="S1590" t="s">
        <v>21</v>
      </c>
      <c r="T1590">
        <v>100</v>
      </c>
      <c r="W1590" t="s">
        <v>262</v>
      </c>
      <c r="X1590">
        <v>-45.488999999999997</v>
      </c>
      <c r="Y1590">
        <v>170.71559999999999</v>
      </c>
    </row>
    <row r="1591" spans="1:28" x14ac:dyDescent="0.3">
      <c r="A1591" t="s">
        <v>21</v>
      </c>
      <c r="B1591" t="s">
        <v>4561</v>
      </c>
      <c r="C1591" t="s">
        <v>270</v>
      </c>
      <c r="D1591" t="s">
        <v>4562</v>
      </c>
      <c r="E1591" t="s">
        <v>4563</v>
      </c>
      <c r="M1591" t="s">
        <v>631</v>
      </c>
      <c r="N1591" t="s">
        <v>276</v>
      </c>
      <c r="P1591" t="s">
        <v>260</v>
      </c>
      <c r="Q1591" t="s">
        <v>260</v>
      </c>
      <c r="R1591" t="s">
        <v>283</v>
      </c>
      <c r="S1591" t="s">
        <v>21</v>
      </c>
      <c r="T1591">
        <v>100</v>
      </c>
      <c r="W1591" t="s">
        <v>262</v>
      </c>
    </row>
    <row r="1592" spans="1:28" x14ac:dyDescent="0.3">
      <c r="A1592" t="s">
        <v>21</v>
      </c>
      <c r="B1592" t="s">
        <v>4564</v>
      </c>
      <c r="C1592" t="s">
        <v>270</v>
      </c>
      <c r="D1592" t="s">
        <v>4565</v>
      </c>
      <c r="E1592" t="s">
        <v>4566</v>
      </c>
      <c r="H1592" t="s">
        <v>2433</v>
      </c>
      <c r="I1592" t="s">
        <v>1343</v>
      </c>
      <c r="J1592" t="s">
        <v>297</v>
      </c>
      <c r="K1592">
        <v>2104</v>
      </c>
      <c r="L1592" t="s">
        <v>276</v>
      </c>
      <c r="M1592" t="s">
        <v>631</v>
      </c>
      <c r="N1592" t="s">
        <v>276</v>
      </c>
      <c r="P1592" t="s">
        <v>260</v>
      </c>
      <c r="Q1592" t="s">
        <v>260</v>
      </c>
      <c r="R1592" t="s">
        <v>283</v>
      </c>
      <c r="S1592" t="s">
        <v>21</v>
      </c>
      <c r="T1592">
        <v>100</v>
      </c>
      <c r="W1592" t="s">
        <v>262</v>
      </c>
      <c r="X1592">
        <v>-37.008299999999998</v>
      </c>
      <c r="Y1592">
        <v>174.87049999999999</v>
      </c>
    </row>
    <row r="1593" spans="1:28" x14ac:dyDescent="0.3">
      <c r="A1593" t="s">
        <v>21</v>
      </c>
      <c r="B1593" t="s">
        <v>4567</v>
      </c>
      <c r="C1593" t="s">
        <v>270</v>
      </c>
      <c r="D1593" t="s">
        <v>2155</v>
      </c>
      <c r="E1593" t="s">
        <v>4568</v>
      </c>
      <c r="H1593" t="s">
        <v>2433</v>
      </c>
      <c r="I1593" t="s">
        <v>1343</v>
      </c>
      <c r="J1593" t="s">
        <v>297</v>
      </c>
      <c r="K1593">
        <v>2104</v>
      </c>
      <c r="L1593" t="s">
        <v>276</v>
      </c>
      <c r="M1593" t="s">
        <v>631</v>
      </c>
      <c r="N1593" t="s">
        <v>276</v>
      </c>
      <c r="P1593" t="s">
        <v>260</v>
      </c>
      <c r="Q1593" t="s">
        <v>260</v>
      </c>
      <c r="R1593" t="s">
        <v>283</v>
      </c>
      <c r="S1593" t="s">
        <v>21</v>
      </c>
      <c r="T1593">
        <v>100</v>
      </c>
      <c r="W1593" t="s">
        <v>262</v>
      </c>
      <c r="X1593">
        <v>-37.008299999999998</v>
      </c>
      <c r="Y1593">
        <v>174.87049999999999</v>
      </c>
    </row>
    <row r="1594" spans="1:28" x14ac:dyDescent="0.3">
      <c r="A1594" t="s">
        <v>21</v>
      </c>
      <c r="B1594" t="s">
        <v>4569</v>
      </c>
      <c r="C1594" t="s">
        <v>270</v>
      </c>
      <c r="D1594" t="s">
        <v>4570</v>
      </c>
      <c r="E1594">
        <v>91742</v>
      </c>
      <c r="H1594" t="s">
        <v>4571</v>
      </c>
      <c r="I1594" t="s">
        <v>4555</v>
      </c>
      <c r="J1594" t="s">
        <v>739</v>
      </c>
      <c r="K1594">
        <v>4410</v>
      </c>
      <c r="L1594" t="s">
        <v>276</v>
      </c>
      <c r="M1594" t="s">
        <v>739</v>
      </c>
      <c r="N1594" t="s">
        <v>276</v>
      </c>
      <c r="P1594" t="s">
        <v>260</v>
      </c>
      <c r="Q1594" t="s">
        <v>260</v>
      </c>
      <c r="R1594" t="s">
        <v>293</v>
      </c>
      <c r="S1594" t="s">
        <v>21</v>
      </c>
      <c r="T1594">
        <v>100</v>
      </c>
      <c r="W1594" t="s">
        <v>262</v>
      </c>
      <c r="X1594">
        <v>-40.365499999999997</v>
      </c>
      <c r="Y1594">
        <v>175.63749999999999</v>
      </c>
      <c r="AB1594" s="9">
        <v>45473</v>
      </c>
    </row>
    <row r="1595" spans="1:28" x14ac:dyDescent="0.3">
      <c r="A1595" t="s">
        <v>21</v>
      </c>
      <c r="B1595" t="s">
        <v>4572</v>
      </c>
      <c r="C1595" t="s">
        <v>270</v>
      </c>
      <c r="D1595" t="s">
        <v>4573</v>
      </c>
      <c r="E1595">
        <v>91269</v>
      </c>
      <c r="H1595" t="s">
        <v>4574</v>
      </c>
      <c r="I1595" t="s">
        <v>3650</v>
      </c>
      <c r="J1595" t="s">
        <v>739</v>
      </c>
      <c r="K1595">
        <v>4412</v>
      </c>
      <c r="L1595" t="s">
        <v>276</v>
      </c>
      <c r="M1595" t="s">
        <v>739</v>
      </c>
      <c r="N1595" t="s">
        <v>276</v>
      </c>
      <c r="P1595" t="s">
        <v>260</v>
      </c>
      <c r="Q1595" t="s">
        <v>260</v>
      </c>
      <c r="R1595" t="s">
        <v>293</v>
      </c>
      <c r="S1595" t="s">
        <v>21</v>
      </c>
      <c r="T1595">
        <v>100</v>
      </c>
      <c r="W1595" t="s">
        <v>262</v>
      </c>
      <c r="X1595">
        <v>-40.373699999999999</v>
      </c>
      <c r="Y1595">
        <v>175.59110000000001</v>
      </c>
      <c r="AB1595" s="9">
        <v>45473</v>
      </c>
    </row>
    <row r="1596" spans="1:28" x14ac:dyDescent="0.3">
      <c r="A1596" t="s">
        <v>21</v>
      </c>
      <c r="B1596" t="s">
        <v>4575</v>
      </c>
      <c r="C1596" t="s">
        <v>270</v>
      </c>
      <c r="D1596" t="s">
        <v>4576</v>
      </c>
      <c r="E1596">
        <v>91640</v>
      </c>
      <c r="H1596" t="s">
        <v>4577</v>
      </c>
      <c r="I1596" t="s">
        <v>4578</v>
      </c>
      <c r="J1596" t="s">
        <v>739</v>
      </c>
      <c r="K1596">
        <v>4410</v>
      </c>
      <c r="L1596" t="s">
        <v>276</v>
      </c>
      <c r="M1596" t="s">
        <v>739</v>
      </c>
      <c r="N1596" t="s">
        <v>276</v>
      </c>
      <c r="P1596" t="s">
        <v>260</v>
      </c>
      <c r="Q1596" t="s">
        <v>260</v>
      </c>
      <c r="R1596" t="s">
        <v>293</v>
      </c>
      <c r="S1596" t="s">
        <v>21</v>
      </c>
      <c r="T1596">
        <v>100</v>
      </c>
      <c r="W1596" t="s">
        <v>262</v>
      </c>
      <c r="X1596">
        <v>-40.350200000000001</v>
      </c>
      <c r="Y1596">
        <v>175.6283</v>
      </c>
      <c r="AB1596" s="9">
        <v>45473</v>
      </c>
    </row>
    <row r="1597" spans="1:28" x14ac:dyDescent="0.3">
      <c r="A1597" t="s">
        <v>21</v>
      </c>
      <c r="B1597" t="s">
        <v>4579</v>
      </c>
      <c r="C1597" t="s">
        <v>270</v>
      </c>
      <c r="D1597" t="s">
        <v>4580</v>
      </c>
      <c r="E1597">
        <v>91642</v>
      </c>
      <c r="H1597" t="s">
        <v>4581</v>
      </c>
      <c r="I1597" t="s">
        <v>4582</v>
      </c>
      <c r="J1597" t="s">
        <v>739</v>
      </c>
      <c r="K1597">
        <v>4412</v>
      </c>
      <c r="L1597" t="s">
        <v>276</v>
      </c>
      <c r="M1597" t="s">
        <v>739</v>
      </c>
      <c r="N1597" t="s">
        <v>276</v>
      </c>
      <c r="P1597" t="s">
        <v>260</v>
      </c>
      <c r="Q1597" t="s">
        <v>260</v>
      </c>
      <c r="R1597" t="s">
        <v>293</v>
      </c>
      <c r="S1597" t="s">
        <v>21</v>
      </c>
      <c r="T1597">
        <v>100</v>
      </c>
      <c r="W1597" t="s">
        <v>262</v>
      </c>
      <c r="X1597">
        <v>-40.364899999999999</v>
      </c>
      <c r="Y1597">
        <v>175.601</v>
      </c>
      <c r="AB1597" s="9">
        <v>45473</v>
      </c>
    </row>
    <row r="1598" spans="1:28" x14ac:dyDescent="0.3">
      <c r="A1598" t="s">
        <v>21</v>
      </c>
      <c r="B1598" t="s">
        <v>4583</v>
      </c>
      <c r="C1598" t="s">
        <v>270</v>
      </c>
      <c r="D1598" t="s">
        <v>4584</v>
      </c>
      <c r="E1598" t="s">
        <v>4585</v>
      </c>
      <c r="H1598" t="s">
        <v>4586</v>
      </c>
      <c r="I1598" t="s">
        <v>4587</v>
      </c>
      <c r="J1598" t="s">
        <v>739</v>
      </c>
      <c r="K1598">
        <v>4414</v>
      </c>
      <c r="L1598" t="s">
        <v>276</v>
      </c>
      <c r="M1598" t="s">
        <v>739</v>
      </c>
      <c r="N1598" t="s">
        <v>276</v>
      </c>
      <c r="P1598" t="s">
        <v>260</v>
      </c>
      <c r="Q1598" t="s">
        <v>260</v>
      </c>
      <c r="R1598" t="s">
        <v>283</v>
      </c>
      <c r="S1598" t="s">
        <v>21</v>
      </c>
      <c r="T1598">
        <v>100</v>
      </c>
      <c r="W1598" t="s">
        <v>262</v>
      </c>
      <c r="X1598">
        <v>-40.3354</v>
      </c>
      <c r="Y1598">
        <v>175.6448</v>
      </c>
    </row>
    <row r="1599" spans="1:28" x14ac:dyDescent="0.3">
      <c r="A1599" t="s">
        <v>21</v>
      </c>
      <c r="B1599" t="s">
        <v>4588</v>
      </c>
      <c r="C1599" t="s">
        <v>270</v>
      </c>
      <c r="D1599" t="s">
        <v>737</v>
      </c>
      <c r="E1599">
        <v>55590</v>
      </c>
      <c r="H1599" t="s">
        <v>738</v>
      </c>
      <c r="I1599" t="s">
        <v>4589</v>
      </c>
      <c r="J1599" t="s">
        <v>739</v>
      </c>
      <c r="K1599">
        <v>4478</v>
      </c>
      <c r="L1599" t="s">
        <v>276</v>
      </c>
      <c r="M1599" t="s">
        <v>739</v>
      </c>
      <c r="N1599" t="s">
        <v>276</v>
      </c>
      <c r="P1599" t="s">
        <v>260</v>
      </c>
      <c r="Q1599" t="s">
        <v>260</v>
      </c>
      <c r="R1599" t="s">
        <v>261</v>
      </c>
      <c r="S1599" t="s">
        <v>21</v>
      </c>
      <c r="T1599">
        <v>100</v>
      </c>
      <c r="W1599" t="s">
        <v>262</v>
      </c>
      <c r="X1599">
        <v>-40.314799999999998</v>
      </c>
      <c r="Y1599">
        <v>175.6233</v>
      </c>
    </row>
    <row r="1600" spans="1:28" x14ac:dyDescent="0.3">
      <c r="A1600" t="s">
        <v>21</v>
      </c>
      <c r="B1600" t="s">
        <v>4590</v>
      </c>
      <c r="C1600" t="s">
        <v>270</v>
      </c>
      <c r="D1600" t="s">
        <v>4591</v>
      </c>
      <c r="E1600">
        <v>10113</v>
      </c>
      <c r="G1600">
        <v>10.113</v>
      </c>
      <c r="H1600" t="s">
        <v>2433</v>
      </c>
      <c r="I1600" t="s">
        <v>1343</v>
      </c>
      <c r="J1600" t="s">
        <v>297</v>
      </c>
      <c r="K1600">
        <v>2104</v>
      </c>
      <c r="L1600" t="s">
        <v>276</v>
      </c>
      <c r="M1600" t="s">
        <v>631</v>
      </c>
      <c r="N1600" t="s">
        <v>276</v>
      </c>
      <c r="P1600" t="s">
        <v>260</v>
      </c>
      <c r="Q1600" t="s">
        <v>260</v>
      </c>
      <c r="R1600" t="s">
        <v>283</v>
      </c>
      <c r="S1600" t="s">
        <v>21</v>
      </c>
      <c r="T1600">
        <v>100</v>
      </c>
      <c r="W1600" t="s">
        <v>262</v>
      </c>
      <c r="X1600">
        <v>-37.008299999999998</v>
      </c>
      <c r="Y1600">
        <v>174.87049999999999</v>
      </c>
    </row>
    <row r="1601" spans="1:25" x14ac:dyDescent="0.3">
      <c r="A1601" t="s">
        <v>21</v>
      </c>
      <c r="B1601" t="s">
        <v>4592</v>
      </c>
      <c r="C1601" t="s">
        <v>270</v>
      </c>
      <c r="D1601" t="s">
        <v>4593</v>
      </c>
      <c r="E1601">
        <v>10161</v>
      </c>
      <c r="G1601">
        <v>10.161</v>
      </c>
      <c r="H1601" t="s">
        <v>2433</v>
      </c>
      <c r="I1601" t="s">
        <v>1343</v>
      </c>
      <c r="J1601" t="s">
        <v>297</v>
      </c>
      <c r="K1601">
        <v>2104</v>
      </c>
      <c r="L1601" t="s">
        <v>276</v>
      </c>
      <c r="M1601" t="s">
        <v>631</v>
      </c>
      <c r="N1601" t="s">
        <v>276</v>
      </c>
      <c r="P1601" t="s">
        <v>260</v>
      </c>
      <c r="Q1601" t="s">
        <v>260</v>
      </c>
      <c r="R1601" t="s">
        <v>283</v>
      </c>
      <c r="S1601" t="s">
        <v>21</v>
      </c>
      <c r="T1601">
        <v>100</v>
      </c>
      <c r="W1601" t="s">
        <v>262</v>
      </c>
      <c r="X1601">
        <v>-37.008299999999998</v>
      </c>
      <c r="Y1601">
        <v>174.87049999999999</v>
      </c>
    </row>
    <row r="1602" spans="1:25" x14ac:dyDescent="0.3">
      <c r="A1602" t="s">
        <v>21</v>
      </c>
      <c r="B1602" t="s">
        <v>4594</v>
      </c>
      <c r="C1602" t="s">
        <v>270</v>
      </c>
      <c r="D1602" t="s">
        <v>4595</v>
      </c>
      <c r="E1602">
        <v>55403</v>
      </c>
      <c r="G1602" t="s">
        <v>4596</v>
      </c>
      <c r="M1602" t="s">
        <v>380</v>
      </c>
      <c r="N1602" t="s">
        <v>276</v>
      </c>
      <c r="P1602" t="s">
        <v>260</v>
      </c>
      <c r="Q1602" t="s">
        <v>260</v>
      </c>
      <c r="R1602" t="s">
        <v>261</v>
      </c>
      <c r="S1602" t="s">
        <v>21</v>
      </c>
      <c r="T1602">
        <v>100</v>
      </c>
      <c r="W1602" t="s">
        <v>262</v>
      </c>
    </row>
    <row r="1603" spans="1:25" x14ac:dyDescent="0.3">
      <c r="A1603" t="s">
        <v>21</v>
      </c>
      <c r="B1603" t="s">
        <v>4597</v>
      </c>
      <c r="C1603" t="s">
        <v>270</v>
      </c>
      <c r="D1603" t="s">
        <v>4598</v>
      </c>
      <c r="E1603">
        <v>2000000470</v>
      </c>
      <c r="H1603" t="s">
        <v>2433</v>
      </c>
      <c r="I1603" t="s">
        <v>1343</v>
      </c>
      <c r="J1603" t="s">
        <v>297</v>
      </c>
      <c r="K1603">
        <v>2104</v>
      </c>
      <c r="L1603" t="s">
        <v>276</v>
      </c>
      <c r="M1603" t="s">
        <v>631</v>
      </c>
      <c r="N1603" t="s">
        <v>276</v>
      </c>
      <c r="P1603" t="s">
        <v>260</v>
      </c>
      <c r="Q1603" t="s">
        <v>260</v>
      </c>
      <c r="R1603" t="s">
        <v>268</v>
      </c>
      <c r="S1603" t="s">
        <v>21</v>
      </c>
      <c r="T1603">
        <v>100</v>
      </c>
      <c r="W1603" t="s">
        <v>262</v>
      </c>
      <c r="X1603">
        <v>-37.008299999999998</v>
      </c>
      <c r="Y1603">
        <v>174.87049999999999</v>
      </c>
    </row>
    <row r="1604" spans="1:25" x14ac:dyDescent="0.3">
      <c r="A1604" t="s">
        <v>21</v>
      </c>
      <c r="B1604" t="s">
        <v>4599</v>
      </c>
      <c r="C1604" t="s">
        <v>270</v>
      </c>
      <c r="D1604" t="s">
        <v>4600</v>
      </c>
      <c r="E1604">
        <v>2000000220</v>
      </c>
      <c r="H1604" t="s">
        <v>2433</v>
      </c>
      <c r="I1604" t="s">
        <v>1343</v>
      </c>
      <c r="J1604" t="s">
        <v>297</v>
      </c>
      <c r="K1604">
        <v>2104</v>
      </c>
      <c r="L1604" t="s">
        <v>276</v>
      </c>
      <c r="M1604" t="s">
        <v>631</v>
      </c>
      <c r="N1604" t="s">
        <v>276</v>
      </c>
      <c r="P1604" t="s">
        <v>260</v>
      </c>
      <c r="Q1604" t="s">
        <v>260</v>
      </c>
      <c r="R1604" t="s">
        <v>268</v>
      </c>
      <c r="S1604" t="s">
        <v>21</v>
      </c>
      <c r="T1604">
        <v>100</v>
      </c>
      <c r="W1604" t="s">
        <v>262</v>
      </c>
      <c r="X1604">
        <v>-37.008299999999998</v>
      </c>
      <c r="Y1604">
        <v>174.87049999999999</v>
      </c>
    </row>
    <row r="1605" spans="1:25" x14ac:dyDescent="0.3">
      <c r="A1605" t="s">
        <v>21</v>
      </c>
      <c r="B1605" t="s">
        <v>4601</v>
      </c>
      <c r="C1605" t="s">
        <v>270</v>
      </c>
      <c r="D1605" t="s">
        <v>4602</v>
      </c>
      <c r="E1605">
        <v>2000000100</v>
      </c>
      <c r="H1605" t="s">
        <v>2433</v>
      </c>
      <c r="I1605" t="s">
        <v>1343</v>
      </c>
      <c r="J1605" t="s">
        <v>297</v>
      </c>
      <c r="K1605">
        <v>2104</v>
      </c>
      <c r="L1605" t="s">
        <v>276</v>
      </c>
      <c r="M1605" t="s">
        <v>631</v>
      </c>
      <c r="N1605" t="s">
        <v>276</v>
      </c>
      <c r="P1605" t="s">
        <v>260</v>
      </c>
      <c r="Q1605" t="s">
        <v>260</v>
      </c>
      <c r="R1605" t="s">
        <v>268</v>
      </c>
      <c r="S1605" t="s">
        <v>21</v>
      </c>
      <c r="T1605">
        <v>100</v>
      </c>
      <c r="W1605" t="s">
        <v>262</v>
      </c>
      <c r="X1605">
        <v>-37.008299999999998</v>
      </c>
      <c r="Y1605">
        <v>174.87049999999999</v>
      </c>
    </row>
    <row r="1606" spans="1:25" x14ac:dyDescent="0.3">
      <c r="A1606" t="s">
        <v>21</v>
      </c>
      <c r="B1606" t="s">
        <v>4603</v>
      </c>
      <c r="C1606" t="s">
        <v>270</v>
      </c>
      <c r="D1606" t="s">
        <v>4604</v>
      </c>
      <c r="E1606">
        <v>2000000300</v>
      </c>
      <c r="H1606" t="s">
        <v>2433</v>
      </c>
      <c r="I1606" t="s">
        <v>1343</v>
      </c>
      <c r="J1606" t="s">
        <v>297</v>
      </c>
      <c r="K1606">
        <v>2104</v>
      </c>
      <c r="L1606" t="s">
        <v>276</v>
      </c>
      <c r="M1606" t="s">
        <v>631</v>
      </c>
      <c r="N1606" t="s">
        <v>276</v>
      </c>
      <c r="P1606" t="s">
        <v>260</v>
      </c>
      <c r="Q1606" t="s">
        <v>260</v>
      </c>
      <c r="R1606" t="s">
        <v>268</v>
      </c>
      <c r="S1606" t="s">
        <v>21</v>
      </c>
      <c r="T1606">
        <v>100</v>
      </c>
      <c r="W1606" t="s">
        <v>262</v>
      </c>
      <c r="X1606">
        <v>-37.008299999999998</v>
      </c>
      <c r="Y1606">
        <v>174.87049999999999</v>
      </c>
    </row>
    <row r="1607" spans="1:25" x14ac:dyDescent="0.3">
      <c r="A1607" t="s">
        <v>21</v>
      </c>
      <c r="B1607" t="s">
        <v>4605</v>
      </c>
      <c r="C1607" t="s">
        <v>270</v>
      </c>
      <c r="D1607" t="s">
        <v>4606</v>
      </c>
      <c r="E1607">
        <v>2000000280</v>
      </c>
      <c r="F1607">
        <v>2000000280</v>
      </c>
      <c r="M1607" t="s">
        <v>631</v>
      </c>
      <c r="N1607" t="s">
        <v>276</v>
      </c>
      <c r="P1607" t="s">
        <v>260</v>
      </c>
      <c r="Q1607" t="s">
        <v>260</v>
      </c>
      <c r="R1607" t="s">
        <v>268</v>
      </c>
      <c r="S1607" t="s">
        <v>21</v>
      </c>
      <c r="T1607">
        <v>100</v>
      </c>
      <c r="W1607" t="s">
        <v>262</v>
      </c>
    </row>
    <row r="1608" spans="1:25" x14ac:dyDescent="0.3">
      <c r="A1608" t="s">
        <v>21</v>
      </c>
      <c r="B1608" t="s">
        <v>4607</v>
      </c>
      <c r="C1608" t="s">
        <v>270</v>
      </c>
      <c r="D1608" t="s">
        <v>4608</v>
      </c>
      <c r="E1608">
        <v>2000000350</v>
      </c>
      <c r="H1608" t="s">
        <v>2433</v>
      </c>
      <c r="I1608" t="s">
        <v>1343</v>
      </c>
      <c r="J1608" t="s">
        <v>297</v>
      </c>
      <c r="K1608">
        <v>2104</v>
      </c>
      <c r="L1608" t="s">
        <v>276</v>
      </c>
      <c r="M1608" t="s">
        <v>631</v>
      </c>
      <c r="N1608" t="s">
        <v>276</v>
      </c>
      <c r="P1608" t="s">
        <v>260</v>
      </c>
      <c r="Q1608" t="s">
        <v>260</v>
      </c>
      <c r="R1608" t="s">
        <v>268</v>
      </c>
      <c r="S1608" t="s">
        <v>21</v>
      </c>
      <c r="T1608">
        <v>100</v>
      </c>
      <c r="W1608" t="s">
        <v>262</v>
      </c>
      <c r="X1608">
        <v>-37.008299999999998</v>
      </c>
      <c r="Y1608">
        <v>174.87049999999999</v>
      </c>
    </row>
    <row r="1609" spans="1:25" x14ac:dyDescent="0.3">
      <c r="A1609" t="s">
        <v>21</v>
      </c>
      <c r="B1609" t="s">
        <v>4609</v>
      </c>
      <c r="C1609" t="s">
        <v>270</v>
      </c>
      <c r="D1609" t="s">
        <v>4610</v>
      </c>
      <c r="E1609">
        <v>2000000020</v>
      </c>
      <c r="H1609" t="s">
        <v>2433</v>
      </c>
      <c r="I1609" t="s">
        <v>1343</v>
      </c>
      <c r="J1609" t="s">
        <v>297</v>
      </c>
      <c r="K1609">
        <v>2104</v>
      </c>
      <c r="L1609" t="s">
        <v>276</v>
      </c>
      <c r="M1609" t="s">
        <v>631</v>
      </c>
      <c r="N1609" t="s">
        <v>276</v>
      </c>
      <c r="P1609" t="s">
        <v>260</v>
      </c>
      <c r="Q1609" t="s">
        <v>260</v>
      </c>
      <c r="R1609" t="s">
        <v>268</v>
      </c>
      <c r="S1609" t="s">
        <v>21</v>
      </c>
      <c r="T1609">
        <v>100</v>
      </c>
      <c r="W1609" t="s">
        <v>262</v>
      </c>
      <c r="X1609">
        <v>-37.008299999999998</v>
      </c>
      <c r="Y1609">
        <v>174.87049999999999</v>
      </c>
    </row>
    <row r="1610" spans="1:25" x14ac:dyDescent="0.3">
      <c r="A1610" t="s">
        <v>21</v>
      </c>
      <c r="B1610" t="s">
        <v>4611</v>
      </c>
      <c r="C1610" t="s">
        <v>270</v>
      </c>
      <c r="D1610" t="s">
        <v>4612</v>
      </c>
      <c r="E1610">
        <v>2000000200</v>
      </c>
      <c r="H1610" t="s">
        <v>2433</v>
      </c>
      <c r="I1610" t="s">
        <v>1343</v>
      </c>
      <c r="J1610" t="s">
        <v>297</v>
      </c>
      <c r="K1610">
        <v>2104</v>
      </c>
      <c r="L1610" t="s">
        <v>276</v>
      </c>
      <c r="M1610" t="s">
        <v>631</v>
      </c>
      <c r="N1610" t="s">
        <v>276</v>
      </c>
      <c r="P1610" t="s">
        <v>260</v>
      </c>
      <c r="Q1610" t="s">
        <v>260</v>
      </c>
      <c r="R1610" t="s">
        <v>268</v>
      </c>
      <c r="S1610" t="s">
        <v>21</v>
      </c>
      <c r="T1610">
        <v>100</v>
      </c>
      <c r="W1610" t="s">
        <v>262</v>
      </c>
      <c r="X1610">
        <v>-37.008299999999998</v>
      </c>
      <c r="Y1610">
        <v>174.87049999999999</v>
      </c>
    </row>
    <row r="1611" spans="1:25" x14ac:dyDescent="0.3">
      <c r="A1611" t="s">
        <v>21</v>
      </c>
      <c r="B1611" t="s">
        <v>4613</v>
      </c>
      <c r="C1611" t="s">
        <v>270</v>
      </c>
      <c r="D1611" t="s">
        <v>4614</v>
      </c>
      <c r="E1611">
        <v>2000000180</v>
      </c>
      <c r="G1611" t="s">
        <v>4615</v>
      </c>
      <c r="M1611" t="s">
        <v>664</v>
      </c>
      <c r="N1611" t="s">
        <v>276</v>
      </c>
      <c r="P1611" t="s">
        <v>260</v>
      </c>
      <c r="Q1611" t="s">
        <v>260</v>
      </c>
      <c r="R1611" t="s">
        <v>268</v>
      </c>
      <c r="S1611" t="s">
        <v>21</v>
      </c>
      <c r="T1611">
        <v>100</v>
      </c>
      <c r="W1611" t="s">
        <v>262</v>
      </c>
    </row>
    <row r="1612" spans="1:25" x14ac:dyDescent="0.3">
      <c r="A1612" t="s">
        <v>21</v>
      </c>
      <c r="B1612" t="s">
        <v>4616</v>
      </c>
      <c r="C1612" t="s">
        <v>270</v>
      </c>
      <c r="D1612" t="s">
        <v>4617</v>
      </c>
      <c r="E1612">
        <v>2000000680</v>
      </c>
      <c r="H1612" t="s">
        <v>2433</v>
      </c>
      <c r="I1612" t="s">
        <v>1343</v>
      </c>
      <c r="J1612" t="s">
        <v>297</v>
      </c>
      <c r="K1612">
        <v>2104</v>
      </c>
      <c r="L1612" t="s">
        <v>276</v>
      </c>
      <c r="M1612" t="s">
        <v>631</v>
      </c>
      <c r="N1612" t="s">
        <v>276</v>
      </c>
      <c r="P1612" t="s">
        <v>260</v>
      </c>
      <c r="Q1612" t="s">
        <v>260</v>
      </c>
      <c r="R1612" t="s">
        <v>268</v>
      </c>
      <c r="S1612" t="s">
        <v>21</v>
      </c>
      <c r="T1612">
        <v>100</v>
      </c>
      <c r="W1612" t="s">
        <v>262</v>
      </c>
      <c r="X1612">
        <v>-37.008299999999998</v>
      </c>
      <c r="Y1612">
        <v>174.87049999999999</v>
      </c>
    </row>
    <row r="1613" spans="1:25" x14ac:dyDescent="0.3">
      <c r="A1613" t="s">
        <v>21</v>
      </c>
      <c r="B1613" t="s">
        <v>4618</v>
      </c>
      <c r="C1613" t="s">
        <v>270</v>
      </c>
      <c r="D1613" t="s">
        <v>4619</v>
      </c>
      <c r="E1613">
        <v>2000000550</v>
      </c>
      <c r="H1613" t="s">
        <v>2433</v>
      </c>
      <c r="I1613" t="s">
        <v>1343</v>
      </c>
      <c r="J1613" t="s">
        <v>297</v>
      </c>
      <c r="K1613">
        <v>2104</v>
      </c>
      <c r="L1613" t="s">
        <v>276</v>
      </c>
      <c r="M1613" t="s">
        <v>631</v>
      </c>
      <c r="N1613" t="s">
        <v>276</v>
      </c>
      <c r="P1613" t="s">
        <v>260</v>
      </c>
      <c r="Q1613" t="s">
        <v>260</v>
      </c>
      <c r="R1613" t="s">
        <v>268</v>
      </c>
      <c r="S1613" t="s">
        <v>21</v>
      </c>
      <c r="T1613">
        <v>100</v>
      </c>
      <c r="W1613" t="s">
        <v>262</v>
      </c>
      <c r="X1613">
        <v>-37.008299999999998</v>
      </c>
      <c r="Y1613">
        <v>174.87049999999999</v>
      </c>
    </row>
    <row r="1614" spans="1:25" x14ac:dyDescent="0.3">
      <c r="A1614" t="s">
        <v>21</v>
      </c>
      <c r="B1614" t="s">
        <v>4620</v>
      </c>
      <c r="C1614" t="s">
        <v>270</v>
      </c>
      <c r="D1614" t="s">
        <v>4621</v>
      </c>
      <c r="E1614">
        <v>2000000690</v>
      </c>
      <c r="H1614" t="s">
        <v>2433</v>
      </c>
      <c r="I1614" t="s">
        <v>1343</v>
      </c>
      <c r="J1614" t="s">
        <v>297</v>
      </c>
      <c r="K1614">
        <v>2104</v>
      </c>
      <c r="L1614" t="s">
        <v>276</v>
      </c>
      <c r="M1614" t="s">
        <v>631</v>
      </c>
      <c r="N1614" t="s">
        <v>276</v>
      </c>
      <c r="P1614" t="s">
        <v>260</v>
      </c>
      <c r="Q1614" t="s">
        <v>260</v>
      </c>
      <c r="R1614" t="s">
        <v>268</v>
      </c>
      <c r="S1614" t="s">
        <v>21</v>
      </c>
      <c r="T1614">
        <v>100</v>
      </c>
      <c r="W1614" t="s">
        <v>262</v>
      </c>
      <c r="X1614">
        <v>-37.008299999999998</v>
      </c>
      <c r="Y1614">
        <v>174.87049999999999</v>
      </c>
    </row>
    <row r="1615" spans="1:25" x14ac:dyDescent="0.3">
      <c r="A1615" t="s">
        <v>21</v>
      </c>
      <c r="B1615" t="s">
        <v>4622</v>
      </c>
      <c r="C1615" t="s">
        <v>270</v>
      </c>
      <c r="D1615" t="s">
        <v>4623</v>
      </c>
      <c r="E1615">
        <v>2000000720</v>
      </c>
      <c r="H1615" t="s">
        <v>2433</v>
      </c>
      <c r="I1615" t="s">
        <v>1343</v>
      </c>
      <c r="J1615" t="s">
        <v>297</v>
      </c>
      <c r="K1615">
        <v>2104</v>
      </c>
      <c r="L1615" t="s">
        <v>276</v>
      </c>
      <c r="M1615" t="s">
        <v>631</v>
      </c>
      <c r="N1615" t="s">
        <v>276</v>
      </c>
      <c r="P1615" t="s">
        <v>260</v>
      </c>
      <c r="Q1615" t="s">
        <v>260</v>
      </c>
      <c r="R1615" t="s">
        <v>268</v>
      </c>
      <c r="S1615" t="s">
        <v>21</v>
      </c>
      <c r="T1615">
        <v>100</v>
      </c>
      <c r="W1615" t="s">
        <v>262</v>
      </c>
      <c r="X1615">
        <v>-37.008299999999998</v>
      </c>
      <c r="Y1615">
        <v>174.87049999999999</v>
      </c>
    </row>
    <row r="1616" spans="1:25" x14ac:dyDescent="0.3">
      <c r="A1616" t="s">
        <v>21</v>
      </c>
      <c r="B1616" t="s">
        <v>4624</v>
      </c>
      <c r="C1616" t="s">
        <v>270</v>
      </c>
      <c r="D1616" t="s">
        <v>4625</v>
      </c>
      <c r="E1616" t="s">
        <v>4625</v>
      </c>
      <c r="M1616" t="s">
        <v>399</v>
      </c>
      <c r="N1616" t="s">
        <v>276</v>
      </c>
      <c r="P1616" t="s">
        <v>260</v>
      </c>
      <c r="Q1616" t="s">
        <v>260</v>
      </c>
      <c r="R1616" t="s">
        <v>268</v>
      </c>
      <c r="S1616" t="s">
        <v>21</v>
      </c>
      <c r="T1616">
        <v>100</v>
      </c>
      <c r="W1616" t="s">
        <v>262</v>
      </c>
    </row>
    <row r="1617" spans="1:25" x14ac:dyDescent="0.3">
      <c r="A1617" t="s">
        <v>21</v>
      </c>
      <c r="B1617" t="s">
        <v>4626</v>
      </c>
      <c r="C1617" t="s">
        <v>270</v>
      </c>
      <c r="D1617" t="s">
        <v>4627</v>
      </c>
      <c r="E1617">
        <v>2000000650</v>
      </c>
      <c r="H1617" t="s">
        <v>2433</v>
      </c>
      <c r="I1617" t="s">
        <v>1343</v>
      </c>
      <c r="J1617" t="s">
        <v>297</v>
      </c>
      <c r="K1617">
        <v>2104</v>
      </c>
      <c r="L1617" t="s">
        <v>276</v>
      </c>
      <c r="M1617" t="s">
        <v>631</v>
      </c>
      <c r="N1617" t="s">
        <v>276</v>
      </c>
      <c r="P1617" t="s">
        <v>260</v>
      </c>
      <c r="Q1617" t="s">
        <v>260</v>
      </c>
      <c r="R1617" t="s">
        <v>268</v>
      </c>
      <c r="S1617" t="s">
        <v>21</v>
      </c>
      <c r="T1617">
        <v>100</v>
      </c>
      <c r="W1617" t="s">
        <v>262</v>
      </c>
      <c r="X1617">
        <v>-37.008299999999998</v>
      </c>
      <c r="Y1617">
        <v>174.87049999999999</v>
      </c>
    </row>
    <row r="1618" spans="1:25" x14ac:dyDescent="0.3">
      <c r="A1618" t="s">
        <v>21</v>
      </c>
      <c r="B1618" t="s">
        <v>4628</v>
      </c>
      <c r="C1618" t="s">
        <v>270</v>
      </c>
      <c r="D1618" t="s">
        <v>4629</v>
      </c>
      <c r="E1618">
        <v>2000000860</v>
      </c>
      <c r="H1618" t="s">
        <v>2433</v>
      </c>
      <c r="I1618" t="s">
        <v>1343</v>
      </c>
      <c r="J1618" t="s">
        <v>297</v>
      </c>
      <c r="K1618">
        <v>2104</v>
      </c>
      <c r="L1618" t="s">
        <v>276</v>
      </c>
      <c r="M1618" t="s">
        <v>631</v>
      </c>
      <c r="N1618" t="s">
        <v>276</v>
      </c>
      <c r="P1618" t="s">
        <v>260</v>
      </c>
      <c r="Q1618" t="s">
        <v>260</v>
      </c>
      <c r="R1618" t="s">
        <v>268</v>
      </c>
      <c r="S1618" t="s">
        <v>21</v>
      </c>
      <c r="T1618">
        <v>100</v>
      </c>
      <c r="W1618" t="s">
        <v>262</v>
      </c>
      <c r="X1618">
        <v>-37.008299999999998</v>
      </c>
      <c r="Y1618">
        <v>174.87049999999999</v>
      </c>
    </row>
    <row r="1619" spans="1:25" x14ac:dyDescent="0.3">
      <c r="A1619" t="s">
        <v>21</v>
      </c>
      <c r="B1619" t="s">
        <v>4630</v>
      </c>
      <c r="C1619" t="s">
        <v>270</v>
      </c>
      <c r="D1619" t="s">
        <v>4631</v>
      </c>
      <c r="E1619">
        <v>2000000660</v>
      </c>
      <c r="H1619" t="s">
        <v>2433</v>
      </c>
      <c r="I1619" t="s">
        <v>1343</v>
      </c>
      <c r="J1619" t="s">
        <v>297</v>
      </c>
      <c r="K1619">
        <v>2104</v>
      </c>
      <c r="L1619" t="s">
        <v>276</v>
      </c>
      <c r="M1619" t="s">
        <v>631</v>
      </c>
      <c r="N1619" t="s">
        <v>276</v>
      </c>
      <c r="P1619" t="s">
        <v>260</v>
      </c>
      <c r="Q1619" t="s">
        <v>260</v>
      </c>
      <c r="R1619" t="s">
        <v>268</v>
      </c>
      <c r="S1619" t="s">
        <v>21</v>
      </c>
      <c r="T1619">
        <v>100</v>
      </c>
      <c r="W1619" t="s">
        <v>262</v>
      </c>
      <c r="X1619">
        <v>-37.008299999999998</v>
      </c>
      <c r="Y1619">
        <v>174.87049999999999</v>
      </c>
    </row>
    <row r="1620" spans="1:25" x14ac:dyDescent="0.3">
      <c r="A1620" t="s">
        <v>21</v>
      </c>
      <c r="B1620" t="s">
        <v>4632</v>
      </c>
      <c r="C1620" t="s">
        <v>270</v>
      </c>
      <c r="D1620" t="s">
        <v>4633</v>
      </c>
      <c r="E1620">
        <v>2000000390</v>
      </c>
      <c r="H1620" t="s">
        <v>2433</v>
      </c>
      <c r="I1620" t="s">
        <v>1343</v>
      </c>
      <c r="J1620" t="s">
        <v>297</v>
      </c>
      <c r="K1620">
        <v>2104</v>
      </c>
      <c r="L1620" t="s">
        <v>276</v>
      </c>
      <c r="M1620" t="s">
        <v>631</v>
      </c>
      <c r="N1620" t="s">
        <v>276</v>
      </c>
      <c r="P1620" t="s">
        <v>260</v>
      </c>
      <c r="Q1620" t="s">
        <v>260</v>
      </c>
      <c r="R1620" t="s">
        <v>268</v>
      </c>
      <c r="S1620" t="s">
        <v>21</v>
      </c>
      <c r="T1620">
        <v>100</v>
      </c>
      <c r="W1620" t="s">
        <v>262</v>
      </c>
      <c r="X1620">
        <v>-37.008299999999998</v>
      </c>
      <c r="Y1620">
        <v>174.87049999999999</v>
      </c>
    </row>
    <row r="1621" spans="1:25" x14ac:dyDescent="0.3">
      <c r="A1621" t="s">
        <v>21</v>
      </c>
      <c r="B1621" t="s">
        <v>4634</v>
      </c>
      <c r="C1621" t="s">
        <v>270</v>
      </c>
      <c r="D1621" t="s">
        <v>4635</v>
      </c>
      <c r="E1621" t="s">
        <v>4636</v>
      </c>
      <c r="M1621" t="s">
        <v>631</v>
      </c>
      <c r="N1621" t="s">
        <v>276</v>
      </c>
      <c r="P1621" t="s">
        <v>260</v>
      </c>
      <c r="Q1621" t="s">
        <v>260</v>
      </c>
      <c r="R1621" t="s">
        <v>283</v>
      </c>
      <c r="S1621" t="s">
        <v>21</v>
      </c>
      <c r="T1621">
        <v>100</v>
      </c>
      <c r="W1621" t="s">
        <v>262</v>
      </c>
    </row>
    <row r="1622" spans="1:25" x14ac:dyDescent="0.3">
      <c r="A1622" t="s">
        <v>21</v>
      </c>
      <c r="B1622" t="s">
        <v>4637</v>
      </c>
      <c r="C1622" t="s">
        <v>270</v>
      </c>
      <c r="D1622" t="s">
        <v>4638</v>
      </c>
      <c r="E1622">
        <v>352405</v>
      </c>
      <c r="F1622">
        <v>352405</v>
      </c>
      <c r="M1622" t="s">
        <v>297</v>
      </c>
      <c r="N1622" t="s">
        <v>276</v>
      </c>
      <c r="P1622" t="s">
        <v>260</v>
      </c>
      <c r="Q1622" t="s">
        <v>260</v>
      </c>
      <c r="R1622" t="s">
        <v>261</v>
      </c>
      <c r="S1622" t="s">
        <v>21</v>
      </c>
      <c r="T1622">
        <v>100</v>
      </c>
      <c r="W1622" t="s">
        <v>262</v>
      </c>
    </row>
    <row r="1623" spans="1:25" x14ac:dyDescent="0.3">
      <c r="A1623" t="s">
        <v>21</v>
      </c>
      <c r="B1623" t="s">
        <v>4639</v>
      </c>
      <c r="C1623" t="s">
        <v>270</v>
      </c>
      <c r="D1623" t="s">
        <v>741</v>
      </c>
      <c r="E1623">
        <v>55530</v>
      </c>
      <c r="H1623" t="s">
        <v>2495</v>
      </c>
      <c r="I1623" t="s">
        <v>2496</v>
      </c>
      <c r="J1623" t="s">
        <v>297</v>
      </c>
      <c r="K1623">
        <v>1061</v>
      </c>
      <c r="L1623" t="s">
        <v>276</v>
      </c>
      <c r="M1623" t="s">
        <v>371</v>
      </c>
      <c r="N1623" t="s">
        <v>276</v>
      </c>
      <c r="P1623" t="s">
        <v>260</v>
      </c>
      <c r="Q1623" t="s">
        <v>260</v>
      </c>
      <c r="R1623" t="s">
        <v>261</v>
      </c>
      <c r="S1623" t="s">
        <v>21</v>
      </c>
      <c r="T1623">
        <v>100</v>
      </c>
      <c r="W1623" t="s">
        <v>262</v>
      </c>
      <c r="X1623">
        <v>-36.914900000000003</v>
      </c>
      <c r="Y1623">
        <v>174.8212</v>
      </c>
    </row>
    <row r="1624" spans="1:25" x14ac:dyDescent="0.3">
      <c r="A1624" t="s">
        <v>21</v>
      </c>
      <c r="B1624" t="s">
        <v>4640</v>
      </c>
      <c r="C1624" t="s">
        <v>270</v>
      </c>
      <c r="D1624" t="s">
        <v>4641</v>
      </c>
      <c r="E1624">
        <v>56703</v>
      </c>
      <c r="H1624" t="s">
        <v>2433</v>
      </c>
      <c r="I1624" t="s">
        <v>1343</v>
      </c>
      <c r="J1624" t="s">
        <v>297</v>
      </c>
      <c r="K1624">
        <v>2104</v>
      </c>
      <c r="L1624" t="s">
        <v>276</v>
      </c>
      <c r="M1624" t="s">
        <v>631</v>
      </c>
      <c r="N1624" t="s">
        <v>276</v>
      </c>
      <c r="P1624" t="s">
        <v>260</v>
      </c>
      <c r="Q1624" t="s">
        <v>260</v>
      </c>
      <c r="R1624" t="s">
        <v>283</v>
      </c>
      <c r="S1624" t="s">
        <v>21</v>
      </c>
      <c r="T1624">
        <v>100</v>
      </c>
      <c r="W1624" t="s">
        <v>262</v>
      </c>
      <c r="X1624">
        <v>-37.008299999999998</v>
      </c>
      <c r="Y1624">
        <v>174.87049999999999</v>
      </c>
    </row>
    <row r="1625" spans="1:25" x14ac:dyDescent="0.3">
      <c r="A1625" t="s">
        <v>21</v>
      </c>
      <c r="B1625" t="s">
        <v>4642</v>
      </c>
      <c r="C1625" t="s">
        <v>270</v>
      </c>
      <c r="D1625" t="s">
        <v>4643</v>
      </c>
      <c r="E1625">
        <v>56719</v>
      </c>
      <c r="H1625" t="s">
        <v>2433</v>
      </c>
      <c r="I1625" t="s">
        <v>1343</v>
      </c>
      <c r="J1625" t="s">
        <v>297</v>
      </c>
      <c r="K1625">
        <v>2104</v>
      </c>
      <c r="L1625" t="s">
        <v>276</v>
      </c>
      <c r="M1625" t="s">
        <v>631</v>
      </c>
      <c r="N1625" t="s">
        <v>276</v>
      </c>
      <c r="P1625" t="s">
        <v>260</v>
      </c>
      <c r="Q1625" t="s">
        <v>260</v>
      </c>
      <c r="R1625" t="s">
        <v>283</v>
      </c>
      <c r="S1625" t="s">
        <v>21</v>
      </c>
      <c r="T1625">
        <v>100</v>
      </c>
      <c r="W1625" t="s">
        <v>262</v>
      </c>
      <c r="X1625">
        <v>-37.008299999999998</v>
      </c>
      <c r="Y1625">
        <v>174.87049999999999</v>
      </c>
    </row>
    <row r="1626" spans="1:25" x14ac:dyDescent="0.3">
      <c r="A1626" t="s">
        <v>21</v>
      </c>
      <c r="B1626" t="s">
        <v>4644</v>
      </c>
      <c r="C1626" t="s">
        <v>270</v>
      </c>
      <c r="D1626" t="s">
        <v>4645</v>
      </c>
      <c r="E1626">
        <v>56720</v>
      </c>
      <c r="H1626" t="s">
        <v>2433</v>
      </c>
      <c r="I1626" t="s">
        <v>1343</v>
      </c>
      <c r="J1626" t="s">
        <v>297</v>
      </c>
      <c r="K1626">
        <v>2104</v>
      </c>
      <c r="L1626" t="s">
        <v>276</v>
      </c>
      <c r="M1626" t="s">
        <v>631</v>
      </c>
      <c r="N1626" t="s">
        <v>276</v>
      </c>
      <c r="P1626" t="s">
        <v>260</v>
      </c>
      <c r="Q1626" t="s">
        <v>260</v>
      </c>
      <c r="R1626" t="s">
        <v>283</v>
      </c>
      <c r="S1626" t="s">
        <v>21</v>
      </c>
      <c r="T1626">
        <v>100</v>
      </c>
      <c r="W1626" t="s">
        <v>262</v>
      </c>
      <c r="X1626">
        <v>-37.008299999999998</v>
      </c>
      <c r="Y1626">
        <v>174.87049999999999</v>
      </c>
    </row>
    <row r="1627" spans="1:25" x14ac:dyDescent="0.3">
      <c r="A1627" t="s">
        <v>21</v>
      </c>
      <c r="B1627" t="s">
        <v>4646</v>
      </c>
      <c r="C1627" t="s">
        <v>270</v>
      </c>
      <c r="D1627" t="s">
        <v>4647</v>
      </c>
      <c r="E1627">
        <v>56747</v>
      </c>
      <c r="H1627" t="s">
        <v>2433</v>
      </c>
      <c r="I1627" t="s">
        <v>1343</v>
      </c>
      <c r="J1627" t="s">
        <v>297</v>
      </c>
      <c r="K1627">
        <v>2104</v>
      </c>
      <c r="L1627" t="s">
        <v>276</v>
      </c>
      <c r="M1627" t="s">
        <v>631</v>
      </c>
      <c r="N1627" t="s">
        <v>276</v>
      </c>
      <c r="P1627" t="s">
        <v>260</v>
      </c>
      <c r="Q1627" t="s">
        <v>260</v>
      </c>
      <c r="R1627" t="s">
        <v>283</v>
      </c>
      <c r="S1627" t="s">
        <v>21</v>
      </c>
      <c r="T1627">
        <v>100</v>
      </c>
      <c r="W1627" t="s">
        <v>262</v>
      </c>
      <c r="X1627">
        <v>-37.008299999999998</v>
      </c>
      <c r="Y1627">
        <v>174.87049999999999</v>
      </c>
    </row>
    <row r="1628" spans="1:25" x14ac:dyDescent="0.3">
      <c r="A1628" t="s">
        <v>21</v>
      </c>
      <c r="B1628" t="s">
        <v>4648</v>
      </c>
      <c r="C1628" t="s">
        <v>270</v>
      </c>
      <c r="D1628" t="s">
        <v>4649</v>
      </c>
      <c r="E1628">
        <v>56746</v>
      </c>
      <c r="H1628" t="s">
        <v>2433</v>
      </c>
      <c r="I1628" t="s">
        <v>1343</v>
      </c>
      <c r="J1628" t="s">
        <v>297</v>
      </c>
      <c r="K1628">
        <v>2104</v>
      </c>
      <c r="L1628" t="s">
        <v>276</v>
      </c>
      <c r="M1628" t="s">
        <v>631</v>
      </c>
      <c r="N1628" t="s">
        <v>276</v>
      </c>
      <c r="P1628" t="s">
        <v>260</v>
      </c>
      <c r="Q1628" t="s">
        <v>260</v>
      </c>
      <c r="R1628" t="s">
        <v>283</v>
      </c>
      <c r="S1628" t="s">
        <v>21</v>
      </c>
      <c r="T1628">
        <v>100</v>
      </c>
      <c r="W1628" t="s">
        <v>262</v>
      </c>
      <c r="X1628">
        <v>-37.008299999999998</v>
      </c>
      <c r="Y1628">
        <v>174.87049999999999</v>
      </c>
    </row>
    <row r="1629" spans="1:25" x14ac:dyDescent="0.3">
      <c r="A1629" t="s">
        <v>21</v>
      </c>
      <c r="B1629" t="s">
        <v>4650</v>
      </c>
      <c r="C1629" t="s">
        <v>270</v>
      </c>
      <c r="D1629" t="s">
        <v>4649</v>
      </c>
      <c r="E1629" t="s">
        <v>4649</v>
      </c>
      <c r="M1629" t="s">
        <v>394</v>
      </c>
      <c r="N1629" t="s">
        <v>276</v>
      </c>
      <c r="P1629" t="s">
        <v>260</v>
      </c>
      <c r="Q1629" t="s">
        <v>260</v>
      </c>
      <c r="R1629" t="s">
        <v>283</v>
      </c>
      <c r="S1629" t="s">
        <v>21</v>
      </c>
      <c r="T1629">
        <v>100</v>
      </c>
      <c r="W1629" t="s">
        <v>262</v>
      </c>
    </row>
    <row r="1630" spans="1:25" x14ac:dyDescent="0.3">
      <c r="A1630" t="s">
        <v>21</v>
      </c>
      <c r="B1630" t="s">
        <v>4651</v>
      </c>
      <c r="C1630" t="s">
        <v>270</v>
      </c>
      <c r="D1630" t="s">
        <v>4652</v>
      </c>
      <c r="E1630">
        <v>54745</v>
      </c>
      <c r="G1630" t="s">
        <v>4653</v>
      </c>
      <c r="M1630" t="s">
        <v>394</v>
      </c>
      <c r="N1630" t="s">
        <v>276</v>
      </c>
      <c r="P1630" t="s">
        <v>260</v>
      </c>
      <c r="Q1630" t="s">
        <v>260</v>
      </c>
      <c r="R1630" t="s">
        <v>261</v>
      </c>
      <c r="S1630" t="s">
        <v>21</v>
      </c>
      <c r="T1630">
        <v>100</v>
      </c>
      <c r="W1630" t="s">
        <v>262</v>
      </c>
    </row>
    <row r="1631" spans="1:25" x14ac:dyDescent="0.3">
      <c r="A1631" t="s">
        <v>21</v>
      </c>
      <c r="B1631" t="s">
        <v>4654</v>
      </c>
      <c r="C1631" t="s">
        <v>270</v>
      </c>
      <c r="D1631" t="s">
        <v>4655</v>
      </c>
      <c r="E1631">
        <v>56751</v>
      </c>
      <c r="H1631" t="s">
        <v>2433</v>
      </c>
      <c r="I1631" t="s">
        <v>1343</v>
      </c>
      <c r="J1631" t="s">
        <v>297</v>
      </c>
      <c r="K1631">
        <v>2104</v>
      </c>
      <c r="L1631" t="s">
        <v>276</v>
      </c>
      <c r="M1631" t="s">
        <v>631</v>
      </c>
      <c r="N1631" t="s">
        <v>276</v>
      </c>
      <c r="P1631" t="s">
        <v>260</v>
      </c>
      <c r="Q1631" t="s">
        <v>260</v>
      </c>
      <c r="R1631" t="s">
        <v>283</v>
      </c>
      <c r="S1631" t="s">
        <v>21</v>
      </c>
      <c r="T1631">
        <v>100</v>
      </c>
      <c r="W1631" t="s">
        <v>262</v>
      </c>
      <c r="X1631">
        <v>-37.008299999999998</v>
      </c>
      <c r="Y1631">
        <v>174.87049999999999</v>
      </c>
    </row>
    <row r="1632" spans="1:25" x14ac:dyDescent="0.3">
      <c r="A1632" t="s">
        <v>21</v>
      </c>
      <c r="B1632" t="s">
        <v>4656</v>
      </c>
      <c r="C1632" t="s">
        <v>270</v>
      </c>
      <c r="D1632" t="s">
        <v>4657</v>
      </c>
      <c r="E1632">
        <v>56718</v>
      </c>
      <c r="H1632" t="s">
        <v>2433</v>
      </c>
      <c r="I1632" t="s">
        <v>1343</v>
      </c>
      <c r="J1632" t="s">
        <v>297</v>
      </c>
      <c r="K1632">
        <v>2104</v>
      </c>
      <c r="L1632" t="s">
        <v>276</v>
      </c>
      <c r="M1632" t="s">
        <v>631</v>
      </c>
      <c r="N1632" t="s">
        <v>276</v>
      </c>
      <c r="P1632" t="s">
        <v>260</v>
      </c>
      <c r="Q1632" t="s">
        <v>260</v>
      </c>
      <c r="R1632" t="s">
        <v>283</v>
      </c>
      <c r="S1632" t="s">
        <v>21</v>
      </c>
      <c r="T1632">
        <v>100</v>
      </c>
      <c r="W1632" t="s">
        <v>262</v>
      </c>
      <c r="X1632">
        <v>-37.008299999999998</v>
      </c>
      <c r="Y1632">
        <v>174.87049999999999</v>
      </c>
    </row>
    <row r="1633" spans="1:25" x14ac:dyDescent="0.3">
      <c r="A1633" t="s">
        <v>21</v>
      </c>
      <c r="B1633" t="s">
        <v>4658</v>
      </c>
      <c r="C1633" t="s">
        <v>270</v>
      </c>
      <c r="D1633" t="s">
        <v>4659</v>
      </c>
      <c r="E1633">
        <v>56702</v>
      </c>
      <c r="M1633" t="s">
        <v>631</v>
      </c>
      <c r="N1633" t="s">
        <v>276</v>
      </c>
      <c r="P1633" t="s">
        <v>260</v>
      </c>
      <c r="Q1633" t="s">
        <v>260</v>
      </c>
      <c r="R1633" t="s">
        <v>283</v>
      </c>
      <c r="S1633" t="s">
        <v>21</v>
      </c>
      <c r="T1633">
        <v>100</v>
      </c>
      <c r="W1633" t="s">
        <v>262</v>
      </c>
    </row>
    <row r="1634" spans="1:25" x14ac:dyDescent="0.3">
      <c r="A1634" t="s">
        <v>21</v>
      </c>
      <c r="B1634" t="s">
        <v>4660</v>
      </c>
      <c r="C1634" t="s">
        <v>270</v>
      </c>
      <c r="D1634" t="s">
        <v>4661</v>
      </c>
      <c r="E1634">
        <v>54786</v>
      </c>
      <c r="G1634" t="s">
        <v>4662</v>
      </c>
      <c r="M1634" t="s">
        <v>353</v>
      </c>
      <c r="N1634" t="s">
        <v>276</v>
      </c>
      <c r="P1634" t="s">
        <v>260</v>
      </c>
      <c r="Q1634" t="s">
        <v>260</v>
      </c>
      <c r="R1634" t="s">
        <v>261</v>
      </c>
      <c r="S1634" t="s">
        <v>21</v>
      </c>
      <c r="T1634">
        <v>100</v>
      </c>
      <c r="W1634" t="s">
        <v>262</v>
      </c>
    </row>
    <row r="1635" spans="1:25" x14ac:dyDescent="0.3">
      <c r="A1635" t="s">
        <v>21</v>
      </c>
      <c r="B1635" t="s">
        <v>4663</v>
      </c>
      <c r="C1635" t="s">
        <v>270</v>
      </c>
      <c r="D1635" t="s">
        <v>4664</v>
      </c>
      <c r="E1635">
        <v>56708</v>
      </c>
      <c r="H1635" t="s">
        <v>2433</v>
      </c>
      <c r="I1635" t="s">
        <v>1343</v>
      </c>
      <c r="J1635" t="s">
        <v>297</v>
      </c>
      <c r="K1635">
        <v>2104</v>
      </c>
      <c r="L1635" t="s">
        <v>276</v>
      </c>
      <c r="M1635" t="s">
        <v>631</v>
      </c>
      <c r="N1635" t="s">
        <v>276</v>
      </c>
      <c r="P1635" t="s">
        <v>260</v>
      </c>
      <c r="Q1635" t="s">
        <v>260</v>
      </c>
      <c r="R1635" t="s">
        <v>283</v>
      </c>
      <c r="S1635" t="s">
        <v>21</v>
      </c>
      <c r="T1635">
        <v>100</v>
      </c>
      <c r="W1635" t="s">
        <v>262</v>
      </c>
      <c r="X1635">
        <v>-37.008299999999998</v>
      </c>
      <c r="Y1635">
        <v>174.87049999999999</v>
      </c>
    </row>
    <row r="1636" spans="1:25" x14ac:dyDescent="0.3">
      <c r="A1636" t="s">
        <v>21</v>
      </c>
      <c r="B1636" t="s">
        <v>4665</v>
      </c>
      <c r="C1636" t="s">
        <v>270</v>
      </c>
      <c r="D1636" t="s">
        <v>4666</v>
      </c>
      <c r="E1636">
        <v>54217</v>
      </c>
      <c r="M1636" t="s">
        <v>631</v>
      </c>
      <c r="N1636" t="s">
        <v>276</v>
      </c>
      <c r="P1636" t="s">
        <v>260</v>
      </c>
      <c r="Q1636" t="s">
        <v>260</v>
      </c>
      <c r="R1636" t="s">
        <v>261</v>
      </c>
      <c r="S1636" t="s">
        <v>21</v>
      </c>
      <c r="T1636">
        <v>100</v>
      </c>
      <c r="W1636" t="s">
        <v>262</v>
      </c>
    </row>
    <row r="1637" spans="1:25" x14ac:dyDescent="0.3">
      <c r="A1637" t="s">
        <v>21</v>
      </c>
      <c r="B1637" t="s">
        <v>4667</v>
      </c>
      <c r="C1637" t="s">
        <v>270</v>
      </c>
      <c r="D1637" t="s">
        <v>4668</v>
      </c>
      <c r="E1637">
        <v>54744</v>
      </c>
      <c r="G1637" t="s">
        <v>4669</v>
      </c>
      <c r="M1637" t="s">
        <v>394</v>
      </c>
      <c r="N1637" t="s">
        <v>276</v>
      </c>
      <c r="P1637" t="s">
        <v>260</v>
      </c>
      <c r="Q1637" t="s">
        <v>260</v>
      </c>
      <c r="R1637" t="s">
        <v>261</v>
      </c>
      <c r="S1637" t="s">
        <v>21</v>
      </c>
      <c r="T1637">
        <v>100</v>
      </c>
      <c r="W1637" t="s">
        <v>262</v>
      </c>
    </row>
    <row r="1638" spans="1:25" x14ac:dyDescent="0.3">
      <c r="A1638" t="s">
        <v>21</v>
      </c>
      <c r="B1638" t="s">
        <v>4670</v>
      </c>
      <c r="C1638" t="s">
        <v>270</v>
      </c>
      <c r="D1638" t="s">
        <v>4671</v>
      </c>
      <c r="E1638">
        <v>56712</v>
      </c>
      <c r="H1638" t="s">
        <v>2433</v>
      </c>
      <c r="I1638" t="s">
        <v>1343</v>
      </c>
      <c r="J1638" t="s">
        <v>297</v>
      </c>
      <c r="K1638">
        <v>2104</v>
      </c>
      <c r="L1638" t="s">
        <v>276</v>
      </c>
      <c r="M1638" t="s">
        <v>631</v>
      </c>
      <c r="N1638" t="s">
        <v>276</v>
      </c>
      <c r="P1638" t="s">
        <v>260</v>
      </c>
      <c r="Q1638" t="s">
        <v>260</v>
      </c>
      <c r="R1638" t="s">
        <v>283</v>
      </c>
      <c r="S1638" t="s">
        <v>21</v>
      </c>
      <c r="T1638">
        <v>100</v>
      </c>
      <c r="W1638" t="s">
        <v>262</v>
      </c>
      <c r="X1638">
        <v>-37.008299999999998</v>
      </c>
      <c r="Y1638">
        <v>174.87049999999999</v>
      </c>
    </row>
    <row r="1639" spans="1:25" ht="225" customHeight="1" x14ac:dyDescent="0.3">
      <c r="A1639" t="s">
        <v>21</v>
      </c>
      <c r="B1639" t="s">
        <v>4672</v>
      </c>
      <c r="C1639" t="s">
        <v>270</v>
      </c>
      <c r="D1639" t="s">
        <v>4673</v>
      </c>
      <c r="E1639">
        <v>54747</v>
      </c>
      <c r="G1639" s="10" t="s">
        <v>4674</v>
      </c>
      <c r="M1639" t="s">
        <v>297</v>
      </c>
      <c r="N1639" t="s">
        <v>276</v>
      </c>
      <c r="P1639" t="s">
        <v>260</v>
      </c>
      <c r="Q1639" t="s">
        <v>260</v>
      </c>
      <c r="R1639" t="s">
        <v>261</v>
      </c>
      <c r="S1639" t="s">
        <v>21</v>
      </c>
      <c r="T1639">
        <v>100</v>
      </c>
      <c r="W1639" t="s">
        <v>262</v>
      </c>
    </row>
    <row r="1640" spans="1:25" x14ac:dyDescent="0.3">
      <c r="A1640" t="s">
        <v>21</v>
      </c>
      <c r="B1640" t="s">
        <v>4675</v>
      </c>
      <c r="C1640" t="s">
        <v>270</v>
      </c>
      <c r="D1640" t="s">
        <v>4676</v>
      </c>
      <c r="E1640">
        <v>56711</v>
      </c>
      <c r="H1640" t="s">
        <v>2433</v>
      </c>
      <c r="I1640" t="s">
        <v>1343</v>
      </c>
      <c r="J1640" t="s">
        <v>297</v>
      </c>
      <c r="K1640">
        <v>2104</v>
      </c>
      <c r="L1640" t="s">
        <v>276</v>
      </c>
      <c r="M1640" t="s">
        <v>631</v>
      </c>
      <c r="N1640" t="s">
        <v>276</v>
      </c>
      <c r="P1640" t="s">
        <v>260</v>
      </c>
      <c r="Q1640" t="s">
        <v>260</v>
      </c>
      <c r="R1640" t="s">
        <v>283</v>
      </c>
      <c r="S1640" t="s">
        <v>21</v>
      </c>
      <c r="T1640">
        <v>100</v>
      </c>
      <c r="W1640" t="s">
        <v>262</v>
      </c>
      <c r="X1640">
        <v>-37.008299999999998</v>
      </c>
      <c r="Y1640">
        <v>174.87049999999999</v>
      </c>
    </row>
    <row r="1641" spans="1:25" x14ac:dyDescent="0.3">
      <c r="A1641" t="s">
        <v>21</v>
      </c>
      <c r="B1641" t="s">
        <v>4677</v>
      </c>
      <c r="C1641" t="s">
        <v>270</v>
      </c>
      <c r="D1641" t="s">
        <v>4678</v>
      </c>
      <c r="E1641">
        <v>56739</v>
      </c>
      <c r="H1641" t="s">
        <v>2433</v>
      </c>
      <c r="I1641" t="s">
        <v>1343</v>
      </c>
      <c r="J1641" t="s">
        <v>297</v>
      </c>
      <c r="K1641">
        <v>2104</v>
      </c>
      <c r="L1641" t="s">
        <v>276</v>
      </c>
      <c r="M1641" t="s">
        <v>631</v>
      </c>
      <c r="N1641" t="s">
        <v>276</v>
      </c>
      <c r="P1641" t="s">
        <v>260</v>
      </c>
      <c r="Q1641" t="s">
        <v>260</v>
      </c>
      <c r="R1641" t="s">
        <v>283</v>
      </c>
      <c r="S1641" t="s">
        <v>21</v>
      </c>
      <c r="T1641">
        <v>100</v>
      </c>
      <c r="W1641" t="s">
        <v>262</v>
      </c>
      <c r="X1641">
        <v>-37.008299999999998</v>
      </c>
      <c r="Y1641">
        <v>174.87049999999999</v>
      </c>
    </row>
    <row r="1642" spans="1:25" x14ac:dyDescent="0.3">
      <c r="A1642" t="s">
        <v>21</v>
      </c>
      <c r="B1642" t="s">
        <v>4679</v>
      </c>
      <c r="C1642" t="s">
        <v>2464</v>
      </c>
      <c r="D1642" t="s">
        <v>4680</v>
      </c>
      <c r="E1642">
        <v>54751</v>
      </c>
      <c r="G1642" t="s">
        <v>4681</v>
      </c>
      <c r="M1642" t="s">
        <v>754</v>
      </c>
      <c r="N1642" t="s">
        <v>276</v>
      </c>
      <c r="P1642" t="s">
        <v>260</v>
      </c>
      <c r="Q1642" t="s">
        <v>260</v>
      </c>
      <c r="R1642" t="s">
        <v>261</v>
      </c>
      <c r="S1642" t="s">
        <v>21</v>
      </c>
      <c r="T1642">
        <v>100</v>
      </c>
      <c r="W1642" t="s">
        <v>262</v>
      </c>
    </row>
    <row r="1643" spans="1:25" x14ac:dyDescent="0.3">
      <c r="A1643" t="s">
        <v>21</v>
      </c>
      <c r="B1643" t="s">
        <v>4682</v>
      </c>
      <c r="C1643" t="s">
        <v>270</v>
      </c>
      <c r="D1643" t="s">
        <v>4683</v>
      </c>
      <c r="E1643">
        <v>56710</v>
      </c>
      <c r="H1643" t="s">
        <v>2433</v>
      </c>
      <c r="I1643" t="s">
        <v>1343</v>
      </c>
      <c r="J1643" t="s">
        <v>297</v>
      </c>
      <c r="K1643">
        <v>2104</v>
      </c>
      <c r="L1643" t="s">
        <v>276</v>
      </c>
      <c r="M1643" t="s">
        <v>631</v>
      </c>
      <c r="N1643" t="s">
        <v>276</v>
      </c>
      <c r="P1643" t="s">
        <v>260</v>
      </c>
      <c r="Q1643" t="s">
        <v>260</v>
      </c>
      <c r="R1643" t="s">
        <v>283</v>
      </c>
      <c r="S1643" t="s">
        <v>21</v>
      </c>
      <c r="T1643">
        <v>100</v>
      </c>
      <c r="W1643" t="s">
        <v>262</v>
      </c>
      <c r="X1643">
        <v>-37.008299999999998</v>
      </c>
      <c r="Y1643">
        <v>174.87049999999999</v>
      </c>
    </row>
    <row r="1644" spans="1:25" x14ac:dyDescent="0.3">
      <c r="A1644" t="s">
        <v>21</v>
      </c>
      <c r="B1644" t="s">
        <v>4684</v>
      </c>
      <c r="C1644" t="s">
        <v>270</v>
      </c>
      <c r="D1644" t="s">
        <v>4685</v>
      </c>
      <c r="E1644">
        <v>56714</v>
      </c>
      <c r="H1644" t="s">
        <v>2433</v>
      </c>
      <c r="I1644" t="s">
        <v>1343</v>
      </c>
      <c r="J1644" t="s">
        <v>297</v>
      </c>
      <c r="K1644">
        <v>2104</v>
      </c>
      <c r="L1644" t="s">
        <v>276</v>
      </c>
      <c r="M1644" t="s">
        <v>631</v>
      </c>
      <c r="N1644" t="s">
        <v>276</v>
      </c>
      <c r="P1644" t="s">
        <v>260</v>
      </c>
      <c r="Q1644" t="s">
        <v>260</v>
      </c>
      <c r="R1644" t="s">
        <v>283</v>
      </c>
      <c r="S1644" t="s">
        <v>21</v>
      </c>
      <c r="T1644">
        <v>100</v>
      </c>
      <c r="W1644" t="s">
        <v>262</v>
      </c>
      <c r="X1644">
        <v>-37.008299999999998</v>
      </c>
      <c r="Y1644">
        <v>174.87049999999999</v>
      </c>
    </row>
    <row r="1645" spans="1:25" x14ac:dyDescent="0.3">
      <c r="A1645" t="s">
        <v>21</v>
      </c>
      <c r="B1645" t="s">
        <v>4686</v>
      </c>
      <c r="C1645" t="s">
        <v>270</v>
      </c>
      <c r="D1645" t="s">
        <v>4687</v>
      </c>
      <c r="E1645">
        <v>56707</v>
      </c>
      <c r="H1645" t="s">
        <v>4688</v>
      </c>
      <c r="I1645" t="s">
        <v>429</v>
      </c>
      <c r="J1645" t="s">
        <v>429</v>
      </c>
      <c r="K1645">
        <v>3110</v>
      </c>
      <c r="L1645" t="s">
        <v>276</v>
      </c>
      <c r="M1645" t="s">
        <v>429</v>
      </c>
      <c r="N1645" t="s">
        <v>276</v>
      </c>
      <c r="P1645" t="s">
        <v>260</v>
      </c>
      <c r="Q1645" t="s">
        <v>260</v>
      </c>
      <c r="R1645" t="s">
        <v>283</v>
      </c>
      <c r="S1645" t="s">
        <v>21</v>
      </c>
      <c r="T1645">
        <v>100</v>
      </c>
      <c r="W1645" t="s">
        <v>262</v>
      </c>
      <c r="X1645">
        <v>-37.697899999999997</v>
      </c>
      <c r="Y1645">
        <v>176.1636</v>
      </c>
    </row>
    <row r="1646" spans="1:25" x14ac:dyDescent="0.3">
      <c r="A1646" t="s">
        <v>21</v>
      </c>
      <c r="B1646" t="s">
        <v>4689</v>
      </c>
      <c r="C1646" t="s">
        <v>270</v>
      </c>
      <c r="D1646" t="s">
        <v>4690</v>
      </c>
      <c r="E1646">
        <v>56749</v>
      </c>
      <c r="H1646" t="s">
        <v>2433</v>
      </c>
      <c r="I1646" t="s">
        <v>1343</v>
      </c>
      <c r="J1646" t="s">
        <v>297</v>
      </c>
      <c r="K1646">
        <v>2104</v>
      </c>
      <c r="L1646" t="s">
        <v>276</v>
      </c>
      <c r="M1646" t="s">
        <v>631</v>
      </c>
      <c r="N1646" t="s">
        <v>276</v>
      </c>
      <c r="P1646" t="s">
        <v>260</v>
      </c>
      <c r="Q1646" t="s">
        <v>260</v>
      </c>
      <c r="R1646" t="s">
        <v>283</v>
      </c>
      <c r="S1646" t="s">
        <v>21</v>
      </c>
      <c r="T1646">
        <v>100</v>
      </c>
      <c r="W1646" t="s">
        <v>262</v>
      </c>
      <c r="X1646">
        <v>-37.008299999999998</v>
      </c>
      <c r="Y1646">
        <v>174.87049999999999</v>
      </c>
    </row>
    <row r="1647" spans="1:25" x14ac:dyDescent="0.3">
      <c r="A1647" t="s">
        <v>21</v>
      </c>
      <c r="B1647" t="s">
        <v>4691</v>
      </c>
      <c r="C1647" t="s">
        <v>270</v>
      </c>
      <c r="D1647" t="s">
        <v>4692</v>
      </c>
      <c r="E1647">
        <v>56705</v>
      </c>
      <c r="H1647" t="s">
        <v>2433</v>
      </c>
      <c r="I1647" t="s">
        <v>1343</v>
      </c>
      <c r="J1647" t="s">
        <v>297</v>
      </c>
      <c r="K1647">
        <v>2104</v>
      </c>
      <c r="L1647" t="s">
        <v>276</v>
      </c>
      <c r="M1647" t="s">
        <v>631</v>
      </c>
      <c r="N1647" t="s">
        <v>276</v>
      </c>
      <c r="P1647" t="s">
        <v>260</v>
      </c>
      <c r="Q1647" t="s">
        <v>260</v>
      </c>
      <c r="R1647" t="s">
        <v>283</v>
      </c>
      <c r="S1647" t="s">
        <v>21</v>
      </c>
      <c r="T1647">
        <v>100</v>
      </c>
      <c r="W1647" t="s">
        <v>262</v>
      </c>
      <c r="X1647">
        <v>-37.008299999999998</v>
      </c>
      <c r="Y1647">
        <v>174.87049999999999</v>
      </c>
    </row>
    <row r="1648" spans="1:25" x14ac:dyDescent="0.3">
      <c r="A1648" t="s">
        <v>21</v>
      </c>
      <c r="B1648" t="s">
        <v>4693</v>
      </c>
      <c r="C1648" t="s">
        <v>270</v>
      </c>
      <c r="D1648" t="s">
        <v>4694</v>
      </c>
      <c r="E1648">
        <v>56701</v>
      </c>
      <c r="H1648" t="s">
        <v>2433</v>
      </c>
      <c r="I1648" t="s">
        <v>1343</v>
      </c>
      <c r="J1648" t="s">
        <v>297</v>
      </c>
      <c r="K1648">
        <v>2104</v>
      </c>
      <c r="L1648" t="s">
        <v>276</v>
      </c>
      <c r="M1648" t="s">
        <v>631</v>
      </c>
      <c r="N1648" t="s">
        <v>276</v>
      </c>
      <c r="P1648" t="s">
        <v>260</v>
      </c>
      <c r="Q1648" t="s">
        <v>260</v>
      </c>
      <c r="R1648" t="s">
        <v>283</v>
      </c>
      <c r="S1648" t="s">
        <v>21</v>
      </c>
      <c r="T1648">
        <v>100</v>
      </c>
      <c r="W1648" t="s">
        <v>262</v>
      </c>
      <c r="X1648">
        <v>-37.008299999999998</v>
      </c>
      <c r="Y1648">
        <v>174.87049999999999</v>
      </c>
    </row>
    <row r="1649" spans="1:25" x14ac:dyDescent="0.3">
      <c r="A1649" t="s">
        <v>21</v>
      </c>
      <c r="B1649" t="s">
        <v>4695</v>
      </c>
      <c r="C1649" t="s">
        <v>270</v>
      </c>
      <c r="D1649" t="s">
        <v>4696</v>
      </c>
      <c r="E1649">
        <v>55744</v>
      </c>
      <c r="H1649" t="s">
        <v>2433</v>
      </c>
      <c r="I1649" t="s">
        <v>1343</v>
      </c>
      <c r="J1649" t="s">
        <v>297</v>
      </c>
      <c r="K1649">
        <v>2104</v>
      </c>
      <c r="L1649" t="s">
        <v>276</v>
      </c>
      <c r="M1649" t="s">
        <v>631</v>
      </c>
      <c r="N1649" t="s">
        <v>276</v>
      </c>
      <c r="P1649" t="s">
        <v>260</v>
      </c>
      <c r="Q1649" t="s">
        <v>260</v>
      </c>
      <c r="R1649" t="s">
        <v>261</v>
      </c>
      <c r="S1649" t="s">
        <v>21</v>
      </c>
      <c r="T1649">
        <v>100</v>
      </c>
      <c r="W1649" t="s">
        <v>262</v>
      </c>
      <c r="X1649">
        <v>-37.008299999999998</v>
      </c>
      <c r="Y1649">
        <v>174.87049999999999</v>
      </c>
    </row>
    <row r="1650" spans="1:25" x14ac:dyDescent="0.3">
      <c r="A1650" t="s">
        <v>21</v>
      </c>
      <c r="B1650" t="s">
        <v>4697</v>
      </c>
      <c r="C1650" t="s">
        <v>270</v>
      </c>
      <c r="D1650" t="s">
        <v>4698</v>
      </c>
      <c r="E1650">
        <v>55710</v>
      </c>
      <c r="H1650" t="s">
        <v>2433</v>
      </c>
      <c r="I1650" t="s">
        <v>1343</v>
      </c>
      <c r="J1650" t="s">
        <v>297</v>
      </c>
      <c r="K1650">
        <v>2104</v>
      </c>
      <c r="L1650" t="s">
        <v>276</v>
      </c>
      <c r="M1650" t="s">
        <v>631</v>
      </c>
      <c r="N1650" t="s">
        <v>276</v>
      </c>
      <c r="P1650" t="s">
        <v>260</v>
      </c>
      <c r="Q1650" t="s">
        <v>260</v>
      </c>
      <c r="R1650" t="s">
        <v>261</v>
      </c>
      <c r="S1650" t="s">
        <v>21</v>
      </c>
      <c r="T1650">
        <v>100</v>
      </c>
      <c r="W1650" t="s">
        <v>262</v>
      </c>
      <c r="X1650">
        <v>-37.008299999999998</v>
      </c>
      <c r="Y1650">
        <v>174.87049999999999</v>
      </c>
    </row>
    <row r="1651" spans="1:25" x14ac:dyDescent="0.3">
      <c r="A1651" t="s">
        <v>21</v>
      </c>
      <c r="B1651" t="s">
        <v>4699</v>
      </c>
      <c r="C1651" t="s">
        <v>270</v>
      </c>
      <c r="D1651" t="s">
        <v>4700</v>
      </c>
      <c r="E1651">
        <v>54736</v>
      </c>
      <c r="M1651" t="s">
        <v>297</v>
      </c>
      <c r="N1651" t="s">
        <v>276</v>
      </c>
      <c r="P1651" t="s">
        <v>260</v>
      </c>
      <c r="Q1651" t="s">
        <v>260</v>
      </c>
      <c r="R1651" t="s">
        <v>261</v>
      </c>
      <c r="S1651" t="s">
        <v>21</v>
      </c>
      <c r="T1651">
        <v>100</v>
      </c>
      <c r="W1651" t="s">
        <v>262</v>
      </c>
    </row>
    <row r="1652" spans="1:25" x14ac:dyDescent="0.3">
      <c r="A1652" t="s">
        <v>21</v>
      </c>
      <c r="B1652" t="s">
        <v>4701</v>
      </c>
      <c r="C1652" t="s">
        <v>270</v>
      </c>
      <c r="D1652" t="s">
        <v>4702</v>
      </c>
      <c r="E1652">
        <v>55295</v>
      </c>
      <c r="H1652" t="s">
        <v>2433</v>
      </c>
      <c r="I1652" t="s">
        <v>1343</v>
      </c>
      <c r="J1652" t="s">
        <v>297</v>
      </c>
      <c r="K1652">
        <v>2104</v>
      </c>
      <c r="L1652" t="s">
        <v>276</v>
      </c>
      <c r="M1652" t="s">
        <v>631</v>
      </c>
      <c r="N1652" t="s">
        <v>276</v>
      </c>
      <c r="P1652" t="s">
        <v>260</v>
      </c>
      <c r="Q1652" t="s">
        <v>260</v>
      </c>
      <c r="R1652" t="s">
        <v>261</v>
      </c>
      <c r="S1652" t="s">
        <v>21</v>
      </c>
      <c r="T1652">
        <v>100</v>
      </c>
      <c r="W1652" t="s">
        <v>262</v>
      </c>
      <c r="X1652">
        <v>-37.008299999999998</v>
      </c>
      <c r="Y1652">
        <v>174.87049999999999</v>
      </c>
    </row>
    <row r="1653" spans="1:25" x14ac:dyDescent="0.3">
      <c r="A1653" t="s">
        <v>21</v>
      </c>
      <c r="B1653" t="s">
        <v>4703</v>
      </c>
      <c r="C1653" t="s">
        <v>270</v>
      </c>
      <c r="D1653" t="s">
        <v>4704</v>
      </c>
      <c r="E1653">
        <v>55274</v>
      </c>
      <c r="H1653" t="s">
        <v>2433</v>
      </c>
      <c r="I1653" t="s">
        <v>1343</v>
      </c>
      <c r="J1653" t="s">
        <v>297</v>
      </c>
      <c r="K1653">
        <v>2104</v>
      </c>
      <c r="L1653" t="s">
        <v>276</v>
      </c>
      <c r="M1653" t="s">
        <v>631</v>
      </c>
      <c r="N1653" t="s">
        <v>276</v>
      </c>
      <c r="P1653" t="s">
        <v>260</v>
      </c>
      <c r="Q1653" t="s">
        <v>260</v>
      </c>
      <c r="R1653" t="s">
        <v>261</v>
      </c>
      <c r="S1653" t="s">
        <v>21</v>
      </c>
      <c r="T1653">
        <v>100</v>
      </c>
      <c r="W1653" t="s">
        <v>262</v>
      </c>
      <c r="X1653">
        <v>-37.008299999999998</v>
      </c>
      <c r="Y1653">
        <v>174.87049999999999</v>
      </c>
    </row>
    <row r="1654" spans="1:25" x14ac:dyDescent="0.3">
      <c r="A1654" t="s">
        <v>21</v>
      </c>
      <c r="B1654" t="s">
        <v>4705</v>
      </c>
      <c r="C1654" t="s">
        <v>270</v>
      </c>
      <c r="D1654" t="s">
        <v>4706</v>
      </c>
      <c r="E1654">
        <v>55273</v>
      </c>
      <c r="H1654" t="s">
        <v>2433</v>
      </c>
      <c r="I1654" t="s">
        <v>1343</v>
      </c>
      <c r="J1654" t="s">
        <v>297</v>
      </c>
      <c r="K1654">
        <v>2104</v>
      </c>
      <c r="L1654" t="s">
        <v>276</v>
      </c>
      <c r="M1654" t="s">
        <v>631</v>
      </c>
      <c r="N1654" t="s">
        <v>276</v>
      </c>
      <c r="P1654" t="s">
        <v>260</v>
      </c>
      <c r="Q1654" t="s">
        <v>260</v>
      </c>
      <c r="R1654" t="s">
        <v>261</v>
      </c>
      <c r="S1654" t="s">
        <v>21</v>
      </c>
      <c r="T1654">
        <v>100</v>
      </c>
      <c r="W1654" t="s">
        <v>262</v>
      </c>
      <c r="X1654">
        <v>-37.008299999999998</v>
      </c>
      <c r="Y1654">
        <v>174.87049999999999</v>
      </c>
    </row>
    <row r="1655" spans="1:25" x14ac:dyDescent="0.3">
      <c r="A1655" t="s">
        <v>21</v>
      </c>
      <c r="B1655" t="s">
        <v>4707</v>
      </c>
      <c r="C1655" t="s">
        <v>270</v>
      </c>
      <c r="D1655" t="s">
        <v>4708</v>
      </c>
      <c r="E1655">
        <v>55292</v>
      </c>
      <c r="H1655" t="s">
        <v>2433</v>
      </c>
      <c r="I1655" t="s">
        <v>1343</v>
      </c>
      <c r="J1655" t="s">
        <v>297</v>
      </c>
      <c r="K1655">
        <v>2104</v>
      </c>
      <c r="L1655" t="s">
        <v>276</v>
      </c>
      <c r="M1655" t="s">
        <v>631</v>
      </c>
      <c r="N1655" t="s">
        <v>276</v>
      </c>
      <c r="P1655" t="s">
        <v>260</v>
      </c>
      <c r="Q1655" t="s">
        <v>260</v>
      </c>
      <c r="R1655" t="s">
        <v>261</v>
      </c>
      <c r="S1655" t="s">
        <v>21</v>
      </c>
      <c r="T1655">
        <v>100</v>
      </c>
      <c r="W1655" t="s">
        <v>262</v>
      </c>
      <c r="X1655">
        <v>-37.008299999999998</v>
      </c>
      <c r="Y1655">
        <v>174.87049999999999</v>
      </c>
    </row>
    <row r="1656" spans="1:25" x14ac:dyDescent="0.3">
      <c r="A1656" t="s">
        <v>21</v>
      </c>
      <c r="B1656" t="s">
        <v>4709</v>
      </c>
      <c r="C1656" t="s">
        <v>270</v>
      </c>
      <c r="D1656" t="s">
        <v>4710</v>
      </c>
      <c r="E1656">
        <v>55275</v>
      </c>
      <c r="H1656" t="s">
        <v>2433</v>
      </c>
      <c r="I1656" t="s">
        <v>1343</v>
      </c>
      <c r="J1656" t="s">
        <v>297</v>
      </c>
      <c r="K1656">
        <v>2104</v>
      </c>
      <c r="L1656" t="s">
        <v>276</v>
      </c>
      <c r="M1656" t="s">
        <v>631</v>
      </c>
      <c r="N1656" t="s">
        <v>276</v>
      </c>
      <c r="P1656" t="s">
        <v>260</v>
      </c>
      <c r="Q1656" t="s">
        <v>260</v>
      </c>
      <c r="R1656" t="s">
        <v>261</v>
      </c>
      <c r="S1656" t="s">
        <v>21</v>
      </c>
      <c r="T1656">
        <v>100</v>
      </c>
      <c r="W1656" t="s">
        <v>262</v>
      </c>
      <c r="X1656">
        <v>-37.008299999999998</v>
      </c>
      <c r="Y1656">
        <v>174.87049999999999</v>
      </c>
    </row>
    <row r="1657" spans="1:25" x14ac:dyDescent="0.3">
      <c r="A1657" t="s">
        <v>21</v>
      </c>
      <c r="B1657" t="s">
        <v>4711</v>
      </c>
      <c r="C1657" t="s">
        <v>270</v>
      </c>
      <c r="D1657" t="s">
        <v>4712</v>
      </c>
      <c r="E1657">
        <v>55285</v>
      </c>
      <c r="M1657" t="s">
        <v>631</v>
      </c>
      <c r="N1657" t="s">
        <v>276</v>
      </c>
      <c r="P1657" t="s">
        <v>260</v>
      </c>
      <c r="Q1657" t="s">
        <v>260</v>
      </c>
      <c r="R1657" t="s">
        <v>261</v>
      </c>
      <c r="S1657" t="s">
        <v>21</v>
      </c>
      <c r="T1657">
        <v>100</v>
      </c>
      <c r="W1657" t="s">
        <v>262</v>
      </c>
    </row>
    <row r="1658" spans="1:25" x14ac:dyDescent="0.3">
      <c r="A1658" t="s">
        <v>21</v>
      </c>
      <c r="B1658" t="s">
        <v>4713</v>
      </c>
      <c r="C1658" t="s">
        <v>270</v>
      </c>
      <c r="D1658" t="s">
        <v>4714</v>
      </c>
      <c r="E1658">
        <v>55286</v>
      </c>
      <c r="H1658" t="s">
        <v>2433</v>
      </c>
      <c r="I1658" t="s">
        <v>1343</v>
      </c>
      <c r="J1658" t="s">
        <v>297</v>
      </c>
      <c r="K1658">
        <v>2104</v>
      </c>
      <c r="L1658" t="s">
        <v>276</v>
      </c>
      <c r="M1658" t="s">
        <v>631</v>
      </c>
      <c r="N1658" t="s">
        <v>276</v>
      </c>
      <c r="P1658" t="s">
        <v>260</v>
      </c>
      <c r="Q1658" t="s">
        <v>260</v>
      </c>
      <c r="R1658" t="s">
        <v>261</v>
      </c>
      <c r="S1658" t="s">
        <v>21</v>
      </c>
      <c r="T1658">
        <v>100</v>
      </c>
      <c r="W1658" t="s">
        <v>262</v>
      </c>
      <c r="X1658">
        <v>-37.008299999999998</v>
      </c>
      <c r="Y1658">
        <v>174.87049999999999</v>
      </c>
    </row>
    <row r="1659" spans="1:25" x14ac:dyDescent="0.3">
      <c r="A1659" t="s">
        <v>21</v>
      </c>
      <c r="B1659" t="s">
        <v>4715</v>
      </c>
      <c r="C1659" t="s">
        <v>270</v>
      </c>
      <c r="D1659" t="s">
        <v>4716</v>
      </c>
      <c r="E1659">
        <v>55294</v>
      </c>
      <c r="H1659" t="s">
        <v>2433</v>
      </c>
      <c r="I1659" t="s">
        <v>1343</v>
      </c>
      <c r="J1659" t="s">
        <v>297</v>
      </c>
      <c r="K1659">
        <v>2104</v>
      </c>
      <c r="L1659" t="s">
        <v>276</v>
      </c>
      <c r="M1659" t="s">
        <v>631</v>
      </c>
      <c r="N1659" t="s">
        <v>276</v>
      </c>
      <c r="P1659" t="s">
        <v>260</v>
      </c>
      <c r="Q1659" t="s">
        <v>260</v>
      </c>
      <c r="R1659" t="s">
        <v>261</v>
      </c>
      <c r="S1659" t="s">
        <v>21</v>
      </c>
      <c r="T1659">
        <v>100</v>
      </c>
      <c r="W1659" t="s">
        <v>262</v>
      </c>
      <c r="X1659">
        <v>-37.008299999999998</v>
      </c>
      <c r="Y1659">
        <v>174.87049999999999</v>
      </c>
    </row>
    <row r="1660" spans="1:25" x14ac:dyDescent="0.3">
      <c r="A1660" t="s">
        <v>21</v>
      </c>
      <c r="B1660" t="s">
        <v>4717</v>
      </c>
      <c r="C1660" t="s">
        <v>270</v>
      </c>
      <c r="D1660" t="s">
        <v>4718</v>
      </c>
      <c r="E1660">
        <v>55748</v>
      </c>
      <c r="H1660" t="s">
        <v>2433</v>
      </c>
      <c r="I1660" t="s">
        <v>1343</v>
      </c>
      <c r="J1660" t="s">
        <v>297</v>
      </c>
      <c r="K1660">
        <v>2104</v>
      </c>
      <c r="L1660" t="s">
        <v>276</v>
      </c>
      <c r="M1660" t="s">
        <v>631</v>
      </c>
      <c r="N1660" t="s">
        <v>276</v>
      </c>
      <c r="P1660" t="s">
        <v>260</v>
      </c>
      <c r="Q1660" t="s">
        <v>260</v>
      </c>
      <c r="R1660" t="s">
        <v>261</v>
      </c>
      <c r="S1660" t="s">
        <v>21</v>
      </c>
      <c r="T1660">
        <v>100</v>
      </c>
      <c r="W1660" t="s">
        <v>262</v>
      </c>
      <c r="X1660">
        <v>-37.008299999999998</v>
      </c>
      <c r="Y1660">
        <v>174.87049999999999</v>
      </c>
    </row>
    <row r="1661" spans="1:25" x14ac:dyDescent="0.3">
      <c r="A1661" t="s">
        <v>21</v>
      </c>
      <c r="B1661" t="s">
        <v>4719</v>
      </c>
      <c r="C1661" t="s">
        <v>270</v>
      </c>
      <c r="D1661" t="s">
        <v>4720</v>
      </c>
      <c r="E1661">
        <v>55272</v>
      </c>
      <c r="H1661" t="s">
        <v>2433</v>
      </c>
      <c r="I1661" t="s">
        <v>1343</v>
      </c>
      <c r="J1661" t="s">
        <v>297</v>
      </c>
      <c r="K1661">
        <v>2104</v>
      </c>
      <c r="L1661" t="s">
        <v>276</v>
      </c>
      <c r="M1661" t="s">
        <v>631</v>
      </c>
      <c r="N1661" t="s">
        <v>276</v>
      </c>
      <c r="P1661" t="s">
        <v>260</v>
      </c>
      <c r="Q1661" t="s">
        <v>260</v>
      </c>
      <c r="R1661" t="s">
        <v>261</v>
      </c>
      <c r="S1661" t="s">
        <v>21</v>
      </c>
      <c r="T1661">
        <v>100</v>
      </c>
      <c r="W1661" t="s">
        <v>262</v>
      </c>
      <c r="X1661">
        <v>-37.008299999999998</v>
      </c>
      <c r="Y1661">
        <v>174.87049999999999</v>
      </c>
    </row>
    <row r="1662" spans="1:25" x14ac:dyDescent="0.3">
      <c r="A1662" t="s">
        <v>21</v>
      </c>
      <c r="B1662" t="s">
        <v>4721</v>
      </c>
      <c r="C1662" t="s">
        <v>270</v>
      </c>
      <c r="D1662" t="s">
        <v>4722</v>
      </c>
      <c r="E1662">
        <v>55715</v>
      </c>
      <c r="H1662" t="s">
        <v>2433</v>
      </c>
      <c r="I1662" t="s">
        <v>1343</v>
      </c>
      <c r="J1662" t="s">
        <v>297</v>
      </c>
      <c r="K1662">
        <v>2104</v>
      </c>
      <c r="L1662" t="s">
        <v>276</v>
      </c>
      <c r="M1662" t="s">
        <v>631</v>
      </c>
      <c r="N1662" t="s">
        <v>276</v>
      </c>
      <c r="P1662" t="s">
        <v>260</v>
      </c>
      <c r="Q1662" t="s">
        <v>260</v>
      </c>
      <c r="R1662" t="s">
        <v>261</v>
      </c>
      <c r="S1662" t="s">
        <v>21</v>
      </c>
      <c r="T1662">
        <v>100</v>
      </c>
      <c r="W1662" t="s">
        <v>262</v>
      </c>
      <c r="X1662">
        <v>-37.008299999999998</v>
      </c>
      <c r="Y1662">
        <v>174.87049999999999</v>
      </c>
    </row>
    <row r="1663" spans="1:25" x14ac:dyDescent="0.3">
      <c r="A1663" t="s">
        <v>21</v>
      </c>
      <c r="B1663" t="s">
        <v>4723</v>
      </c>
      <c r="C1663" t="s">
        <v>270</v>
      </c>
      <c r="D1663" t="s">
        <v>4724</v>
      </c>
      <c r="E1663">
        <v>55283</v>
      </c>
      <c r="M1663" t="s">
        <v>631</v>
      </c>
      <c r="N1663" t="s">
        <v>276</v>
      </c>
      <c r="P1663" t="s">
        <v>260</v>
      </c>
      <c r="Q1663" t="s">
        <v>260</v>
      </c>
      <c r="R1663" t="s">
        <v>261</v>
      </c>
      <c r="S1663" t="s">
        <v>21</v>
      </c>
      <c r="T1663">
        <v>100</v>
      </c>
      <c r="W1663" t="s">
        <v>262</v>
      </c>
    </row>
    <row r="1664" spans="1:25" x14ac:dyDescent="0.3">
      <c r="A1664" t="s">
        <v>21</v>
      </c>
      <c r="B1664" t="s">
        <v>4725</v>
      </c>
      <c r="C1664" t="s">
        <v>270</v>
      </c>
      <c r="D1664" t="s">
        <v>4726</v>
      </c>
      <c r="E1664">
        <v>55284</v>
      </c>
      <c r="H1664" t="s">
        <v>2433</v>
      </c>
      <c r="I1664" t="s">
        <v>1343</v>
      </c>
      <c r="J1664" t="s">
        <v>297</v>
      </c>
      <c r="K1664">
        <v>2104</v>
      </c>
      <c r="L1664" t="s">
        <v>276</v>
      </c>
      <c r="M1664" t="s">
        <v>631</v>
      </c>
      <c r="N1664" t="s">
        <v>276</v>
      </c>
      <c r="P1664" t="s">
        <v>260</v>
      </c>
      <c r="Q1664" t="s">
        <v>260</v>
      </c>
      <c r="R1664" t="s">
        <v>261</v>
      </c>
      <c r="S1664" t="s">
        <v>21</v>
      </c>
      <c r="T1664">
        <v>100</v>
      </c>
      <c r="W1664" t="s">
        <v>262</v>
      </c>
      <c r="X1664">
        <v>-37.008299999999998</v>
      </c>
      <c r="Y1664">
        <v>174.87049999999999</v>
      </c>
    </row>
    <row r="1665" spans="1:25" x14ac:dyDescent="0.3">
      <c r="A1665" t="s">
        <v>21</v>
      </c>
      <c r="B1665" t="s">
        <v>4727</v>
      </c>
      <c r="C1665" t="s">
        <v>270</v>
      </c>
      <c r="D1665" t="s">
        <v>4728</v>
      </c>
      <c r="E1665">
        <v>55750</v>
      </c>
      <c r="H1665" t="s">
        <v>4729</v>
      </c>
      <c r="I1665" t="s">
        <v>4730</v>
      </c>
      <c r="J1665" t="s">
        <v>669</v>
      </c>
      <c r="K1665">
        <v>4010</v>
      </c>
      <c r="L1665" t="s">
        <v>276</v>
      </c>
      <c r="M1665" t="s">
        <v>669</v>
      </c>
      <c r="N1665" t="s">
        <v>276</v>
      </c>
      <c r="P1665" t="s">
        <v>260</v>
      </c>
      <c r="Q1665" t="s">
        <v>260</v>
      </c>
      <c r="R1665" t="s">
        <v>261</v>
      </c>
      <c r="S1665" t="s">
        <v>21</v>
      </c>
      <c r="T1665">
        <v>100</v>
      </c>
      <c r="W1665" t="s">
        <v>262</v>
      </c>
      <c r="X1665">
        <v>-38.644399999999997</v>
      </c>
      <c r="Y1665">
        <v>177.99260000000001</v>
      </c>
    </row>
    <row r="1666" spans="1:25" x14ac:dyDescent="0.3">
      <c r="A1666" t="s">
        <v>21</v>
      </c>
      <c r="B1666" t="s">
        <v>4731</v>
      </c>
      <c r="C1666" t="s">
        <v>270</v>
      </c>
      <c r="D1666" t="s">
        <v>4732</v>
      </c>
      <c r="E1666">
        <v>55706</v>
      </c>
      <c r="H1666" t="s">
        <v>2433</v>
      </c>
      <c r="I1666" t="s">
        <v>1343</v>
      </c>
      <c r="J1666" t="s">
        <v>297</v>
      </c>
      <c r="K1666">
        <v>2104</v>
      </c>
      <c r="L1666" t="s">
        <v>276</v>
      </c>
      <c r="M1666" t="s">
        <v>631</v>
      </c>
      <c r="N1666" t="s">
        <v>276</v>
      </c>
      <c r="P1666" t="s">
        <v>260</v>
      </c>
      <c r="Q1666" t="s">
        <v>260</v>
      </c>
      <c r="R1666" t="s">
        <v>261</v>
      </c>
      <c r="S1666" t="s">
        <v>21</v>
      </c>
      <c r="T1666">
        <v>100</v>
      </c>
      <c r="W1666" t="s">
        <v>262</v>
      </c>
      <c r="X1666">
        <v>-37.008299999999998</v>
      </c>
      <c r="Y1666">
        <v>174.87049999999999</v>
      </c>
    </row>
    <row r="1667" spans="1:25" x14ac:dyDescent="0.3">
      <c r="A1667" t="s">
        <v>21</v>
      </c>
      <c r="B1667" t="s">
        <v>4733</v>
      </c>
      <c r="C1667" t="s">
        <v>270</v>
      </c>
      <c r="D1667" t="s">
        <v>4734</v>
      </c>
      <c r="E1667">
        <v>55281</v>
      </c>
      <c r="G1667" t="s">
        <v>4735</v>
      </c>
      <c r="H1667" t="s">
        <v>2433</v>
      </c>
      <c r="I1667" t="s">
        <v>1343</v>
      </c>
      <c r="J1667" t="s">
        <v>297</v>
      </c>
      <c r="K1667">
        <v>2104</v>
      </c>
      <c r="L1667" t="s">
        <v>276</v>
      </c>
      <c r="M1667" t="s">
        <v>631</v>
      </c>
      <c r="N1667" t="s">
        <v>276</v>
      </c>
      <c r="P1667" t="s">
        <v>260</v>
      </c>
      <c r="Q1667" t="s">
        <v>260</v>
      </c>
      <c r="R1667" t="s">
        <v>261</v>
      </c>
      <c r="S1667" t="s">
        <v>21</v>
      </c>
      <c r="T1667">
        <v>100</v>
      </c>
      <c r="W1667" t="s">
        <v>262</v>
      </c>
      <c r="X1667">
        <v>-37.008299999999998</v>
      </c>
      <c r="Y1667">
        <v>174.87049999999999</v>
      </c>
    </row>
    <row r="1668" spans="1:25" x14ac:dyDescent="0.3">
      <c r="A1668" t="s">
        <v>21</v>
      </c>
      <c r="B1668" t="s">
        <v>4736</v>
      </c>
      <c r="C1668" t="s">
        <v>270</v>
      </c>
      <c r="D1668" t="s">
        <v>4737</v>
      </c>
      <c r="E1668">
        <v>55751</v>
      </c>
      <c r="H1668" t="s">
        <v>2433</v>
      </c>
      <c r="I1668" t="s">
        <v>1343</v>
      </c>
      <c r="J1668" t="s">
        <v>297</v>
      </c>
      <c r="K1668">
        <v>2104</v>
      </c>
      <c r="L1668" t="s">
        <v>276</v>
      </c>
      <c r="M1668" t="s">
        <v>631</v>
      </c>
      <c r="N1668" t="s">
        <v>276</v>
      </c>
      <c r="P1668" t="s">
        <v>260</v>
      </c>
      <c r="Q1668" t="s">
        <v>260</v>
      </c>
      <c r="R1668" t="s">
        <v>261</v>
      </c>
      <c r="S1668" t="s">
        <v>21</v>
      </c>
      <c r="T1668">
        <v>100</v>
      </c>
      <c r="W1668" t="s">
        <v>262</v>
      </c>
      <c r="X1668">
        <v>-37.008299999999998</v>
      </c>
      <c r="Y1668">
        <v>174.87049999999999</v>
      </c>
    </row>
    <row r="1669" spans="1:25" x14ac:dyDescent="0.3">
      <c r="A1669" t="s">
        <v>21</v>
      </c>
      <c r="B1669" t="s">
        <v>4738</v>
      </c>
      <c r="C1669" t="s">
        <v>270</v>
      </c>
      <c r="D1669" t="s">
        <v>4739</v>
      </c>
      <c r="E1669">
        <v>54704</v>
      </c>
      <c r="M1669" t="s">
        <v>631</v>
      </c>
      <c r="N1669" t="s">
        <v>276</v>
      </c>
      <c r="P1669" t="s">
        <v>260</v>
      </c>
      <c r="Q1669" t="s">
        <v>260</v>
      </c>
      <c r="R1669" t="s">
        <v>261</v>
      </c>
      <c r="S1669" t="s">
        <v>21</v>
      </c>
      <c r="T1669">
        <v>100</v>
      </c>
      <c r="W1669" t="s">
        <v>262</v>
      </c>
    </row>
    <row r="1670" spans="1:25" x14ac:dyDescent="0.3">
      <c r="A1670" t="s">
        <v>21</v>
      </c>
      <c r="B1670" t="s">
        <v>4740</v>
      </c>
      <c r="C1670" t="s">
        <v>270</v>
      </c>
      <c r="D1670" t="s">
        <v>4741</v>
      </c>
      <c r="E1670">
        <v>54702</v>
      </c>
      <c r="H1670" t="s">
        <v>2433</v>
      </c>
      <c r="I1670" t="s">
        <v>1343</v>
      </c>
      <c r="J1670" t="s">
        <v>297</v>
      </c>
      <c r="K1670">
        <v>2104</v>
      </c>
      <c r="L1670" t="s">
        <v>276</v>
      </c>
      <c r="M1670" t="s">
        <v>631</v>
      </c>
      <c r="N1670" t="s">
        <v>276</v>
      </c>
      <c r="P1670" t="s">
        <v>260</v>
      </c>
      <c r="Q1670" t="s">
        <v>260</v>
      </c>
      <c r="R1670" t="s">
        <v>261</v>
      </c>
      <c r="S1670" t="s">
        <v>21</v>
      </c>
      <c r="T1670">
        <v>100</v>
      </c>
      <c r="W1670" t="s">
        <v>262</v>
      </c>
      <c r="X1670">
        <v>-37.008299999999998</v>
      </c>
      <c r="Y1670">
        <v>174.87049999999999</v>
      </c>
    </row>
    <row r="1671" spans="1:25" x14ac:dyDescent="0.3">
      <c r="A1671" t="s">
        <v>21</v>
      </c>
      <c r="B1671" t="s">
        <v>4742</v>
      </c>
      <c r="C1671" t="s">
        <v>270</v>
      </c>
      <c r="D1671" t="s">
        <v>4743</v>
      </c>
      <c r="E1671">
        <v>55768</v>
      </c>
      <c r="H1671" t="s">
        <v>2433</v>
      </c>
      <c r="I1671" t="s">
        <v>1343</v>
      </c>
      <c r="J1671" t="s">
        <v>297</v>
      </c>
      <c r="K1671">
        <v>2104</v>
      </c>
      <c r="L1671" t="s">
        <v>276</v>
      </c>
      <c r="M1671" t="s">
        <v>631</v>
      </c>
      <c r="N1671" t="s">
        <v>276</v>
      </c>
      <c r="P1671" t="s">
        <v>260</v>
      </c>
      <c r="Q1671" t="s">
        <v>260</v>
      </c>
      <c r="R1671" t="s">
        <v>261</v>
      </c>
      <c r="S1671" t="s">
        <v>21</v>
      </c>
      <c r="T1671">
        <v>100</v>
      </c>
      <c r="W1671" t="s">
        <v>262</v>
      </c>
      <c r="X1671">
        <v>-37.008299999999998</v>
      </c>
      <c r="Y1671">
        <v>174.87049999999999</v>
      </c>
    </row>
    <row r="1672" spans="1:25" x14ac:dyDescent="0.3">
      <c r="A1672" t="s">
        <v>21</v>
      </c>
      <c r="B1672" t="s">
        <v>4744</v>
      </c>
      <c r="C1672" t="s">
        <v>270</v>
      </c>
      <c r="D1672" t="s">
        <v>4745</v>
      </c>
      <c r="E1672">
        <v>55296</v>
      </c>
      <c r="M1672" t="s">
        <v>631</v>
      </c>
      <c r="N1672" t="s">
        <v>276</v>
      </c>
      <c r="P1672" t="s">
        <v>260</v>
      </c>
      <c r="Q1672" t="s">
        <v>260</v>
      </c>
      <c r="R1672" t="s">
        <v>261</v>
      </c>
      <c r="S1672" t="s">
        <v>21</v>
      </c>
      <c r="T1672">
        <v>100</v>
      </c>
      <c r="W1672" t="s">
        <v>262</v>
      </c>
    </row>
    <row r="1673" spans="1:25" x14ac:dyDescent="0.3">
      <c r="A1673" t="s">
        <v>21</v>
      </c>
      <c r="B1673" t="s">
        <v>4746</v>
      </c>
      <c r="C1673" t="s">
        <v>270</v>
      </c>
      <c r="D1673" t="s">
        <v>4747</v>
      </c>
      <c r="E1673">
        <v>55780</v>
      </c>
      <c r="H1673" t="s">
        <v>2433</v>
      </c>
      <c r="I1673" t="s">
        <v>1343</v>
      </c>
      <c r="J1673" t="s">
        <v>297</v>
      </c>
      <c r="K1673">
        <v>2104</v>
      </c>
      <c r="L1673" t="s">
        <v>276</v>
      </c>
      <c r="M1673" t="s">
        <v>631</v>
      </c>
      <c r="N1673" t="s">
        <v>276</v>
      </c>
      <c r="P1673" t="s">
        <v>260</v>
      </c>
      <c r="Q1673" t="s">
        <v>260</v>
      </c>
      <c r="R1673" t="s">
        <v>261</v>
      </c>
      <c r="S1673" t="s">
        <v>21</v>
      </c>
      <c r="T1673">
        <v>100</v>
      </c>
      <c r="W1673" t="s">
        <v>262</v>
      </c>
      <c r="X1673">
        <v>-37.008299999999998</v>
      </c>
      <c r="Y1673">
        <v>174.87049999999999</v>
      </c>
    </row>
    <row r="1674" spans="1:25" x14ac:dyDescent="0.3">
      <c r="A1674" t="s">
        <v>21</v>
      </c>
      <c r="B1674" t="s">
        <v>4748</v>
      </c>
      <c r="C1674" t="s">
        <v>270</v>
      </c>
      <c r="D1674" t="s">
        <v>4749</v>
      </c>
      <c r="E1674">
        <v>55758</v>
      </c>
      <c r="H1674" t="s">
        <v>2433</v>
      </c>
      <c r="I1674" t="s">
        <v>1343</v>
      </c>
      <c r="J1674" t="s">
        <v>297</v>
      </c>
      <c r="K1674">
        <v>2104</v>
      </c>
      <c r="L1674" t="s">
        <v>276</v>
      </c>
      <c r="M1674" t="s">
        <v>631</v>
      </c>
      <c r="N1674" t="s">
        <v>276</v>
      </c>
      <c r="P1674" t="s">
        <v>260</v>
      </c>
      <c r="Q1674" t="s">
        <v>260</v>
      </c>
      <c r="R1674" t="s">
        <v>261</v>
      </c>
      <c r="S1674" t="s">
        <v>21</v>
      </c>
      <c r="T1674">
        <v>100</v>
      </c>
      <c r="W1674" t="s">
        <v>262</v>
      </c>
      <c r="X1674">
        <v>-37.008299999999998</v>
      </c>
      <c r="Y1674">
        <v>174.87049999999999</v>
      </c>
    </row>
    <row r="1675" spans="1:25" x14ac:dyDescent="0.3">
      <c r="A1675" t="s">
        <v>21</v>
      </c>
      <c r="B1675" t="s">
        <v>4750</v>
      </c>
      <c r="C1675" t="s">
        <v>270</v>
      </c>
      <c r="D1675" t="s">
        <v>4751</v>
      </c>
      <c r="E1675">
        <v>55793</v>
      </c>
      <c r="F1675">
        <v>55793</v>
      </c>
      <c r="M1675" t="s">
        <v>275</v>
      </c>
      <c r="N1675" t="s">
        <v>276</v>
      </c>
      <c r="P1675" t="s">
        <v>260</v>
      </c>
      <c r="Q1675" t="s">
        <v>260</v>
      </c>
      <c r="R1675" t="s">
        <v>261</v>
      </c>
      <c r="S1675" t="s">
        <v>21</v>
      </c>
      <c r="T1675">
        <v>100</v>
      </c>
      <c r="W1675" t="s">
        <v>262</v>
      </c>
    </row>
    <row r="1676" spans="1:25" x14ac:dyDescent="0.3">
      <c r="A1676" t="s">
        <v>21</v>
      </c>
      <c r="B1676" t="s">
        <v>4752</v>
      </c>
      <c r="C1676" t="s">
        <v>270</v>
      </c>
      <c r="D1676" t="s">
        <v>4753</v>
      </c>
      <c r="E1676">
        <v>54723</v>
      </c>
      <c r="M1676" t="s">
        <v>631</v>
      </c>
      <c r="N1676" t="s">
        <v>276</v>
      </c>
      <c r="P1676" t="s">
        <v>260</v>
      </c>
      <c r="Q1676" t="s">
        <v>260</v>
      </c>
      <c r="R1676" t="s">
        <v>261</v>
      </c>
      <c r="S1676" t="s">
        <v>21</v>
      </c>
      <c r="T1676">
        <v>100</v>
      </c>
      <c r="W1676" t="s">
        <v>262</v>
      </c>
    </row>
    <row r="1677" spans="1:25" x14ac:dyDescent="0.3">
      <c r="A1677" t="s">
        <v>21</v>
      </c>
      <c r="B1677" t="s">
        <v>4754</v>
      </c>
      <c r="C1677" t="s">
        <v>270</v>
      </c>
      <c r="D1677" t="s">
        <v>4755</v>
      </c>
      <c r="E1677">
        <v>55746</v>
      </c>
      <c r="H1677" t="s">
        <v>2433</v>
      </c>
      <c r="I1677" t="s">
        <v>1343</v>
      </c>
      <c r="J1677" t="s">
        <v>297</v>
      </c>
      <c r="K1677">
        <v>2104</v>
      </c>
      <c r="L1677" t="s">
        <v>276</v>
      </c>
      <c r="M1677" t="s">
        <v>631</v>
      </c>
      <c r="N1677" t="s">
        <v>276</v>
      </c>
      <c r="P1677" t="s">
        <v>260</v>
      </c>
      <c r="Q1677" t="s">
        <v>260</v>
      </c>
      <c r="R1677" t="s">
        <v>261</v>
      </c>
      <c r="S1677" t="s">
        <v>21</v>
      </c>
      <c r="T1677">
        <v>100</v>
      </c>
      <c r="W1677" t="s">
        <v>262</v>
      </c>
      <c r="X1677">
        <v>-37.008299999999998</v>
      </c>
      <c r="Y1677">
        <v>174.87049999999999</v>
      </c>
    </row>
    <row r="1678" spans="1:25" x14ac:dyDescent="0.3">
      <c r="A1678" t="s">
        <v>21</v>
      </c>
      <c r="B1678" t="s">
        <v>4756</v>
      </c>
      <c r="C1678" t="s">
        <v>270</v>
      </c>
      <c r="D1678" t="s">
        <v>4757</v>
      </c>
      <c r="E1678">
        <v>55278</v>
      </c>
      <c r="H1678" t="s">
        <v>2433</v>
      </c>
      <c r="I1678" t="s">
        <v>1343</v>
      </c>
      <c r="J1678" t="s">
        <v>297</v>
      </c>
      <c r="K1678">
        <v>2104</v>
      </c>
      <c r="L1678" t="s">
        <v>276</v>
      </c>
      <c r="M1678" t="s">
        <v>631</v>
      </c>
      <c r="N1678" t="s">
        <v>276</v>
      </c>
      <c r="P1678" t="s">
        <v>260</v>
      </c>
      <c r="Q1678" t="s">
        <v>260</v>
      </c>
      <c r="R1678" t="s">
        <v>261</v>
      </c>
      <c r="S1678" t="s">
        <v>21</v>
      </c>
      <c r="T1678">
        <v>100</v>
      </c>
      <c r="W1678" t="s">
        <v>262</v>
      </c>
      <c r="X1678">
        <v>-37.008299999999998</v>
      </c>
      <c r="Y1678">
        <v>174.87049999999999</v>
      </c>
    </row>
    <row r="1679" spans="1:25" x14ac:dyDescent="0.3">
      <c r="A1679" t="s">
        <v>21</v>
      </c>
      <c r="B1679" t="s">
        <v>4758</v>
      </c>
      <c r="C1679" t="s">
        <v>270</v>
      </c>
      <c r="D1679" t="s">
        <v>4759</v>
      </c>
      <c r="E1679">
        <v>55270</v>
      </c>
      <c r="M1679" t="s">
        <v>631</v>
      </c>
      <c r="N1679" t="s">
        <v>276</v>
      </c>
      <c r="P1679" t="s">
        <v>260</v>
      </c>
      <c r="Q1679" t="s">
        <v>260</v>
      </c>
      <c r="R1679" t="s">
        <v>261</v>
      </c>
      <c r="S1679" t="s">
        <v>21</v>
      </c>
      <c r="T1679">
        <v>100</v>
      </c>
      <c r="W1679" t="s">
        <v>262</v>
      </c>
    </row>
    <row r="1680" spans="1:25" x14ac:dyDescent="0.3">
      <c r="A1680" t="s">
        <v>21</v>
      </c>
      <c r="B1680" t="s">
        <v>4760</v>
      </c>
      <c r="C1680" t="s">
        <v>270</v>
      </c>
      <c r="D1680" t="s">
        <v>4761</v>
      </c>
      <c r="E1680">
        <v>55277</v>
      </c>
      <c r="M1680" t="s">
        <v>631</v>
      </c>
      <c r="N1680" t="s">
        <v>276</v>
      </c>
      <c r="P1680" t="s">
        <v>260</v>
      </c>
      <c r="Q1680" t="s">
        <v>260</v>
      </c>
      <c r="R1680" t="s">
        <v>261</v>
      </c>
      <c r="S1680" t="s">
        <v>21</v>
      </c>
      <c r="T1680">
        <v>100</v>
      </c>
      <c r="W1680" t="s">
        <v>262</v>
      </c>
    </row>
    <row r="1681" spans="1:25" x14ac:dyDescent="0.3">
      <c r="A1681" t="s">
        <v>21</v>
      </c>
      <c r="B1681" t="s">
        <v>4762</v>
      </c>
      <c r="C1681" t="s">
        <v>270</v>
      </c>
      <c r="D1681" t="s">
        <v>4763</v>
      </c>
      <c r="E1681">
        <v>55787</v>
      </c>
      <c r="H1681" t="s">
        <v>2433</v>
      </c>
      <c r="I1681" t="s">
        <v>1343</v>
      </c>
      <c r="J1681" t="s">
        <v>297</v>
      </c>
      <c r="K1681">
        <v>2104</v>
      </c>
      <c r="L1681" t="s">
        <v>276</v>
      </c>
      <c r="M1681" t="s">
        <v>631</v>
      </c>
      <c r="N1681" t="s">
        <v>276</v>
      </c>
      <c r="P1681" t="s">
        <v>260</v>
      </c>
      <c r="Q1681" t="s">
        <v>260</v>
      </c>
      <c r="R1681" t="s">
        <v>261</v>
      </c>
      <c r="S1681" t="s">
        <v>21</v>
      </c>
      <c r="T1681">
        <v>100</v>
      </c>
      <c r="W1681" t="s">
        <v>262</v>
      </c>
      <c r="X1681">
        <v>-37.008299999999998</v>
      </c>
      <c r="Y1681">
        <v>174.87049999999999</v>
      </c>
    </row>
    <row r="1682" spans="1:25" x14ac:dyDescent="0.3">
      <c r="A1682" t="s">
        <v>21</v>
      </c>
      <c r="B1682" t="s">
        <v>4764</v>
      </c>
      <c r="C1682" t="s">
        <v>270</v>
      </c>
      <c r="D1682" t="s">
        <v>4765</v>
      </c>
      <c r="E1682">
        <v>55713</v>
      </c>
      <c r="M1682" t="s">
        <v>631</v>
      </c>
      <c r="N1682" t="s">
        <v>276</v>
      </c>
      <c r="P1682" t="s">
        <v>260</v>
      </c>
      <c r="Q1682" t="s">
        <v>260</v>
      </c>
      <c r="R1682" t="s">
        <v>261</v>
      </c>
      <c r="S1682" t="s">
        <v>21</v>
      </c>
      <c r="T1682">
        <v>100</v>
      </c>
      <c r="W1682" t="s">
        <v>262</v>
      </c>
    </row>
    <row r="1683" spans="1:25" x14ac:dyDescent="0.3">
      <c r="A1683" t="s">
        <v>21</v>
      </c>
      <c r="B1683" t="s">
        <v>4766</v>
      </c>
      <c r="C1683" t="s">
        <v>270</v>
      </c>
      <c r="D1683" t="s">
        <v>4767</v>
      </c>
      <c r="E1683">
        <v>55739</v>
      </c>
      <c r="G1683" t="s">
        <v>4768</v>
      </c>
      <c r="M1683" t="s">
        <v>297</v>
      </c>
      <c r="N1683" t="s">
        <v>276</v>
      </c>
      <c r="P1683" t="s">
        <v>260</v>
      </c>
      <c r="Q1683" t="s">
        <v>260</v>
      </c>
      <c r="R1683" t="s">
        <v>261</v>
      </c>
      <c r="S1683" t="s">
        <v>21</v>
      </c>
      <c r="T1683">
        <v>100</v>
      </c>
      <c r="W1683" t="s">
        <v>262</v>
      </c>
    </row>
    <row r="1684" spans="1:25" x14ac:dyDescent="0.3">
      <c r="A1684" t="s">
        <v>21</v>
      </c>
      <c r="B1684" t="s">
        <v>4769</v>
      </c>
      <c r="C1684" t="s">
        <v>270</v>
      </c>
      <c r="D1684" t="s">
        <v>4770</v>
      </c>
      <c r="E1684">
        <v>54717</v>
      </c>
      <c r="H1684" t="s">
        <v>2433</v>
      </c>
      <c r="I1684" t="s">
        <v>1343</v>
      </c>
      <c r="J1684" t="s">
        <v>297</v>
      </c>
      <c r="K1684">
        <v>2104</v>
      </c>
      <c r="L1684" t="s">
        <v>276</v>
      </c>
      <c r="M1684" t="s">
        <v>631</v>
      </c>
      <c r="N1684" t="s">
        <v>276</v>
      </c>
      <c r="P1684" t="s">
        <v>260</v>
      </c>
      <c r="Q1684" t="s">
        <v>260</v>
      </c>
      <c r="R1684" t="s">
        <v>261</v>
      </c>
      <c r="S1684" t="s">
        <v>21</v>
      </c>
      <c r="T1684">
        <v>100</v>
      </c>
      <c r="W1684" t="s">
        <v>262</v>
      </c>
      <c r="X1684">
        <v>-37.008299999999998</v>
      </c>
      <c r="Y1684">
        <v>174.87049999999999</v>
      </c>
    </row>
    <row r="1685" spans="1:25" x14ac:dyDescent="0.3">
      <c r="A1685" t="s">
        <v>21</v>
      </c>
      <c r="B1685" t="s">
        <v>4771</v>
      </c>
      <c r="C1685" t="s">
        <v>270</v>
      </c>
      <c r="D1685" t="s">
        <v>4772</v>
      </c>
      <c r="E1685">
        <v>55796</v>
      </c>
      <c r="H1685" t="s">
        <v>2433</v>
      </c>
      <c r="I1685" t="s">
        <v>1343</v>
      </c>
      <c r="J1685" t="s">
        <v>297</v>
      </c>
      <c r="K1685">
        <v>2104</v>
      </c>
      <c r="L1685" t="s">
        <v>276</v>
      </c>
      <c r="M1685" t="s">
        <v>631</v>
      </c>
      <c r="N1685" t="s">
        <v>276</v>
      </c>
      <c r="P1685" t="s">
        <v>260</v>
      </c>
      <c r="Q1685" t="s">
        <v>260</v>
      </c>
      <c r="R1685" t="s">
        <v>261</v>
      </c>
      <c r="S1685" t="s">
        <v>21</v>
      </c>
      <c r="T1685">
        <v>100</v>
      </c>
      <c r="W1685" t="s">
        <v>262</v>
      </c>
      <c r="X1685">
        <v>-37.008299999999998</v>
      </c>
      <c r="Y1685">
        <v>174.87049999999999</v>
      </c>
    </row>
    <row r="1686" spans="1:25" x14ac:dyDescent="0.3">
      <c r="A1686" t="s">
        <v>21</v>
      </c>
      <c r="B1686" t="s">
        <v>4773</v>
      </c>
      <c r="C1686" t="s">
        <v>270</v>
      </c>
      <c r="D1686" t="s">
        <v>4774</v>
      </c>
      <c r="E1686">
        <v>54710</v>
      </c>
      <c r="M1686" t="s">
        <v>297</v>
      </c>
      <c r="N1686" t="s">
        <v>276</v>
      </c>
      <c r="P1686" t="s">
        <v>260</v>
      </c>
      <c r="Q1686" t="s">
        <v>260</v>
      </c>
      <c r="R1686" t="s">
        <v>261</v>
      </c>
      <c r="S1686" t="s">
        <v>21</v>
      </c>
      <c r="T1686">
        <v>100</v>
      </c>
      <c r="W1686" t="s">
        <v>262</v>
      </c>
    </row>
    <row r="1687" spans="1:25" x14ac:dyDescent="0.3">
      <c r="A1687" t="s">
        <v>21</v>
      </c>
      <c r="B1687" t="s">
        <v>4775</v>
      </c>
      <c r="C1687" t="s">
        <v>270</v>
      </c>
      <c r="D1687" t="s">
        <v>4776</v>
      </c>
      <c r="E1687">
        <v>55792</v>
      </c>
      <c r="H1687" t="s">
        <v>2433</v>
      </c>
      <c r="I1687" t="s">
        <v>1343</v>
      </c>
      <c r="J1687" t="s">
        <v>297</v>
      </c>
      <c r="K1687">
        <v>2104</v>
      </c>
      <c r="L1687" t="s">
        <v>276</v>
      </c>
      <c r="M1687" t="s">
        <v>631</v>
      </c>
      <c r="N1687" t="s">
        <v>276</v>
      </c>
      <c r="P1687" t="s">
        <v>260</v>
      </c>
      <c r="Q1687" t="s">
        <v>260</v>
      </c>
      <c r="R1687" t="s">
        <v>261</v>
      </c>
      <c r="S1687" t="s">
        <v>21</v>
      </c>
      <c r="T1687">
        <v>100</v>
      </c>
      <c r="W1687" t="s">
        <v>262</v>
      </c>
      <c r="X1687">
        <v>-37.008299999999998</v>
      </c>
      <c r="Y1687">
        <v>174.87049999999999</v>
      </c>
    </row>
    <row r="1688" spans="1:25" x14ac:dyDescent="0.3">
      <c r="A1688" t="s">
        <v>21</v>
      </c>
      <c r="B1688" t="s">
        <v>4777</v>
      </c>
      <c r="C1688" t="s">
        <v>270</v>
      </c>
      <c r="D1688" t="s">
        <v>4778</v>
      </c>
      <c r="E1688">
        <v>55738</v>
      </c>
      <c r="H1688" t="s">
        <v>2433</v>
      </c>
      <c r="I1688" t="s">
        <v>1343</v>
      </c>
      <c r="J1688" t="s">
        <v>297</v>
      </c>
      <c r="K1688">
        <v>2104</v>
      </c>
      <c r="L1688" t="s">
        <v>276</v>
      </c>
      <c r="M1688" t="s">
        <v>631</v>
      </c>
      <c r="N1688" t="s">
        <v>276</v>
      </c>
      <c r="P1688" t="s">
        <v>260</v>
      </c>
      <c r="Q1688" t="s">
        <v>260</v>
      </c>
      <c r="R1688" t="s">
        <v>261</v>
      </c>
      <c r="S1688" t="s">
        <v>21</v>
      </c>
      <c r="T1688">
        <v>100</v>
      </c>
      <c r="W1688" t="s">
        <v>262</v>
      </c>
      <c r="X1688">
        <v>-37.008299999999998</v>
      </c>
      <c r="Y1688">
        <v>174.87049999999999</v>
      </c>
    </row>
    <row r="1689" spans="1:25" x14ac:dyDescent="0.3">
      <c r="A1689" t="s">
        <v>21</v>
      </c>
      <c r="B1689" t="s">
        <v>4779</v>
      </c>
      <c r="C1689" t="s">
        <v>270</v>
      </c>
      <c r="D1689" t="s">
        <v>4780</v>
      </c>
      <c r="E1689">
        <v>55763</v>
      </c>
      <c r="H1689" t="s">
        <v>2433</v>
      </c>
      <c r="I1689" t="s">
        <v>1343</v>
      </c>
      <c r="J1689" t="s">
        <v>297</v>
      </c>
      <c r="K1689">
        <v>2104</v>
      </c>
      <c r="L1689" t="s">
        <v>276</v>
      </c>
      <c r="M1689" t="s">
        <v>631</v>
      </c>
      <c r="N1689" t="s">
        <v>276</v>
      </c>
      <c r="P1689" t="s">
        <v>260</v>
      </c>
      <c r="Q1689" t="s">
        <v>260</v>
      </c>
      <c r="R1689" t="s">
        <v>261</v>
      </c>
      <c r="S1689" t="s">
        <v>21</v>
      </c>
      <c r="T1689">
        <v>100</v>
      </c>
      <c r="W1689" t="s">
        <v>262</v>
      </c>
      <c r="X1689">
        <v>-37.008299999999998</v>
      </c>
      <c r="Y1689">
        <v>174.87049999999999</v>
      </c>
    </row>
    <row r="1690" spans="1:25" x14ac:dyDescent="0.3">
      <c r="A1690" t="s">
        <v>21</v>
      </c>
      <c r="B1690" t="s">
        <v>4781</v>
      </c>
      <c r="C1690" t="s">
        <v>270</v>
      </c>
      <c r="D1690" t="s">
        <v>4782</v>
      </c>
      <c r="E1690">
        <v>55717</v>
      </c>
      <c r="H1690" t="s">
        <v>2433</v>
      </c>
      <c r="I1690" t="s">
        <v>1343</v>
      </c>
      <c r="J1690" t="s">
        <v>297</v>
      </c>
      <c r="K1690">
        <v>2104</v>
      </c>
      <c r="L1690" t="s">
        <v>276</v>
      </c>
      <c r="M1690" t="s">
        <v>631</v>
      </c>
      <c r="N1690" t="s">
        <v>276</v>
      </c>
      <c r="P1690" t="s">
        <v>260</v>
      </c>
      <c r="Q1690" t="s">
        <v>260</v>
      </c>
      <c r="R1690" t="s">
        <v>261</v>
      </c>
      <c r="S1690" t="s">
        <v>21</v>
      </c>
      <c r="T1690">
        <v>100</v>
      </c>
      <c r="W1690" t="s">
        <v>262</v>
      </c>
      <c r="X1690">
        <v>-37.008299999999998</v>
      </c>
      <c r="Y1690">
        <v>174.87049999999999</v>
      </c>
    </row>
    <row r="1691" spans="1:25" x14ac:dyDescent="0.3">
      <c r="A1691" t="s">
        <v>21</v>
      </c>
      <c r="B1691" t="s">
        <v>4783</v>
      </c>
      <c r="C1691" t="s">
        <v>270</v>
      </c>
      <c r="D1691" t="s">
        <v>4784</v>
      </c>
      <c r="E1691">
        <v>55785</v>
      </c>
      <c r="H1691" t="s">
        <v>2433</v>
      </c>
      <c r="I1691" t="s">
        <v>1343</v>
      </c>
      <c r="J1691" t="s">
        <v>297</v>
      </c>
      <c r="K1691">
        <v>2104</v>
      </c>
      <c r="L1691" t="s">
        <v>276</v>
      </c>
      <c r="M1691" t="s">
        <v>631</v>
      </c>
      <c r="N1691" t="s">
        <v>276</v>
      </c>
      <c r="P1691" t="s">
        <v>260</v>
      </c>
      <c r="Q1691" t="s">
        <v>260</v>
      </c>
      <c r="R1691" t="s">
        <v>261</v>
      </c>
      <c r="S1691" t="s">
        <v>21</v>
      </c>
      <c r="T1691">
        <v>100</v>
      </c>
      <c r="W1691" t="s">
        <v>262</v>
      </c>
      <c r="X1691">
        <v>-37.008299999999998</v>
      </c>
      <c r="Y1691">
        <v>174.87049999999999</v>
      </c>
    </row>
    <row r="1692" spans="1:25" x14ac:dyDescent="0.3">
      <c r="A1692" t="s">
        <v>21</v>
      </c>
      <c r="B1692" t="s">
        <v>4785</v>
      </c>
      <c r="C1692" t="s">
        <v>270</v>
      </c>
      <c r="D1692" t="s">
        <v>4786</v>
      </c>
      <c r="E1692">
        <v>54776</v>
      </c>
      <c r="G1692" t="s">
        <v>4787</v>
      </c>
      <c r="M1692" t="s">
        <v>352</v>
      </c>
      <c r="N1692" t="s">
        <v>276</v>
      </c>
      <c r="P1692" t="s">
        <v>260</v>
      </c>
      <c r="Q1692" t="s">
        <v>260</v>
      </c>
      <c r="R1692" t="s">
        <v>261</v>
      </c>
      <c r="S1692" t="s">
        <v>21</v>
      </c>
      <c r="T1692">
        <v>100</v>
      </c>
      <c r="W1692" t="s">
        <v>262</v>
      </c>
    </row>
    <row r="1693" spans="1:25" x14ac:dyDescent="0.3">
      <c r="A1693" t="s">
        <v>21</v>
      </c>
      <c r="B1693" t="s">
        <v>4788</v>
      </c>
      <c r="C1693" t="s">
        <v>270</v>
      </c>
      <c r="D1693" t="s">
        <v>4789</v>
      </c>
      <c r="E1693">
        <v>55719</v>
      </c>
      <c r="H1693" t="s">
        <v>2433</v>
      </c>
      <c r="I1693" t="s">
        <v>1343</v>
      </c>
      <c r="J1693" t="s">
        <v>297</v>
      </c>
      <c r="K1693">
        <v>2104</v>
      </c>
      <c r="L1693" t="s">
        <v>276</v>
      </c>
      <c r="M1693" t="s">
        <v>631</v>
      </c>
      <c r="N1693" t="s">
        <v>276</v>
      </c>
      <c r="P1693" t="s">
        <v>260</v>
      </c>
      <c r="Q1693" t="s">
        <v>260</v>
      </c>
      <c r="R1693" t="s">
        <v>261</v>
      </c>
      <c r="S1693" t="s">
        <v>21</v>
      </c>
      <c r="T1693">
        <v>100</v>
      </c>
      <c r="W1693" t="s">
        <v>262</v>
      </c>
      <c r="X1693">
        <v>-37.008299999999998</v>
      </c>
      <c r="Y1693">
        <v>174.87049999999999</v>
      </c>
    </row>
    <row r="1694" spans="1:25" x14ac:dyDescent="0.3">
      <c r="A1694" t="s">
        <v>21</v>
      </c>
      <c r="B1694" t="s">
        <v>4790</v>
      </c>
      <c r="C1694" t="s">
        <v>270</v>
      </c>
      <c r="D1694" t="s">
        <v>4791</v>
      </c>
      <c r="E1694">
        <v>55297</v>
      </c>
      <c r="H1694" t="s">
        <v>2433</v>
      </c>
      <c r="I1694" t="s">
        <v>1343</v>
      </c>
      <c r="J1694" t="s">
        <v>297</v>
      </c>
      <c r="K1694">
        <v>2104</v>
      </c>
      <c r="L1694" t="s">
        <v>276</v>
      </c>
      <c r="M1694" t="s">
        <v>631</v>
      </c>
      <c r="N1694" t="s">
        <v>276</v>
      </c>
      <c r="P1694" t="s">
        <v>260</v>
      </c>
      <c r="Q1694" t="s">
        <v>260</v>
      </c>
      <c r="R1694" t="s">
        <v>261</v>
      </c>
      <c r="S1694" t="s">
        <v>21</v>
      </c>
      <c r="T1694">
        <v>100</v>
      </c>
      <c r="W1694" t="s">
        <v>262</v>
      </c>
      <c r="X1694">
        <v>-37.008299999999998</v>
      </c>
      <c r="Y1694">
        <v>174.87049999999999</v>
      </c>
    </row>
    <row r="1695" spans="1:25" x14ac:dyDescent="0.3">
      <c r="A1695" t="s">
        <v>21</v>
      </c>
      <c r="B1695" t="s">
        <v>4792</v>
      </c>
      <c r="C1695" t="s">
        <v>270</v>
      </c>
      <c r="D1695" t="s">
        <v>4793</v>
      </c>
      <c r="E1695">
        <v>55727</v>
      </c>
      <c r="H1695" t="s">
        <v>2433</v>
      </c>
      <c r="I1695" t="s">
        <v>1343</v>
      </c>
      <c r="J1695" t="s">
        <v>297</v>
      </c>
      <c r="K1695">
        <v>2104</v>
      </c>
      <c r="L1695" t="s">
        <v>276</v>
      </c>
      <c r="M1695" t="s">
        <v>631</v>
      </c>
      <c r="N1695" t="s">
        <v>276</v>
      </c>
      <c r="P1695" t="s">
        <v>260</v>
      </c>
      <c r="Q1695" t="s">
        <v>260</v>
      </c>
      <c r="R1695" t="s">
        <v>261</v>
      </c>
      <c r="S1695" t="s">
        <v>21</v>
      </c>
      <c r="T1695">
        <v>100</v>
      </c>
      <c r="W1695" t="s">
        <v>262</v>
      </c>
      <c r="X1695">
        <v>-37.008299999999998</v>
      </c>
      <c r="Y1695">
        <v>174.87049999999999</v>
      </c>
    </row>
    <row r="1696" spans="1:25" x14ac:dyDescent="0.3">
      <c r="A1696" t="s">
        <v>21</v>
      </c>
      <c r="B1696" t="s">
        <v>4794</v>
      </c>
      <c r="C1696" t="s">
        <v>270</v>
      </c>
      <c r="D1696" t="s">
        <v>4795</v>
      </c>
      <c r="E1696">
        <v>55287</v>
      </c>
      <c r="H1696" t="s">
        <v>2433</v>
      </c>
      <c r="I1696" t="s">
        <v>1343</v>
      </c>
      <c r="J1696" t="s">
        <v>297</v>
      </c>
      <c r="K1696">
        <v>2104</v>
      </c>
      <c r="L1696" t="s">
        <v>276</v>
      </c>
      <c r="M1696" t="s">
        <v>631</v>
      </c>
      <c r="N1696" t="s">
        <v>276</v>
      </c>
      <c r="P1696" t="s">
        <v>260</v>
      </c>
      <c r="Q1696" t="s">
        <v>260</v>
      </c>
      <c r="R1696" t="s">
        <v>261</v>
      </c>
      <c r="S1696" t="s">
        <v>21</v>
      </c>
      <c r="T1696">
        <v>100</v>
      </c>
      <c r="W1696" t="s">
        <v>262</v>
      </c>
      <c r="X1696">
        <v>-37.008299999999998</v>
      </c>
      <c r="Y1696">
        <v>174.87049999999999</v>
      </c>
    </row>
    <row r="1697" spans="1:25" x14ac:dyDescent="0.3">
      <c r="A1697" t="s">
        <v>21</v>
      </c>
      <c r="B1697" t="s">
        <v>4796</v>
      </c>
      <c r="C1697" t="s">
        <v>270</v>
      </c>
      <c r="D1697" t="s">
        <v>4797</v>
      </c>
      <c r="E1697">
        <v>55276</v>
      </c>
      <c r="H1697" t="s">
        <v>2433</v>
      </c>
      <c r="I1697" t="s">
        <v>1343</v>
      </c>
      <c r="J1697" t="s">
        <v>297</v>
      </c>
      <c r="K1697">
        <v>2104</v>
      </c>
      <c r="L1697" t="s">
        <v>276</v>
      </c>
      <c r="M1697" t="s">
        <v>631</v>
      </c>
      <c r="N1697" t="s">
        <v>276</v>
      </c>
      <c r="P1697" t="s">
        <v>260</v>
      </c>
      <c r="Q1697" t="s">
        <v>260</v>
      </c>
      <c r="R1697" t="s">
        <v>261</v>
      </c>
      <c r="S1697" t="s">
        <v>21</v>
      </c>
      <c r="T1697">
        <v>100</v>
      </c>
      <c r="W1697" t="s">
        <v>262</v>
      </c>
      <c r="X1697">
        <v>-37.008299999999998</v>
      </c>
      <c r="Y1697">
        <v>174.87049999999999</v>
      </c>
    </row>
    <row r="1698" spans="1:25" x14ac:dyDescent="0.3">
      <c r="A1698" t="s">
        <v>21</v>
      </c>
      <c r="B1698" t="s">
        <v>4798</v>
      </c>
      <c r="C1698" t="s">
        <v>270</v>
      </c>
      <c r="D1698" t="s">
        <v>4799</v>
      </c>
      <c r="E1698">
        <v>54716</v>
      </c>
      <c r="M1698" t="s">
        <v>631</v>
      </c>
      <c r="N1698" t="s">
        <v>276</v>
      </c>
      <c r="P1698" t="s">
        <v>260</v>
      </c>
      <c r="Q1698" t="s">
        <v>260</v>
      </c>
      <c r="R1698" t="s">
        <v>261</v>
      </c>
      <c r="S1698" t="s">
        <v>21</v>
      </c>
      <c r="T1698">
        <v>100</v>
      </c>
      <c r="W1698" t="s">
        <v>262</v>
      </c>
    </row>
    <row r="1699" spans="1:25" x14ac:dyDescent="0.3">
      <c r="A1699" t="s">
        <v>21</v>
      </c>
      <c r="B1699" t="s">
        <v>4800</v>
      </c>
      <c r="C1699" t="s">
        <v>270</v>
      </c>
      <c r="D1699" t="s">
        <v>4801</v>
      </c>
      <c r="E1699">
        <v>55798</v>
      </c>
      <c r="H1699" t="s">
        <v>2433</v>
      </c>
      <c r="I1699" t="s">
        <v>1343</v>
      </c>
      <c r="J1699" t="s">
        <v>297</v>
      </c>
      <c r="K1699">
        <v>2104</v>
      </c>
      <c r="L1699" t="s">
        <v>276</v>
      </c>
      <c r="M1699" t="s">
        <v>631</v>
      </c>
      <c r="N1699" t="s">
        <v>276</v>
      </c>
      <c r="P1699" t="s">
        <v>260</v>
      </c>
      <c r="Q1699" t="s">
        <v>260</v>
      </c>
      <c r="R1699" t="s">
        <v>261</v>
      </c>
      <c r="S1699" t="s">
        <v>21</v>
      </c>
      <c r="T1699">
        <v>100</v>
      </c>
      <c r="W1699" t="s">
        <v>262</v>
      </c>
      <c r="X1699">
        <v>-37.008299999999998</v>
      </c>
      <c r="Y1699">
        <v>174.87049999999999</v>
      </c>
    </row>
    <row r="1700" spans="1:25" x14ac:dyDescent="0.3">
      <c r="A1700" t="s">
        <v>21</v>
      </c>
      <c r="B1700" t="s">
        <v>4802</v>
      </c>
      <c r="C1700" t="s">
        <v>270</v>
      </c>
      <c r="D1700" t="s">
        <v>4803</v>
      </c>
      <c r="E1700">
        <v>55762</v>
      </c>
      <c r="H1700" t="s">
        <v>2433</v>
      </c>
      <c r="I1700" t="s">
        <v>1343</v>
      </c>
      <c r="J1700" t="s">
        <v>297</v>
      </c>
      <c r="K1700">
        <v>2104</v>
      </c>
      <c r="L1700" t="s">
        <v>276</v>
      </c>
      <c r="M1700" t="s">
        <v>631</v>
      </c>
      <c r="N1700" t="s">
        <v>276</v>
      </c>
      <c r="P1700" t="s">
        <v>260</v>
      </c>
      <c r="Q1700" t="s">
        <v>260</v>
      </c>
      <c r="R1700" t="s">
        <v>261</v>
      </c>
      <c r="S1700" t="s">
        <v>21</v>
      </c>
      <c r="T1700">
        <v>100</v>
      </c>
      <c r="W1700" t="s">
        <v>262</v>
      </c>
      <c r="X1700">
        <v>-37.008299999999998</v>
      </c>
      <c r="Y1700">
        <v>174.87049999999999</v>
      </c>
    </row>
    <row r="1701" spans="1:25" x14ac:dyDescent="0.3">
      <c r="A1701" t="s">
        <v>21</v>
      </c>
      <c r="B1701" t="s">
        <v>4804</v>
      </c>
      <c r="C1701" t="s">
        <v>270</v>
      </c>
      <c r="D1701" t="s">
        <v>4805</v>
      </c>
      <c r="E1701">
        <v>55795</v>
      </c>
      <c r="H1701" t="s">
        <v>2433</v>
      </c>
      <c r="I1701" t="s">
        <v>1343</v>
      </c>
      <c r="J1701" t="s">
        <v>297</v>
      </c>
      <c r="K1701">
        <v>2104</v>
      </c>
      <c r="L1701" t="s">
        <v>276</v>
      </c>
      <c r="M1701" t="s">
        <v>631</v>
      </c>
      <c r="N1701" t="s">
        <v>276</v>
      </c>
      <c r="P1701" t="s">
        <v>260</v>
      </c>
      <c r="Q1701" t="s">
        <v>260</v>
      </c>
      <c r="R1701" t="s">
        <v>261</v>
      </c>
      <c r="S1701" t="s">
        <v>21</v>
      </c>
      <c r="T1701">
        <v>100</v>
      </c>
      <c r="W1701" t="s">
        <v>262</v>
      </c>
      <c r="X1701">
        <v>-37.008299999999998</v>
      </c>
      <c r="Y1701">
        <v>174.87049999999999</v>
      </c>
    </row>
    <row r="1702" spans="1:25" x14ac:dyDescent="0.3">
      <c r="A1702" t="s">
        <v>21</v>
      </c>
      <c r="B1702" t="s">
        <v>4806</v>
      </c>
      <c r="C1702" t="s">
        <v>270</v>
      </c>
      <c r="D1702" t="s">
        <v>4807</v>
      </c>
      <c r="E1702">
        <v>55760</v>
      </c>
      <c r="H1702" t="s">
        <v>2433</v>
      </c>
      <c r="I1702" t="s">
        <v>1343</v>
      </c>
      <c r="J1702" t="s">
        <v>297</v>
      </c>
      <c r="K1702">
        <v>2104</v>
      </c>
      <c r="L1702" t="s">
        <v>276</v>
      </c>
      <c r="M1702" t="s">
        <v>631</v>
      </c>
      <c r="N1702" t="s">
        <v>276</v>
      </c>
      <c r="P1702" t="s">
        <v>260</v>
      </c>
      <c r="Q1702" t="s">
        <v>260</v>
      </c>
      <c r="R1702" t="s">
        <v>261</v>
      </c>
      <c r="S1702" t="s">
        <v>21</v>
      </c>
      <c r="T1702">
        <v>100</v>
      </c>
      <c r="W1702" t="s">
        <v>262</v>
      </c>
      <c r="X1702">
        <v>-37.008299999999998</v>
      </c>
      <c r="Y1702">
        <v>174.87049999999999</v>
      </c>
    </row>
    <row r="1703" spans="1:25" x14ac:dyDescent="0.3">
      <c r="A1703" t="s">
        <v>21</v>
      </c>
      <c r="B1703" t="s">
        <v>4808</v>
      </c>
      <c r="C1703" t="s">
        <v>270</v>
      </c>
      <c r="D1703" t="s">
        <v>4809</v>
      </c>
      <c r="E1703">
        <v>55794</v>
      </c>
      <c r="M1703" t="s">
        <v>1449</v>
      </c>
      <c r="N1703" t="s">
        <v>276</v>
      </c>
      <c r="P1703" t="s">
        <v>260</v>
      </c>
      <c r="Q1703" t="s">
        <v>260</v>
      </c>
      <c r="R1703" t="s">
        <v>261</v>
      </c>
      <c r="S1703" t="s">
        <v>21</v>
      </c>
      <c r="T1703">
        <v>100</v>
      </c>
      <c r="W1703" t="s">
        <v>262</v>
      </c>
    </row>
    <row r="1704" spans="1:25" x14ac:dyDescent="0.3">
      <c r="A1704" t="s">
        <v>21</v>
      </c>
      <c r="B1704" t="s">
        <v>4810</v>
      </c>
      <c r="C1704" t="s">
        <v>270</v>
      </c>
      <c r="D1704" t="s">
        <v>4811</v>
      </c>
      <c r="E1704">
        <v>55733</v>
      </c>
      <c r="H1704" t="s">
        <v>2433</v>
      </c>
      <c r="I1704" t="s">
        <v>1343</v>
      </c>
      <c r="J1704" t="s">
        <v>297</v>
      </c>
      <c r="K1704">
        <v>2104</v>
      </c>
      <c r="L1704" t="s">
        <v>276</v>
      </c>
      <c r="M1704" t="s">
        <v>631</v>
      </c>
      <c r="N1704" t="s">
        <v>276</v>
      </c>
      <c r="P1704" t="s">
        <v>260</v>
      </c>
      <c r="Q1704" t="s">
        <v>260</v>
      </c>
      <c r="R1704" t="s">
        <v>261</v>
      </c>
      <c r="S1704" t="s">
        <v>21</v>
      </c>
      <c r="T1704">
        <v>100</v>
      </c>
      <c r="W1704" t="s">
        <v>262</v>
      </c>
      <c r="X1704">
        <v>-37.008299999999998</v>
      </c>
      <c r="Y1704">
        <v>174.87049999999999</v>
      </c>
    </row>
    <row r="1705" spans="1:25" x14ac:dyDescent="0.3">
      <c r="A1705" t="s">
        <v>21</v>
      </c>
      <c r="B1705" t="s">
        <v>4812</v>
      </c>
      <c r="C1705" t="s">
        <v>270</v>
      </c>
      <c r="D1705" t="s">
        <v>4813</v>
      </c>
      <c r="E1705">
        <v>55237</v>
      </c>
      <c r="M1705" t="s">
        <v>631</v>
      </c>
      <c r="N1705" t="s">
        <v>276</v>
      </c>
      <c r="P1705" t="s">
        <v>260</v>
      </c>
      <c r="Q1705" t="s">
        <v>260</v>
      </c>
      <c r="R1705" t="s">
        <v>261</v>
      </c>
      <c r="S1705" t="s">
        <v>21</v>
      </c>
      <c r="T1705">
        <v>100</v>
      </c>
      <c r="W1705" t="s">
        <v>262</v>
      </c>
    </row>
    <row r="1706" spans="1:25" x14ac:dyDescent="0.3">
      <c r="A1706" t="s">
        <v>21</v>
      </c>
      <c r="B1706" t="s">
        <v>4814</v>
      </c>
      <c r="C1706" t="s">
        <v>270</v>
      </c>
      <c r="D1706" t="s">
        <v>4815</v>
      </c>
      <c r="E1706">
        <v>54741</v>
      </c>
      <c r="M1706" t="s">
        <v>631</v>
      </c>
      <c r="N1706" t="s">
        <v>276</v>
      </c>
      <c r="P1706" t="s">
        <v>260</v>
      </c>
      <c r="Q1706" t="s">
        <v>260</v>
      </c>
      <c r="R1706" t="s">
        <v>261</v>
      </c>
      <c r="S1706" t="s">
        <v>21</v>
      </c>
      <c r="T1706">
        <v>100</v>
      </c>
      <c r="W1706" t="s">
        <v>262</v>
      </c>
    </row>
    <row r="1707" spans="1:25" x14ac:dyDescent="0.3">
      <c r="A1707" t="s">
        <v>21</v>
      </c>
      <c r="B1707" t="s">
        <v>4816</v>
      </c>
      <c r="C1707" t="s">
        <v>270</v>
      </c>
      <c r="D1707" t="s">
        <v>4817</v>
      </c>
      <c r="E1707">
        <v>55782</v>
      </c>
      <c r="H1707" t="s">
        <v>2433</v>
      </c>
      <c r="I1707" t="s">
        <v>1343</v>
      </c>
      <c r="J1707" t="s">
        <v>297</v>
      </c>
      <c r="K1707">
        <v>2104</v>
      </c>
      <c r="L1707" t="s">
        <v>276</v>
      </c>
      <c r="M1707" t="s">
        <v>631</v>
      </c>
      <c r="N1707" t="s">
        <v>276</v>
      </c>
      <c r="P1707" t="s">
        <v>260</v>
      </c>
      <c r="Q1707" t="s">
        <v>260</v>
      </c>
      <c r="R1707" t="s">
        <v>261</v>
      </c>
      <c r="S1707" t="s">
        <v>21</v>
      </c>
      <c r="T1707">
        <v>100</v>
      </c>
      <c r="W1707" t="s">
        <v>262</v>
      </c>
      <c r="X1707">
        <v>-37.008299999999998</v>
      </c>
      <c r="Y1707">
        <v>174.87049999999999</v>
      </c>
    </row>
    <row r="1708" spans="1:25" x14ac:dyDescent="0.3">
      <c r="A1708" t="s">
        <v>21</v>
      </c>
      <c r="B1708" t="s">
        <v>4818</v>
      </c>
      <c r="C1708" t="s">
        <v>270</v>
      </c>
      <c r="D1708" t="s">
        <v>4819</v>
      </c>
      <c r="E1708">
        <v>55789</v>
      </c>
      <c r="H1708" t="s">
        <v>2433</v>
      </c>
      <c r="I1708" t="s">
        <v>1343</v>
      </c>
      <c r="J1708" t="s">
        <v>297</v>
      </c>
      <c r="K1708">
        <v>2104</v>
      </c>
      <c r="L1708" t="s">
        <v>276</v>
      </c>
      <c r="M1708" t="s">
        <v>631</v>
      </c>
      <c r="N1708" t="s">
        <v>276</v>
      </c>
      <c r="P1708" t="s">
        <v>260</v>
      </c>
      <c r="Q1708" t="s">
        <v>260</v>
      </c>
      <c r="R1708" t="s">
        <v>261</v>
      </c>
      <c r="S1708" t="s">
        <v>21</v>
      </c>
      <c r="T1708">
        <v>100</v>
      </c>
      <c r="W1708" t="s">
        <v>262</v>
      </c>
      <c r="X1708">
        <v>-37.008299999999998</v>
      </c>
      <c r="Y1708">
        <v>174.87049999999999</v>
      </c>
    </row>
    <row r="1709" spans="1:25" x14ac:dyDescent="0.3">
      <c r="A1709" t="s">
        <v>21</v>
      </c>
      <c r="B1709" t="s">
        <v>4820</v>
      </c>
      <c r="C1709" t="s">
        <v>270</v>
      </c>
      <c r="D1709" t="s">
        <v>4821</v>
      </c>
      <c r="E1709">
        <v>55299</v>
      </c>
      <c r="H1709" t="s">
        <v>2433</v>
      </c>
      <c r="I1709" t="s">
        <v>1343</v>
      </c>
      <c r="J1709" t="s">
        <v>297</v>
      </c>
      <c r="K1709">
        <v>2104</v>
      </c>
      <c r="L1709" t="s">
        <v>276</v>
      </c>
      <c r="M1709" t="s">
        <v>631</v>
      </c>
      <c r="N1709" t="s">
        <v>276</v>
      </c>
      <c r="P1709" t="s">
        <v>260</v>
      </c>
      <c r="Q1709" t="s">
        <v>260</v>
      </c>
      <c r="R1709" t="s">
        <v>261</v>
      </c>
      <c r="S1709" t="s">
        <v>21</v>
      </c>
      <c r="T1709">
        <v>100</v>
      </c>
      <c r="W1709" t="s">
        <v>262</v>
      </c>
      <c r="X1709">
        <v>-37.008299999999998</v>
      </c>
      <c r="Y1709">
        <v>174.87049999999999</v>
      </c>
    </row>
    <row r="1710" spans="1:25" x14ac:dyDescent="0.3">
      <c r="A1710" t="s">
        <v>21</v>
      </c>
      <c r="B1710" t="s">
        <v>4822</v>
      </c>
      <c r="C1710" t="s">
        <v>270</v>
      </c>
      <c r="D1710" t="s">
        <v>761</v>
      </c>
      <c r="E1710">
        <v>55755</v>
      </c>
      <c r="H1710" t="s">
        <v>2433</v>
      </c>
      <c r="I1710" t="s">
        <v>1343</v>
      </c>
      <c r="J1710" t="s">
        <v>297</v>
      </c>
      <c r="K1710">
        <v>2104</v>
      </c>
      <c r="L1710" t="s">
        <v>276</v>
      </c>
      <c r="M1710" t="s">
        <v>631</v>
      </c>
      <c r="N1710" t="s">
        <v>276</v>
      </c>
      <c r="P1710" t="s">
        <v>260</v>
      </c>
      <c r="Q1710" t="s">
        <v>260</v>
      </c>
      <c r="R1710" t="s">
        <v>261</v>
      </c>
      <c r="S1710" t="s">
        <v>21</v>
      </c>
      <c r="T1710">
        <v>100</v>
      </c>
      <c r="W1710" t="s">
        <v>262</v>
      </c>
      <c r="X1710">
        <v>-37.008299999999998</v>
      </c>
      <c r="Y1710">
        <v>174.87049999999999</v>
      </c>
    </row>
    <row r="1711" spans="1:25" x14ac:dyDescent="0.3">
      <c r="A1711" t="s">
        <v>21</v>
      </c>
      <c r="B1711" t="s">
        <v>4823</v>
      </c>
      <c r="C1711" t="s">
        <v>270</v>
      </c>
      <c r="D1711" t="s">
        <v>4824</v>
      </c>
      <c r="E1711">
        <v>55766</v>
      </c>
      <c r="H1711" t="s">
        <v>2433</v>
      </c>
      <c r="I1711" t="s">
        <v>1343</v>
      </c>
      <c r="J1711" t="s">
        <v>297</v>
      </c>
      <c r="K1711">
        <v>2104</v>
      </c>
      <c r="L1711" t="s">
        <v>276</v>
      </c>
      <c r="M1711" t="s">
        <v>631</v>
      </c>
      <c r="N1711" t="s">
        <v>276</v>
      </c>
      <c r="P1711" t="s">
        <v>260</v>
      </c>
      <c r="Q1711" t="s">
        <v>260</v>
      </c>
      <c r="R1711" t="s">
        <v>261</v>
      </c>
      <c r="S1711" t="s">
        <v>21</v>
      </c>
      <c r="T1711">
        <v>100</v>
      </c>
      <c r="W1711" t="s">
        <v>262</v>
      </c>
      <c r="X1711">
        <v>-37.008299999999998</v>
      </c>
      <c r="Y1711">
        <v>174.87049999999999</v>
      </c>
    </row>
    <row r="1712" spans="1:25" x14ac:dyDescent="0.3">
      <c r="A1712" t="s">
        <v>21</v>
      </c>
      <c r="B1712" t="s">
        <v>4825</v>
      </c>
      <c r="C1712" t="s">
        <v>270</v>
      </c>
      <c r="D1712" t="s">
        <v>4826</v>
      </c>
      <c r="E1712">
        <v>55290</v>
      </c>
      <c r="H1712" t="s">
        <v>2433</v>
      </c>
      <c r="I1712" t="s">
        <v>1343</v>
      </c>
      <c r="J1712" t="s">
        <v>297</v>
      </c>
      <c r="K1712">
        <v>2104</v>
      </c>
      <c r="L1712" t="s">
        <v>276</v>
      </c>
      <c r="M1712" t="s">
        <v>631</v>
      </c>
      <c r="N1712" t="s">
        <v>276</v>
      </c>
      <c r="P1712" t="s">
        <v>260</v>
      </c>
      <c r="Q1712" t="s">
        <v>260</v>
      </c>
      <c r="R1712" t="s">
        <v>261</v>
      </c>
      <c r="S1712" t="s">
        <v>21</v>
      </c>
      <c r="T1712">
        <v>100</v>
      </c>
      <c r="W1712" t="s">
        <v>262</v>
      </c>
      <c r="X1712">
        <v>-37.008299999999998</v>
      </c>
      <c r="Y1712">
        <v>174.87049999999999</v>
      </c>
    </row>
    <row r="1713" spans="1:25" x14ac:dyDescent="0.3">
      <c r="A1713" t="s">
        <v>21</v>
      </c>
      <c r="B1713" t="s">
        <v>4827</v>
      </c>
      <c r="C1713" t="s">
        <v>270</v>
      </c>
      <c r="D1713" t="s">
        <v>4828</v>
      </c>
      <c r="E1713">
        <v>55289</v>
      </c>
      <c r="M1713" t="s">
        <v>631</v>
      </c>
      <c r="N1713" t="s">
        <v>276</v>
      </c>
      <c r="P1713" t="s">
        <v>260</v>
      </c>
      <c r="Q1713" t="s">
        <v>260</v>
      </c>
      <c r="R1713" t="s">
        <v>261</v>
      </c>
      <c r="S1713" t="s">
        <v>21</v>
      </c>
      <c r="T1713">
        <v>100</v>
      </c>
      <c r="W1713" t="s">
        <v>262</v>
      </c>
    </row>
    <row r="1714" spans="1:25" x14ac:dyDescent="0.3">
      <c r="A1714" t="s">
        <v>21</v>
      </c>
      <c r="B1714" t="s">
        <v>4829</v>
      </c>
      <c r="C1714" t="s">
        <v>270</v>
      </c>
      <c r="D1714" t="s">
        <v>4830</v>
      </c>
      <c r="E1714">
        <v>55724</v>
      </c>
      <c r="H1714" t="s">
        <v>2433</v>
      </c>
      <c r="I1714" t="s">
        <v>1343</v>
      </c>
      <c r="J1714" t="s">
        <v>297</v>
      </c>
      <c r="K1714">
        <v>2104</v>
      </c>
      <c r="L1714" t="s">
        <v>276</v>
      </c>
      <c r="M1714" t="s">
        <v>631</v>
      </c>
      <c r="N1714" t="s">
        <v>276</v>
      </c>
      <c r="P1714" t="s">
        <v>260</v>
      </c>
      <c r="Q1714" t="s">
        <v>260</v>
      </c>
      <c r="R1714" t="s">
        <v>261</v>
      </c>
      <c r="S1714" t="s">
        <v>21</v>
      </c>
      <c r="T1714">
        <v>100</v>
      </c>
      <c r="W1714" t="s">
        <v>262</v>
      </c>
      <c r="X1714">
        <v>-37.008299999999998</v>
      </c>
      <c r="Y1714">
        <v>174.87049999999999</v>
      </c>
    </row>
    <row r="1715" spans="1:25" x14ac:dyDescent="0.3">
      <c r="A1715" t="s">
        <v>21</v>
      </c>
      <c r="B1715" t="s">
        <v>4831</v>
      </c>
      <c r="C1715" t="s">
        <v>270</v>
      </c>
      <c r="D1715" t="s">
        <v>4832</v>
      </c>
      <c r="E1715">
        <v>55723</v>
      </c>
      <c r="H1715" t="s">
        <v>2433</v>
      </c>
      <c r="I1715" t="s">
        <v>1343</v>
      </c>
      <c r="J1715" t="s">
        <v>297</v>
      </c>
      <c r="K1715">
        <v>2104</v>
      </c>
      <c r="L1715" t="s">
        <v>276</v>
      </c>
      <c r="M1715" t="s">
        <v>631</v>
      </c>
      <c r="N1715" t="s">
        <v>276</v>
      </c>
      <c r="P1715" t="s">
        <v>260</v>
      </c>
      <c r="Q1715" t="s">
        <v>260</v>
      </c>
      <c r="R1715" t="s">
        <v>261</v>
      </c>
      <c r="S1715" t="s">
        <v>21</v>
      </c>
      <c r="T1715">
        <v>100</v>
      </c>
      <c r="W1715" t="s">
        <v>262</v>
      </c>
      <c r="X1715">
        <v>-37.008299999999998</v>
      </c>
      <c r="Y1715">
        <v>174.87049999999999</v>
      </c>
    </row>
    <row r="1716" spans="1:25" x14ac:dyDescent="0.3">
      <c r="A1716" t="s">
        <v>21</v>
      </c>
      <c r="B1716" t="s">
        <v>4833</v>
      </c>
      <c r="C1716" t="s">
        <v>270</v>
      </c>
      <c r="D1716" t="s">
        <v>4834</v>
      </c>
      <c r="E1716">
        <v>55712</v>
      </c>
      <c r="H1716" t="s">
        <v>2433</v>
      </c>
      <c r="I1716" t="s">
        <v>1343</v>
      </c>
      <c r="J1716" t="s">
        <v>297</v>
      </c>
      <c r="K1716">
        <v>2104</v>
      </c>
      <c r="L1716" t="s">
        <v>276</v>
      </c>
      <c r="M1716" t="s">
        <v>631</v>
      </c>
      <c r="N1716" t="s">
        <v>276</v>
      </c>
      <c r="P1716" t="s">
        <v>260</v>
      </c>
      <c r="Q1716" t="s">
        <v>260</v>
      </c>
      <c r="R1716" t="s">
        <v>261</v>
      </c>
      <c r="S1716" t="s">
        <v>21</v>
      </c>
      <c r="T1716">
        <v>100</v>
      </c>
      <c r="W1716" t="s">
        <v>262</v>
      </c>
      <c r="X1716">
        <v>-37.008299999999998</v>
      </c>
      <c r="Y1716">
        <v>174.87049999999999</v>
      </c>
    </row>
    <row r="1717" spans="1:25" x14ac:dyDescent="0.3">
      <c r="A1717" t="s">
        <v>21</v>
      </c>
      <c r="B1717" t="s">
        <v>4835</v>
      </c>
      <c r="C1717" t="s">
        <v>270</v>
      </c>
      <c r="D1717" t="s">
        <v>4836</v>
      </c>
      <c r="E1717">
        <v>54714</v>
      </c>
      <c r="H1717" t="s">
        <v>2433</v>
      </c>
      <c r="I1717" t="s">
        <v>1343</v>
      </c>
      <c r="J1717" t="s">
        <v>297</v>
      </c>
      <c r="K1717">
        <v>2104</v>
      </c>
      <c r="L1717" t="s">
        <v>276</v>
      </c>
      <c r="M1717" t="s">
        <v>631</v>
      </c>
      <c r="N1717" t="s">
        <v>276</v>
      </c>
      <c r="P1717" t="s">
        <v>260</v>
      </c>
      <c r="Q1717" t="s">
        <v>260</v>
      </c>
      <c r="R1717" t="s">
        <v>261</v>
      </c>
      <c r="S1717" t="s">
        <v>21</v>
      </c>
      <c r="T1717">
        <v>100</v>
      </c>
      <c r="W1717" t="s">
        <v>262</v>
      </c>
      <c r="X1717">
        <v>-37.008299999999998</v>
      </c>
      <c r="Y1717">
        <v>174.87049999999999</v>
      </c>
    </row>
    <row r="1718" spans="1:25" x14ac:dyDescent="0.3">
      <c r="A1718" t="s">
        <v>21</v>
      </c>
      <c r="B1718" t="s">
        <v>4837</v>
      </c>
      <c r="C1718" t="s">
        <v>270</v>
      </c>
      <c r="D1718" t="s">
        <v>4838</v>
      </c>
      <c r="E1718">
        <v>55293</v>
      </c>
      <c r="H1718" t="s">
        <v>2433</v>
      </c>
      <c r="I1718" t="s">
        <v>1343</v>
      </c>
      <c r="J1718" t="s">
        <v>297</v>
      </c>
      <c r="K1718">
        <v>2104</v>
      </c>
      <c r="L1718" t="s">
        <v>276</v>
      </c>
      <c r="M1718" t="s">
        <v>631</v>
      </c>
      <c r="N1718" t="s">
        <v>276</v>
      </c>
      <c r="P1718" t="s">
        <v>260</v>
      </c>
      <c r="Q1718" t="s">
        <v>260</v>
      </c>
      <c r="R1718" t="s">
        <v>261</v>
      </c>
      <c r="S1718" t="s">
        <v>21</v>
      </c>
      <c r="T1718">
        <v>100</v>
      </c>
      <c r="W1718" t="s">
        <v>262</v>
      </c>
      <c r="X1718">
        <v>-37.008299999999998</v>
      </c>
      <c r="Y1718">
        <v>174.87049999999999</v>
      </c>
    </row>
    <row r="1719" spans="1:25" x14ac:dyDescent="0.3">
      <c r="A1719" t="s">
        <v>21</v>
      </c>
      <c r="B1719" t="s">
        <v>4839</v>
      </c>
      <c r="C1719" t="s">
        <v>270</v>
      </c>
      <c r="D1719" t="s">
        <v>4840</v>
      </c>
      <c r="E1719">
        <v>54728</v>
      </c>
      <c r="M1719" t="s">
        <v>631</v>
      </c>
      <c r="N1719" t="s">
        <v>276</v>
      </c>
      <c r="P1719" t="s">
        <v>260</v>
      </c>
      <c r="Q1719" t="s">
        <v>260</v>
      </c>
      <c r="R1719" t="s">
        <v>261</v>
      </c>
      <c r="S1719" t="s">
        <v>21</v>
      </c>
      <c r="T1719">
        <v>100</v>
      </c>
      <c r="W1719" t="s">
        <v>262</v>
      </c>
    </row>
    <row r="1720" spans="1:25" x14ac:dyDescent="0.3">
      <c r="A1720" t="s">
        <v>21</v>
      </c>
      <c r="B1720" t="s">
        <v>4841</v>
      </c>
      <c r="C1720" t="s">
        <v>270</v>
      </c>
      <c r="D1720" t="s">
        <v>4842</v>
      </c>
      <c r="E1720">
        <v>54740</v>
      </c>
      <c r="M1720" t="s">
        <v>3734</v>
      </c>
      <c r="N1720" t="s">
        <v>276</v>
      </c>
      <c r="P1720" t="s">
        <v>260</v>
      </c>
      <c r="Q1720" t="s">
        <v>260</v>
      </c>
      <c r="R1720" t="s">
        <v>261</v>
      </c>
      <c r="S1720" t="s">
        <v>21</v>
      </c>
      <c r="T1720">
        <v>100</v>
      </c>
      <c r="W1720" t="s">
        <v>262</v>
      </c>
    </row>
    <row r="1721" spans="1:25" x14ac:dyDescent="0.3">
      <c r="A1721" t="s">
        <v>21</v>
      </c>
      <c r="B1721" t="s">
        <v>4843</v>
      </c>
      <c r="C1721" t="s">
        <v>270</v>
      </c>
      <c r="D1721" t="s">
        <v>4844</v>
      </c>
      <c r="E1721">
        <v>55288</v>
      </c>
      <c r="H1721" t="s">
        <v>2433</v>
      </c>
      <c r="I1721" t="s">
        <v>1343</v>
      </c>
      <c r="J1721" t="s">
        <v>297</v>
      </c>
      <c r="K1721">
        <v>2104</v>
      </c>
      <c r="L1721" t="s">
        <v>276</v>
      </c>
      <c r="M1721" t="s">
        <v>631</v>
      </c>
      <c r="N1721" t="s">
        <v>276</v>
      </c>
      <c r="P1721" t="s">
        <v>260</v>
      </c>
      <c r="Q1721" t="s">
        <v>260</v>
      </c>
      <c r="R1721" t="s">
        <v>261</v>
      </c>
      <c r="S1721" t="s">
        <v>21</v>
      </c>
      <c r="T1721">
        <v>100</v>
      </c>
      <c r="W1721" t="s">
        <v>262</v>
      </c>
      <c r="X1721">
        <v>-37.008299999999998</v>
      </c>
      <c r="Y1721">
        <v>174.87049999999999</v>
      </c>
    </row>
    <row r="1722" spans="1:25" x14ac:dyDescent="0.3">
      <c r="A1722" t="s">
        <v>21</v>
      </c>
      <c r="B1722" t="s">
        <v>4845</v>
      </c>
      <c r="C1722" t="s">
        <v>270</v>
      </c>
      <c r="D1722" t="s">
        <v>4846</v>
      </c>
      <c r="E1722">
        <v>55282</v>
      </c>
      <c r="H1722" t="s">
        <v>2433</v>
      </c>
      <c r="I1722" t="s">
        <v>1343</v>
      </c>
      <c r="J1722" t="s">
        <v>297</v>
      </c>
      <c r="K1722">
        <v>2104</v>
      </c>
      <c r="L1722" t="s">
        <v>276</v>
      </c>
      <c r="M1722" t="s">
        <v>631</v>
      </c>
      <c r="N1722" t="s">
        <v>276</v>
      </c>
      <c r="P1722" t="s">
        <v>260</v>
      </c>
      <c r="Q1722" t="s">
        <v>260</v>
      </c>
      <c r="R1722" t="s">
        <v>261</v>
      </c>
      <c r="S1722" t="s">
        <v>21</v>
      </c>
      <c r="T1722">
        <v>100</v>
      </c>
      <c r="W1722" t="s">
        <v>262</v>
      </c>
      <c r="X1722">
        <v>-37.008299999999998</v>
      </c>
      <c r="Y1722">
        <v>174.87049999999999</v>
      </c>
    </row>
    <row r="1723" spans="1:25" x14ac:dyDescent="0.3">
      <c r="A1723" t="s">
        <v>21</v>
      </c>
      <c r="B1723" t="s">
        <v>4847</v>
      </c>
      <c r="C1723" t="s">
        <v>270</v>
      </c>
      <c r="D1723" t="s">
        <v>4848</v>
      </c>
      <c r="E1723">
        <v>55720</v>
      </c>
      <c r="H1723" t="s">
        <v>2433</v>
      </c>
      <c r="I1723" t="s">
        <v>1343</v>
      </c>
      <c r="J1723" t="s">
        <v>297</v>
      </c>
      <c r="K1723">
        <v>2104</v>
      </c>
      <c r="L1723" t="s">
        <v>276</v>
      </c>
      <c r="M1723" t="s">
        <v>631</v>
      </c>
      <c r="N1723" t="s">
        <v>276</v>
      </c>
      <c r="P1723" t="s">
        <v>260</v>
      </c>
      <c r="Q1723" t="s">
        <v>260</v>
      </c>
      <c r="R1723" t="s">
        <v>261</v>
      </c>
      <c r="S1723" t="s">
        <v>21</v>
      </c>
      <c r="T1723">
        <v>100</v>
      </c>
      <c r="W1723" t="s">
        <v>262</v>
      </c>
      <c r="X1723">
        <v>-37.008299999999998</v>
      </c>
      <c r="Y1723">
        <v>174.87049999999999</v>
      </c>
    </row>
    <row r="1724" spans="1:25" x14ac:dyDescent="0.3">
      <c r="A1724" t="s">
        <v>21</v>
      </c>
      <c r="B1724" t="s">
        <v>4849</v>
      </c>
      <c r="C1724" t="s">
        <v>270</v>
      </c>
      <c r="D1724" t="s">
        <v>4850</v>
      </c>
      <c r="E1724">
        <v>55726</v>
      </c>
      <c r="H1724" t="s">
        <v>2433</v>
      </c>
      <c r="I1724" t="s">
        <v>1343</v>
      </c>
      <c r="J1724" t="s">
        <v>297</v>
      </c>
      <c r="K1724">
        <v>2104</v>
      </c>
      <c r="L1724" t="s">
        <v>276</v>
      </c>
      <c r="M1724" t="s">
        <v>631</v>
      </c>
      <c r="N1724" t="s">
        <v>276</v>
      </c>
      <c r="P1724" t="s">
        <v>260</v>
      </c>
      <c r="Q1724" t="s">
        <v>260</v>
      </c>
      <c r="R1724" t="s">
        <v>261</v>
      </c>
      <c r="S1724" t="s">
        <v>21</v>
      </c>
      <c r="T1724">
        <v>100</v>
      </c>
      <c r="W1724" t="s">
        <v>262</v>
      </c>
      <c r="X1724">
        <v>-37.008299999999998</v>
      </c>
      <c r="Y1724">
        <v>174.87049999999999</v>
      </c>
    </row>
    <row r="1725" spans="1:25" x14ac:dyDescent="0.3">
      <c r="A1725" t="s">
        <v>21</v>
      </c>
      <c r="B1725" t="s">
        <v>4851</v>
      </c>
      <c r="C1725" t="s">
        <v>270</v>
      </c>
      <c r="D1725" t="s">
        <v>4852</v>
      </c>
      <c r="E1725">
        <v>54727</v>
      </c>
      <c r="H1725" t="s">
        <v>2433</v>
      </c>
      <c r="I1725" t="s">
        <v>1343</v>
      </c>
      <c r="J1725" t="s">
        <v>297</v>
      </c>
      <c r="K1725">
        <v>2104</v>
      </c>
      <c r="L1725" t="s">
        <v>276</v>
      </c>
      <c r="M1725" t="s">
        <v>631</v>
      </c>
      <c r="N1725" t="s">
        <v>276</v>
      </c>
      <c r="P1725" t="s">
        <v>260</v>
      </c>
      <c r="Q1725" t="s">
        <v>260</v>
      </c>
      <c r="R1725" t="s">
        <v>261</v>
      </c>
      <c r="S1725" t="s">
        <v>21</v>
      </c>
      <c r="T1725">
        <v>100</v>
      </c>
      <c r="W1725" t="s">
        <v>262</v>
      </c>
      <c r="X1725">
        <v>-37.008299999999998</v>
      </c>
      <c r="Y1725">
        <v>174.87049999999999</v>
      </c>
    </row>
    <row r="1726" spans="1:25" x14ac:dyDescent="0.3">
      <c r="A1726" t="s">
        <v>21</v>
      </c>
      <c r="B1726" t="s">
        <v>4853</v>
      </c>
      <c r="C1726" t="s">
        <v>270</v>
      </c>
      <c r="D1726" t="s">
        <v>4854</v>
      </c>
      <c r="E1726">
        <v>3121</v>
      </c>
      <c r="H1726" t="s">
        <v>2433</v>
      </c>
      <c r="I1726" t="s">
        <v>1343</v>
      </c>
      <c r="J1726" t="s">
        <v>297</v>
      </c>
      <c r="K1726">
        <v>2104</v>
      </c>
      <c r="L1726" t="s">
        <v>276</v>
      </c>
      <c r="M1726" t="s">
        <v>631</v>
      </c>
      <c r="N1726" t="s">
        <v>276</v>
      </c>
      <c r="P1726" t="s">
        <v>260</v>
      </c>
      <c r="Q1726" t="s">
        <v>260</v>
      </c>
      <c r="R1726" t="s">
        <v>261</v>
      </c>
      <c r="S1726" t="s">
        <v>21</v>
      </c>
      <c r="T1726">
        <v>100</v>
      </c>
      <c r="W1726" t="s">
        <v>262</v>
      </c>
      <c r="X1726">
        <v>-37.008299999999998</v>
      </c>
      <c r="Y1726">
        <v>174.87049999999999</v>
      </c>
    </row>
    <row r="1727" spans="1:25" x14ac:dyDescent="0.3">
      <c r="A1727" t="s">
        <v>21</v>
      </c>
      <c r="B1727" t="s">
        <v>4855</v>
      </c>
      <c r="C1727" t="s">
        <v>270</v>
      </c>
      <c r="D1727" t="s">
        <v>4856</v>
      </c>
      <c r="E1727">
        <v>3131</v>
      </c>
      <c r="H1727" t="s">
        <v>2433</v>
      </c>
      <c r="I1727" t="s">
        <v>1343</v>
      </c>
      <c r="J1727" t="s">
        <v>297</v>
      </c>
      <c r="K1727">
        <v>2104</v>
      </c>
      <c r="L1727" t="s">
        <v>276</v>
      </c>
      <c r="M1727" t="s">
        <v>631</v>
      </c>
      <c r="N1727" t="s">
        <v>276</v>
      </c>
      <c r="P1727" t="s">
        <v>260</v>
      </c>
      <c r="Q1727" t="s">
        <v>260</v>
      </c>
      <c r="R1727" t="s">
        <v>261</v>
      </c>
      <c r="S1727" t="s">
        <v>21</v>
      </c>
      <c r="T1727">
        <v>100</v>
      </c>
      <c r="W1727" t="s">
        <v>262</v>
      </c>
      <c r="X1727">
        <v>-37.008299999999998</v>
      </c>
      <c r="Y1727">
        <v>174.87049999999999</v>
      </c>
    </row>
    <row r="1728" spans="1:25" x14ac:dyDescent="0.3">
      <c r="A1728" t="s">
        <v>21</v>
      </c>
      <c r="B1728" t="s">
        <v>4857</v>
      </c>
      <c r="C1728" t="s">
        <v>270</v>
      </c>
      <c r="D1728" t="s">
        <v>4858</v>
      </c>
      <c r="E1728">
        <v>55707</v>
      </c>
      <c r="H1728" t="s">
        <v>2433</v>
      </c>
      <c r="I1728" t="s">
        <v>1343</v>
      </c>
      <c r="J1728" t="s">
        <v>297</v>
      </c>
      <c r="K1728">
        <v>2104</v>
      </c>
      <c r="L1728" t="s">
        <v>276</v>
      </c>
      <c r="M1728" t="s">
        <v>631</v>
      </c>
      <c r="N1728" t="s">
        <v>276</v>
      </c>
      <c r="P1728" t="s">
        <v>260</v>
      </c>
      <c r="Q1728" t="s">
        <v>260</v>
      </c>
      <c r="R1728" t="s">
        <v>261</v>
      </c>
      <c r="S1728" t="s">
        <v>21</v>
      </c>
      <c r="T1728">
        <v>100</v>
      </c>
      <c r="W1728" t="s">
        <v>262</v>
      </c>
      <c r="X1728">
        <v>-37.008299999999998</v>
      </c>
      <c r="Y1728">
        <v>174.87049999999999</v>
      </c>
    </row>
    <row r="1729" spans="1:25" x14ac:dyDescent="0.3">
      <c r="A1729" t="s">
        <v>21</v>
      </c>
      <c r="B1729" t="s">
        <v>4859</v>
      </c>
      <c r="C1729" t="s">
        <v>270</v>
      </c>
      <c r="D1729" t="s">
        <v>4860</v>
      </c>
      <c r="E1729">
        <v>54721</v>
      </c>
      <c r="M1729" t="s">
        <v>631</v>
      </c>
      <c r="N1729" t="s">
        <v>276</v>
      </c>
      <c r="P1729" t="s">
        <v>260</v>
      </c>
      <c r="Q1729" t="s">
        <v>260</v>
      </c>
      <c r="R1729" t="s">
        <v>261</v>
      </c>
      <c r="S1729" t="s">
        <v>21</v>
      </c>
      <c r="T1729">
        <v>100</v>
      </c>
      <c r="W1729" t="s">
        <v>262</v>
      </c>
    </row>
    <row r="1730" spans="1:25" x14ac:dyDescent="0.3">
      <c r="A1730" t="s">
        <v>21</v>
      </c>
      <c r="B1730" t="s">
        <v>4861</v>
      </c>
      <c r="C1730" t="s">
        <v>270</v>
      </c>
      <c r="D1730" t="s">
        <v>4862</v>
      </c>
      <c r="E1730">
        <v>54719</v>
      </c>
      <c r="H1730" t="s">
        <v>2433</v>
      </c>
      <c r="I1730" t="s">
        <v>1343</v>
      </c>
      <c r="J1730" t="s">
        <v>297</v>
      </c>
      <c r="K1730">
        <v>2104</v>
      </c>
      <c r="L1730" t="s">
        <v>276</v>
      </c>
      <c r="M1730" t="s">
        <v>631</v>
      </c>
      <c r="N1730" t="s">
        <v>276</v>
      </c>
      <c r="P1730" t="s">
        <v>260</v>
      </c>
      <c r="Q1730" t="s">
        <v>260</v>
      </c>
      <c r="R1730" t="s">
        <v>261</v>
      </c>
      <c r="S1730" t="s">
        <v>21</v>
      </c>
      <c r="T1730">
        <v>100</v>
      </c>
      <c r="W1730" t="s">
        <v>262</v>
      </c>
      <c r="X1730">
        <v>-37.008299999999998</v>
      </c>
      <c r="Y1730">
        <v>174.87049999999999</v>
      </c>
    </row>
    <row r="1731" spans="1:25" x14ac:dyDescent="0.3">
      <c r="A1731" t="s">
        <v>21</v>
      </c>
      <c r="B1731" t="s">
        <v>4863</v>
      </c>
      <c r="C1731" t="s">
        <v>270</v>
      </c>
      <c r="D1731" t="s">
        <v>4864</v>
      </c>
      <c r="E1731">
        <v>54739</v>
      </c>
      <c r="M1731" t="s">
        <v>380</v>
      </c>
      <c r="N1731" t="s">
        <v>276</v>
      </c>
      <c r="P1731" t="s">
        <v>260</v>
      </c>
      <c r="Q1731" t="s">
        <v>260</v>
      </c>
      <c r="R1731" t="s">
        <v>261</v>
      </c>
      <c r="S1731" t="s">
        <v>21</v>
      </c>
      <c r="T1731">
        <v>100</v>
      </c>
      <c r="W1731" t="s">
        <v>262</v>
      </c>
    </row>
    <row r="1732" spans="1:25" x14ac:dyDescent="0.3">
      <c r="A1732" t="s">
        <v>21</v>
      </c>
      <c r="B1732" t="s">
        <v>4865</v>
      </c>
      <c r="C1732" t="s">
        <v>270</v>
      </c>
      <c r="D1732" t="s">
        <v>4866</v>
      </c>
      <c r="E1732">
        <v>55716</v>
      </c>
      <c r="H1732" t="s">
        <v>2433</v>
      </c>
      <c r="I1732" t="s">
        <v>1343</v>
      </c>
      <c r="J1732" t="s">
        <v>297</v>
      </c>
      <c r="K1732">
        <v>2104</v>
      </c>
      <c r="L1732" t="s">
        <v>276</v>
      </c>
      <c r="M1732" t="s">
        <v>631</v>
      </c>
      <c r="N1732" t="s">
        <v>276</v>
      </c>
      <c r="P1732" t="s">
        <v>260</v>
      </c>
      <c r="Q1732" t="s">
        <v>260</v>
      </c>
      <c r="R1732" t="s">
        <v>261</v>
      </c>
      <c r="S1732" t="s">
        <v>21</v>
      </c>
      <c r="T1732">
        <v>100</v>
      </c>
      <c r="W1732" t="s">
        <v>262</v>
      </c>
      <c r="X1732">
        <v>-37.008299999999998</v>
      </c>
      <c r="Y1732">
        <v>174.87049999999999</v>
      </c>
    </row>
    <row r="1733" spans="1:25" x14ac:dyDescent="0.3">
      <c r="A1733" t="s">
        <v>21</v>
      </c>
      <c r="B1733" t="s">
        <v>4867</v>
      </c>
      <c r="C1733" t="s">
        <v>270</v>
      </c>
      <c r="D1733" t="s">
        <v>4868</v>
      </c>
      <c r="E1733">
        <v>55756</v>
      </c>
      <c r="H1733" t="s">
        <v>2433</v>
      </c>
      <c r="I1733" t="s">
        <v>1343</v>
      </c>
      <c r="J1733" t="s">
        <v>297</v>
      </c>
      <c r="K1733">
        <v>2104</v>
      </c>
      <c r="L1733" t="s">
        <v>276</v>
      </c>
      <c r="M1733" t="s">
        <v>631</v>
      </c>
      <c r="N1733" t="s">
        <v>276</v>
      </c>
      <c r="P1733" t="s">
        <v>260</v>
      </c>
      <c r="Q1733" t="s">
        <v>260</v>
      </c>
      <c r="R1733" t="s">
        <v>261</v>
      </c>
      <c r="S1733" t="s">
        <v>21</v>
      </c>
      <c r="T1733">
        <v>100</v>
      </c>
      <c r="W1733" t="s">
        <v>262</v>
      </c>
      <c r="X1733">
        <v>-37.008299999999998</v>
      </c>
      <c r="Y1733">
        <v>174.87049999999999</v>
      </c>
    </row>
    <row r="1734" spans="1:25" x14ac:dyDescent="0.3">
      <c r="A1734" t="s">
        <v>21</v>
      </c>
      <c r="B1734" t="s">
        <v>4869</v>
      </c>
      <c r="C1734" t="s">
        <v>270</v>
      </c>
      <c r="D1734" t="s">
        <v>4870</v>
      </c>
      <c r="E1734">
        <v>55754</v>
      </c>
      <c r="H1734" t="s">
        <v>2433</v>
      </c>
      <c r="I1734" t="s">
        <v>1343</v>
      </c>
      <c r="J1734" t="s">
        <v>297</v>
      </c>
      <c r="K1734">
        <v>2104</v>
      </c>
      <c r="L1734" t="s">
        <v>276</v>
      </c>
      <c r="M1734" t="s">
        <v>631</v>
      </c>
      <c r="N1734" t="s">
        <v>276</v>
      </c>
      <c r="P1734" t="s">
        <v>260</v>
      </c>
      <c r="Q1734" t="s">
        <v>260</v>
      </c>
      <c r="R1734" t="s">
        <v>261</v>
      </c>
      <c r="S1734" t="s">
        <v>21</v>
      </c>
      <c r="T1734">
        <v>100</v>
      </c>
      <c r="W1734" t="s">
        <v>262</v>
      </c>
      <c r="X1734">
        <v>-37.008299999999998</v>
      </c>
      <c r="Y1734">
        <v>174.87049999999999</v>
      </c>
    </row>
    <row r="1735" spans="1:25" x14ac:dyDescent="0.3">
      <c r="A1735" t="s">
        <v>21</v>
      </c>
      <c r="B1735" t="s">
        <v>4871</v>
      </c>
      <c r="C1735" t="s">
        <v>270</v>
      </c>
      <c r="D1735" t="s">
        <v>4872</v>
      </c>
      <c r="E1735">
        <v>54735</v>
      </c>
      <c r="M1735" t="s">
        <v>352</v>
      </c>
      <c r="N1735" t="s">
        <v>276</v>
      </c>
      <c r="P1735" t="s">
        <v>260</v>
      </c>
      <c r="Q1735" t="s">
        <v>260</v>
      </c>
      <c r="R1735" t="s">
        <v>261</v>
      </c>
      <c r="S1735" t="s">
        <v>21</v>
      </c>
      <c r="T1735">
        <v>100</v>
      </c>
      <c r="W1735" t="s">
        <v>262</v>
      </c>
    </row>
    <row r="1736" spans="1:25" x14ac:dyDescent="0.3">
      <c r="A1736" t="s">
        <v>21</v>
      </c>
      <c r="B1736" t="s">
        <v>4873</v>
      </c>
      <c r="C1736" t="s">
        <v>270</v>
      </c>
      <c r="D1736" t="s">
        <v>4874</v>
      </c>
      <c r="E1736">
        <v>55740</v>
      </c>
      <c r="H1736" t="s">
        <v>2433</v>
      </c>
      <c r="I1736" t="s">
        <v>1343</v>
      </c>
      <c r="J1736" t="s">
        <v>297</v>
      </c>
      <c r="K1736">
        <v>2104</v>
      </c>
      <c r="L1736" t="s">
        <v>276</v>
      </c>
      <c r="M1736" t="s">
        <v>631</v>
      </c>
      <c r="N1736" t="s">
        <v>276</v>
      </c>
      <c r="P1736" t="s">
        <v>260</v>
      </c>
      <c r="Q1736" t="s">
        <v>260</v>
      </c>
      <c r="R1736" t="s">
        <v>261</v>
      </c>
      <c r="S1736" t="s">
        <v>21</v>
      </c>
      <c r="T1736">
        <v>100</v>
      </c>
      <c r="W1736" t="s">
        <v>262</v>
      </c>
      <c r="X1736">
        <v>-37.008299999999998</v>
      </c>
      <c r="Y1736">
        <v>174.87049999999999</v>
      </c>
    </row>
    <row r="1737" spans="1:25" x14ac:dyDescent="0.3">
      <c r="A1737" t="s">
        <v>21</v>
      </c>
      <c r="B1737" t="s">
        <v>4875</v>
      </c>
      <c r="C1737" t="s">
        <v>270</v>
      </c>
      <c r="D1737" t="s">
        <v>4876</v>
      </c>
      <c r="E1737">
        <v>55704</v>
      </c>
      <c r="H1737" t="s">
        <v>2433</v>
      </c>
      <c r="I1737" t="s">
        <v>1343</v>
      </c>
      <c r="J1737" t="s">
        <v>297</v>
      </c>
      <c r="K1737">
        <v>2104</v>
      </c>
      <c r="L1737" t="s">
        <v>276</v>
      </c>
      <c r="M1737" t="s">
        <v>631</v>
      </c>
      <c r="N1737" t="s">
        <v>276</v>
      </c>
      <c r="P1737" t="s">
        <v>260</v>
      </c>
      <c r="Q1737" t="s">
        <v>260</v>
      </c>
      <c r="R1737" t="s">
        <v>261</v>
      </c>
      <c r="S1737" t="s">
        <v>21</v>
      </c>
      <c r="T1737">
        <v>100</v>
      </c>
      <c r="W1737" t="s">
        <v>262</v>
      </c>
      <c r="X1737">
        <v>-37.008299999999998</v>
      </c>
      <c r="Y1737">
        <v>174.87049999999999</v>
      </c>
    </row>
    <row r="1738" spans="1:25" x14ac:dyDescent="0.3">
      <c r="A1738" t="s">
        <v>21</v>
      </c>
      <c r="B1738" t="s">
        <v>4877</v>
      </c>
      <c r="C1738" t="s">
        <v>270</v>
      </c>
      <c r="D1738" t="s">
        <v>4878</v>
      </c>
      <c r="E1738">
        <v>55705</v>
      </c>
      <c r="H1738" t="s">
        <v>2433</v>
      </c>
      <c r="I1738" t="s">
        <v>1343</v>
      </c>
      <c r="J1738" t="s">
        <v>297</v>
      </c>
      <c r="K1738">
        <v>2104</v>
      </c>
      <c r="L1738" t="s">
        <v>276</v>
      </c>
      <c r="M1738" t="s">
        <v>631</v>
      </c>
      <c r="N1738" t="s">
        <v>276</v>
      </c>
      <c r="P1738" t="s">
        <v>260</v>
      </c>
      <c r="Q1738" t="s">
        <v>260</v>
      </c>
      <c r="R1738" t="s">
        <v>261</v>
      </c>
      <c r="S1738" t="s">
        <v>21</v>
      </c>
      <c r="T1738">
        <v>100</v>
      </c>
      <c r="W1738" t="s">
        <v>262</v>
      </c>
      <c r="X1738">
        <v>-37.008299999999998</v>
      </c>
      <c r="Y1738">
        <v>174.87049999999999</v>
      </c>
    </row>
    <row r="1739" spans="1:25" x14ac:dyDescent="0.3">
      <c r="A1739" t="s">
        <v>21</v>
      </c>
      <c r="B1739" t="s">
        <v>4879</v>
      </c>
      <c r="C1739" t="s">
        <v>270</v>
      </c>
      <c r="D1739" t="s">
        <v>4880</v>
      </c>
      <c r="E1739">
        <v>55736</v>
      </c>
      <c r="H1739" t="s">
        <v>2433</v>
      </c>
      <c r="I1739" t="s">
        <v>1343</v>
      </c>
      <c r="J1739" t="s">
        <v>297</v>
      </c>
      <c r="K1739">
        <v>2104</v>
      </c>
      <c r="L1739" t="s">
        <v>276</v>
      </c>
      <c r="M1739" t="s">
        <v>631</v>
      </c>
      <c r="N1739" t="s">
        <v>276</v>
      </c>
      <c r="P1739" t="s">
        <v>260</v>
      </c>
      <c r="Q1739" t="s">
        <v>260</v>
      </c>
      <c r="R1739" t="s">
        <v>261</v>
      </c>
      <c r="S1739" t="s">
        <v>21</v>
      </c>
      <c r="T1739">
        <v>100</v>
      </c>
      <c r="W1739" t="s">
        <v>262</v>
      </c>
      <c r="X1739">
        <v>-37.008299999999998</v>
      </c>
      <c r="Y1739">
        <v>174.87049999999999</v>
      </c>
    </row>
    <row r="1740" spans="1:25" x14ac:dyDescent="0.3">
      <c r="A1740" t="s">
        <v>21</v>
      </c>
      <c r="B1740" t="s">
        <v>4881</v>
      </c>
      <c r="C1740" t="s">
        <v>270</v>
      </c>
      <c r="D1740" t="s">
        <v>4882</v>
      </c>
      <c r="E1740">
        <v>55725</v>
      </c>
      <c r="H1740" t="s">
        <v>2433</v>
      </c>
      <c r="I1740" t="s">
        <v>1343</v>
      </c>
      <c r="J1740" t="s">
        <v>297</v>
      </c>
      <c r="K1740">
        <v>2104</v>
      </c>
      <c r="L1740" t="s">
        <v>276</v>
      </c>
      <c r="M1740" t="s">
        <v>631</v>
      </c>
      <c r="N1740" t="s">
        <v>276</v>
      </c>
      <c r="P1740" t="s">
        <v>260</v>
      </c>
      <c r="Q1740" t="s">
        <v>260</v>
      </c>
      <c r="R1740" t="s">
        <v>261</v>
      </c>
      <c r="S1740" t="s">
        <v>21</v>
      </c>
      <c r="T1740">
        <v>100</v>
      </c>
      <c r="W1740" t="s">
        <v>262</v>
      </c>
      <c r="X1740">
        <v>-37.008299999999998</v>
      </c>
      <c r="Y1740">
        <v>174.87049999999999</v>
      </c>
    </row>
    <row r="1741" spans="1:25" x14ac:dyDescent="0.3">
      <c r="A1741" t="s">
        <v>21</v>
      </c>
      <c r="B1741" t="s">
        <v>4883</v>
      </c>
      <c r="C1741" t="s">
        <v>270</v>
      </c>
      <c r="D1741" t="s">
        <v>4884</v>
      </c>
      <c r="E1741">
        <v>55702</v>
      </c>
      <c r="H1741" t="s">
        <v>2433</v>
      </c>
      <c r="I1741" t="s">
        <v>1343</v>
      </c>
      <c r="J1741" t="s">
        <v>297</v>
      </c>
      <c r="K1741">
        <v>2104</v>
      </c>
      <c r="L1741" t="s">
        <v>276</v>
      </c>
      <c r="M1741" t="s">
        <v>631</v>
      </c>
      <c r="N1741" t="s">
        <v>276</v>
      </c>
      <c r="P1741" t="s">
        <v>260</v>
      </c>
      <c r="Q1741" t="s">
        <v>260</v>
      </c>
      <c r="R1741" t="s">
        <v>261</v>
      </c>
      <c r="S1741" t="s">
        <v>21</v>
      </c>
      <c r="T1741">
        <v>100</v>
      </c>
      <c r="W1741" t="s">
        <v>262</v>
      </c>
      <c r="X1741">
        <v>-37.008299999999998</v>
      </c>
      <c r="Y1741">
        <v>174.87049999999999</v>
      </c>
    </row>
    <row r="1742" spans="1:25" x14ac:dyDescent="0.3">
      <c r="A1742" t="s">
        <v>21</v>
      </c>
      <c r="B1742" t="s">
        <v>4885</v>
      </c>
      <c r="C1742" t="s">
        <v>270</v>
      </c>
      <c r="D1742" t="s">
        <v>4886</v>
      </c>
      <c r="E1742">
        <v>55709</v>
      </c>
      <c r="M1742" t="s">
        <v>631</v>
      </c>
      <c r="N1742" t="s">
        <v>276</v>
      </c>
      <c r="P1742" t="s">
        <v>260</v>
      </c>
      <c r="Q1742" t="s">
        <v>260</v>
      </c>
      <c r="R1742" t="s">
        <v>261</v>
      </c>
      <c r="S1742" t="s">
        <v>21</v>
      </c>
      <c r="T1742">
        <v>100</v>
      </c>
      <c r="W1742" t="s">
        <v>262</v>
      </c>
    </row>
    <row r="1743" spans="1:25" x14ac:dyDescent="0.3">
      <c r="A1743" t="s">
        <v>21</v>
      </c>
      <c r="B1743" t="s">
        <v>4887</v>
      </c>
      <c r="C1743" t="s">
        <v>270</v>
      </c>
      <c r="D1743" t="s">
        <v>4888</v>
      </c>
      <c r="E1743">
        <v>54722</v>
      </c>
      <c r="H1743" t="s">
        <v>2433</v>
      </c>
      <c r="I1743" t="s">
        <v>1343</v>
      </c>
      <c r="J1743" t="s">
        <v>297</v>
      </c>
      <c r="K1743">
        <v>2104</v>
      </c>
      <c r="L1743" t="s">
        <v>276</v>
      </c>
      <c r="M1743" t="s">
        <v>631</v>
      </c>
      <c r="N1743" t="s">
        <v>276</v>
      </c>
      <c r="P1743" t="s">
        <v>260</v>
      </c>
      <c r="Q1743" t="s">
        <v>260</v>
      </c>
      <c r="R1743" t="s">
        <v>261</v>
      </c>
      <c r="S1743" t="s">
        <v>21</v>
      </c>
      <c r="T1743">
        <v>100</v>
      </c>
      <c r="W1743" t="s">
        <v>262</v>
      </c>
      <c r="X1743">
        <v>-37.008299999999998</v>
      </c>
      <c r="Y1743">
        <v>174.87049999999999</v>
      </c>
    </row>
    <row r="1744" spans="1:25" x14ac:dyDescent="0.3">
      <c r="A1744" t="s">
        <v>21</v>
      </c>
      <c r="B1744" t="s">
        <v>4889</v>
      </c>
      <c r="C1744" t="s">
        <v>270</v>
      </c>
      <c r="D1744" t="s">
        <v>4890</v>
      </c>
      <c r="E1744">
        <v>55759</v>
      </c>
      <c r="M1744" t="s">
        <v>631</v>
      </c>
      <c r="N1744" t="s">
        <v>276</v>
      </c>
      <c r="P1744" t="s">
        <v>260</v>
      </c>
      <c r="Q1744" t="s">
        <v>260</v>
      </c>
      <c r="R1744" t="s">
        <v>261</v>
      </c>
      <c r="S1744" t="s">
        <v>21</v>
      </c>
      <c r="T1744">
        <v>100</v>
      </c>
      <c r="W1744" t="s">
        <v>262</v>
      </c>
    </row>
    <row r="1745" spans="1:25" x14ac:dyDescent="0.3">
      <c r="A1745" t="s">
        <v>21</v>
      </c>
      <c r="B1745" t="s">
        <v>4891</v>
      </c>
      <c r="C1745" t="s">
        <v>270</v>
      </c>
      <c r="D1745" t="s">
        <v>4892</v>
      </c>
      <c r="E1745">
        <v>55753</v>
      </c>
      <c r="H1745" t="s">
        <v>2433</v>
      </c>
      <c r="I1745" t="s">
        <v>1343</v>
      </c>
      <c r="J1745" t="s">
        <v>297</v>
      </c>
      <c r="K1745">
        <v>2104</v>
      </c>
      <c r="L1745" t="s">
        <v>276</v>
      </c>
      <c r="M1745" t="s">
        <v>631</v>
      </c>
      <c r="N1745" t="s">
        <v>276</v>
      </c>
      <c r="P1745" t="s">
        <v>260</v>
      </c>
      <c r="Q1745" t="s">
        <v>260</v>
      </c>
      <c r="R1745" t="s">
        <v>261</v>
      </c>
      <c r="S1745" t="s">
        <v>21</v>
      </c>
      <c r="T1745">
        <v>100</v>
      </c>
      <c r="W1745" t="s">
        <v>262</v>
      </c>
      <c r="X1745">
        <v>-37.008299999999998</v>
      </c>
      <c r="Y1745">
        <v>174.87049999999999</v>
      </c>
    </row>
    <row r="1746" spans="1:25" x14ac:dyDescent="0.3">
      <c r="A1746" t="s">
        <v>21</v>
      </c>
      <c r="B1746" t="s">
        <v>4893</v>
      </c>
      <c r="C1746" t="s">
        <v>270</v>
      </c>
      <c r="D1746" t="s">
        <v>4894</v>
      </c>
      <c r="E1746">
        <v>55730</v>
      </c>
      <c r="H1746" t="s">
        <v>2433</v>
      </c>
      <c r="I1746" t="s">
        <v>1343</v>
      </c>
      <c r="J1746" t="s">
        <v>297</v>
      </c>
      <c r="K1746">
        <v>2104</v>
      </c>
      <c r="L1746" t="s">
        <v>276</v>
      </c>
      <c r="M1746" t="s">
        <v>631</v>
      </c>
      <c r="N1746" t="s">
        <v>276</v>
      </c>
      <c r="P1746" t="s">
        <v>260</v>
      </c>
      <c r="Q1746" t="s">
        <v>260</v>
      </c>
      <c r="R1746" t="s">
        <v>261</v>
      </c>
      <c r="S1746" t="s">
        <v>21</v>
      </c>
      <c r="T1746">
        <v>100</v>
      </c>
      <c r="W1746" t="s">
        <v>262</v>
      </c>
      <c r="X1746">
        <v>-37.008299999999998</v>
      </c>
      <c r="Y1746">
        <v>174.87049999999999</v>
      </c>
    </row>
    <row r="1747" spans="1:25" x14ac:dyDescent="0.3">
      <c r="A1747" t="s">
        <v>21</v>
      </c>
      <c r="B1747" t="s">
        <v>4895</v>
      </c>
      <c r="C1747" t="s">
        <v>270</v>
      </c>
      <c r="D1747" t="s">
        <v>2045</v>
      </c>
      <c r="E1747">
        <v>55701</v>
      </c>
      <c r="H1747" t="s">
        <v>2433</v>
      </c>
      <c r="I1747" t="s">
        <v>1343</v>
      </c>
      <c r="J1747" t="s">
        <v>297</v>
      </c>
      <c r="K1747">
        <v>2104</v>
      </c>
      <c r="L1747" t="s">
        <v>276</v>
      </c>
      <c r="M1747" t="s">
        <v>631</v>
      </c>
      <c r="N1747" t="s">
        <v>276</v>
      </c>
      <c r="P1747" t="s">
        <v>260</v>
      </c>
      <c r="Q1747" t="s">
        <v>260</v>
      </c>
      <c r="R1747" t="s">
        <v>261</v>
      </c>
      <c r="S1747" t="s">
        <v>21</v>
      </c>
      <c r="T1747">
        <v>100</v>
      </c>
      <c r="W1747" t="s">
        <v>262</v>
      </c>
      <c r="X1747">
        <v>-37.008299999999998</v>
      </c>
      <c r="Y1747">
        <v>174.87049999999999</v>
      </c>
    </row>
    <row r="1748" spans="1:25" x14ac:dyDescent="0.3">
      <c r="A1748" t="s">
        <v>21</v>
      </c>
      <c r="B1748" t="s">
        <v>4896</v>
      </c>
      <c r="C1748" t="s">
        <v>270</v>
      </c>
      <c r="D1748" t="s">
        <v>4897</v>
      </c>
      <c r="E1748">
        <v>55775</v>
      </c>
      <c r="H1748" t="s">
        <v>2433</v>
      </c>
      <c r="I1748" t="s">
        <v>1343</v>
      </c>
      <c r="J1748" t="s">
        <v>297</v>
      </c>
      <c r="K1748">
        <v>2104</v>
      </c>
      <c r="L1748" t="s">
        <v>276</v>
      </c>
      <c r="M1748" t="s">
        <v>631</v>
      </c>
      <c r="N1748" t="s">
        <v>276</v>
      </c>
      <c r="P1748" t="s">
        <v>260</v>
      </c>
      <c r="Q1748" t="s">
        <v>260</v>
      </c>
      <c r="R1748" t="s">
        <v>261</v>
      </c>
      <c r="S1748" t="s">
        <v>21</v>
      </c>
      <c r="T1748">
        <v>100</v>
      </c>
      <c r="W1748" t="s">
        <v>262</v>
      </c>
      <c r="X1748">
        <v>-37.008299999999998</v>
      </c>
      <c r="Y1748">
        <v>174.87049999999999</v>
      </c>
    </row>
    <row r="1749" spans="1:25" x14ac:dyDescent="0.3">
      <c r="A1749" t="s">
        <v>21</v>
      </c>
      <c r="B1749" t="s">
        <v>4898</v>
      </c>
      <c r="C1749" t="s">
        <v>270</v>
      </c>
      <c r="D1749" t="s">
        <v>4899</v>
      </c>
      <c r="E1749">
        <v>55735</v>
      </c>
      <c r="G1749" t="s">
        <v>4900</v>
      </c>
      <c r="M1749" t="s">
        <v>425</v>
      </c>
      <c r="N1749" t="s">
        <v>276</v>
      </c>
      <c r="P1749" t="s">
        <v>260</v>
      </c>
      <c r="Q1749" t="s">
        <v>260</v>
      </c>
      <c r="R1749" t="s">
        <v>261</v>
      </c>
      <c r="S1749" t="s">
        <v>21</v>
      </c>
      <c r="T1749">
        <v>100</v>
      </c>
      <c r="W1749" t="s">
        <v>262</v>
      </c>
    </row>
    <row r="1750" spans="1:25" x14ac:dyDescent="0.3">
      <c r="A1750" t="s">
        <v>21</v>
      </c>
      <c r="B1750" t="s">
        <v>4901</v>
      </c>
      <c r="C1750" t="s">
        <v>270</v>
      </c>
      <c r="D1750" t="s">
        <v>4902</v>
      </c>
      <c r="E1750">
        <v>55734</v>
      </c>
      <c r="H1750" t="s">
        <v>2433</v>
      </c>
      <c r="I1750" t="s">
        <v>1343</v>
      </c>
      <c r="J1750" t="s">
        <v>297</v>
      </c>
      <c r="K1750">
        <v>2104</v>
      </c>
      <c r="L1750" t="s">
        <v>276</v>
      </c>
      <c r="M1750" t="s">
        <v>631</v>
      </c>
      <c r="N1750" t="s">
        <v>276</v>
      </c>
      <c r="P1750" t="s">
        <v>260</v>
      </c>
      <c r="Q1750" t="s">
        <v>260</v>
      </c>
      <c r="R1750" t="s">
        <v>261</v>
      </c>
      <c r="S1750" t="s">
        <v>21</v>
      </c>
      <c r="T1750">
        <v>100</v>
      </c>
      <c r="W1750" t="s">
        <v>262</v>
      </c>
      <c r="X1750">
        <v>-37.008299999999998</v>
      </c>
      <c r="Y1750">
        <v>174.87049999999999</v>
      </c>
    </row>
    <row r="1751" spans="1:25" x14ac:dyDescent="0.3">
      <c r="A1751" t="s">
        <v>21</v>
      </c>
      <c r="B1751" t="s">
        <v>4903</v>
      </c>
      <c r="C1751" t="s">
        <v>270</v>
      </c>
      <c r="D1751" t="s">
        <v>4904</v>
      </c>
      <c r="E1751">
        <v>55703</v>
      </c>
      <c r="H1751" t="s">
        <v>2433</v>
      </c>
      <c r="I1751" t="s">
        <v>1343</v>
      </c>
      <c r="J1751" t="s">
        <v>297</v>
      </c>
      <c r="K1751">
        <v>2104</v>
      </c>
      <c r="L1751" t="s">
        <v>276</v>
      </c>
      <c r="M1751" t="s">
        <v>631</v>
      </c>
      <c r="N1751" t="s">
        <v>276</v>
      </c>
      <c r="P1751" t="s">
        <v>260</v>
      </c>
      <c r="Q1751" t="s">
        <v>260</v>
      </c>
      <c r="R1751" t="s">
        <v>261</v>
      </c>
      <c r="S1751" t="s">
        <v>21</v>
      </c>
      <c r="T1751">
        <v>100</v>
      </c>
      <c r="W1751" t="s">
        <v>262</v>
      </c>
      <c r="X1751">
        <v>-37.008299999999998</v>
      </c>
      <c r="Y1751">
        <v>174.87049999999999</v>
      </c>
    </row>
    <row r="1752" spans="1:25" x14ac:dyDescent="0.3">
      <c r="A1752" t="s">
        <v>21</v>
      </c>
      <c r="B1752" t="s">
        <v>4905</v>
      </c>
      <c r="C1752" t="s">
        <v>270</v>
      </c>
      <c r="D1752" t="s">
        <v>4906</v>
      </c>
      <c r="E1752">
        <v>55749</v>
      </c>
      <c r="M1752" t="s">
        <v>669</v>
      </c>
      <c r="N1752" t="s">
        <v>276</v>
      </c>
      <c r="P1752" t="s">
        <v>260</v>
      </c>
      <c r="Q1752" t="s">
        <v>260</v>
      </c>
      <c r="R1752" t="s">
        <v>261</v>
      </c>
      <c r="S1752" t="s">
        <v>21</v>
      </c>
      <c r="T1752">
        <v>100</v>
      </c>
      <c r="W1752" t="s">
        <v>262</v>
      </c>
    </row>
    <row r="1753" spans="1:25" x14ac:dyDescent="0.3">
      <c r="A1753" t="s">
        <v>21</v>
      </c>
      <c r="B1753" t="s">
        <v>4907</v>
      </c>
      <c r="C1753" t="s">
        <v>270</v>
      </c>
      <c r="D1753" t="s">
        <v>4908</v>
      </c>
      <c r="E1753">
        <v>55732</v>
      </c>
      <c r="H1753" t="s">
        <v>2433</v>
      </c>
      <c r="I1753" t="s">
        <v>1343</v>
      </c>
      <c r="J1753" t="s">
        <v>297</v>
      </c>
      <c r="K1753">
        <v>2104</v>
      </c>
      <c r="L1753" t="s">
        <v>276</v>
      </c>
      <c r="M1753" t="s">
        <v>631</v>
      </c>
      <c r="N1753" t="s">
        <v>276</v>
      </c>
      <c r="P1753" t="s">
        <v>260</v>
      </c>
      <c r="Q1753" t="s">
        <v>260</v>
      </c>
      <c r="R1753" t="s">
        <v>261</v>
      </c>
      <c r="S1753" t="s">
        <v>21</v>
      </c>
      <c r="T1753">
        <v>100</v>
      </c>
      <c r="W1753" t="s">
        <v>262</v>
      </c>
      <c r="X1753">
        <v>-37.008299999999998</v>
      </c>
      <c r="Y1753">
        <v>174.87049999999999</v>
      </c>
    </row>
    <row r="1754" spans="1:25" x14ac:dyDescent="0.3">
      <c r="A1754" t="s">
        <v>21</v>
      </c>
      <c r="B1754" t="s">
        <v>4909</v>
      </c>
      <c r="C1754" t="s">
        <v>270</v>
      </c>
      <c r="D1754" t="s">
        <v>4910</v>
      </c>
      <c r="E1754">
        <v>55799</v>
      </c>
      <c r="M1754" t="s">
        <v>631</v>
      </c>
      <c r="N1754" t="s">
        <v>276</v>
      </c>
      <c r="P1754" t="s">
        <v>260</v>
      </c>
      <c r="Q1754" t="s">
        <v>260</v>
      </c>
      <c r="R1754" t="s">
        <v>261</v>
      </c>
      <c r="S1754" t="s">
        <v>21</v>
      </c>
      <c r="T1754">
        <v>100</v>
      </c>
      <c r="W1754" t="s">
        <v>262</v>
      </c>
    </row>
    <row r="1755" spans="1:25" x14ac:dyDescent="0.3">
      <c r="A1755" t="s">
        <v>21</v>
      </c>
      <c r="B1755" t="s">
        <v>4911</v>
      </c>
      <c r="C1755" t="s">
        <v>270</v>
      </c>
      <c r="D1755" t="s">
        <v>4912</v>
      </c>
      <c r="E1755">
        <v>55742</v>
      </c>
      <c r="H1755" t="s">
        <v>2433</v>
      </c>
      <c r="I1755" t="s">
        <v>1343</v>
      </c>
      <c r="J1755" t="s">
        <v>297</v>
      </c>
      <c r="K1755">
        <v>2104</v>
      </c>
      <c r="L1755" t="s">
        <v>276</v>
      </c>
      <c r="M1755" t="s">
        <v>631</v>
      </c>
      <c r="N1755" t="s">
        <v>276</v>
      </c>
      <c r="P1755" t="s">
        <v>260</v>
      </c>
      <c r="Q1755" t="s">
        <v>260</v>
      </c>
      <c r="R1755" t="s">
        <v>261</v>
      </c>
      <c r="S1755" t="s">
        <v>21</v>
      </c>
      <c r="T1755">
        <v>100</v>
      </c>
      <c r="W1755" t="s">
        <v>262</v>
      </c>
      <c r="X1755">
        <v>-37.008299999999998</v>
      </c>
      <c r="Y1755">
        <v>174.87049999999999</v>
      </c>
    </row>
    <row r="1756" spans="1:25" x14ac:dyDescent="0.3">
      <c r="A1756" t="s">
        <v>21</v>
      </c>
      <c r="B1756" t="s">
        <v>4913</v>
      </c>
      <c r="C1756" t="s">
        <v>270</v>
      </c>
      <c r="D1756" t="s">
        <v>4914</v>
      </c>
      <c r="E1756">
        <v>55743</v>
      </c>
      <c r="H1756" t="s">
        <v>2433</v>
      </c>
      <c r="I1756" t="s">
        <v>1343</v>
      </c>
      <c r="J1756" t="s">
        <v>297</v>
      </c>
      <c r="K1756">
        <v>2104</v>
      </c>
      <c r="L1756" t="s">
        <v>276</v>
      </c>
      <c r="M1756" t="s">
        <v>631</v>
      </c>
      <c r="N1756" t="s">
        <v>276</v>
      </c>
      <c r="P1756" t="s">
        <v>260</v>
      </c>
      <c r="Q1756" t="s">
        <v>260</v>
      </c>
      <c r="R1756" t="s">
        <v>261</v>
      </c>
      <c r="S1756" t="s">
        <v>21</v>
      </c>
      <c r="T1756">
        <v>100</v>
      </c>
      <c r="W1756" t="s">
        <v>262</v>
      </c>
      <c r="X1756">
        <v>-37.008299999999998</v>
      </c>
      <c r="Y1756">
        <v>174.87049999999999</v>
      </c>
    </row>
    <row r="1757" spans="1:25" x14ac:dyDescent="0.3">
      <c r="A1757" t="s">
        <v>21</v>
      </c>
      <c r="B1757" t="s">
        <v>4915</v>
      </c>
      <c r="C1757" t="s">
        <v>270</v>
      </c>
      <c r="D1757" t="s">
        <v>4916</v>
      </c>
      <c r="E1757">
        <v>55728</v>
      </c>
      <c r="M1757" t="s">
        <v>631</v>
      </c>
      <c r="N1757" t="s">
        <v>276</v>
      </c>
      <c r="P1757" t="s">
        <v>260</v>
      </c>
      <c r="Q1757" t="s">
        <v>260</v>
      </c>
      <c r="R1757" t="s">
        <v>261</v>
      </c>
      <c r="S1757" t="s">
        <v>21</v>
      </c>
      <c r="T1757">
        <v>100</v>
      </c>
      <c r="W1757" t="s">
        <v>262</v>
      </c>
    </row>
    <row r="1758" spans="1:25" x14ac:dyDescent="0.3">
      <c r="A1758" t="s">
        <v>21</v>
      </c>
      <c r="B1758" t="s">
        <v>4917</v>
      </c>
      <c r="C1758" t="s">
        <v>270</v>
      </c>
      <c r="D1758" t="s">
        <v>4918</v>
      </c>
      <c r="E1758">
        <v>54724</v>
      </c>
      <c r="M1758" t="s">
        <v>631</v>
      </c>
      <c r="N1758" t="s">
        <v>276</v>
      </c>
      <c r="P1758" t="s">
        <v>260</v>
      </c>
      <c r="Q1758" t="s">
        <v>260</v>
      </c>
      <c r="R1758" t="s">
        <v>261</v>
      </c>
      <c r="S1758" t="s">
        <v>21</v>
      </c>
      <c r="T1758">
        <v>100</v>
      </c>
      <c r="W1758" t="s">
        <v>262</v>
      </c>
    </row>
    <row r="1759" spans="1:25" x14ac:dyDescent="0.3">
      <c r="A1759" t="s">
        <v>21</v>
      </c>
      <c r="B1759" t="s">
        <v>4919</v>
      </c>
      <c r="C1759" t="s">
        <v>270</v>
      </c>
      <c r="D1759" t="s">
        <v>4920</v>
      </c>
      <c r="E1759">
        <v>55279</v>
      </c>
      <c r="M1759" t="s">
        <v>631</v>
      </c>
      <c r="N1759" t="s">
        <v>276</v>
      </c>
      <c r="P1759" t="s">
        <v>260</v>
      </c>
      <c r="Q1759" t="s">
        <v>260</v>
      </c>
      <c r="R1759" t="s">
        <v>261</v>
      </c>
      <c r="S1759" t="s">
        <v>21</v>
      </c>
      <c r="T1759">
        <v>100</v>
      </c>
      <c r="W1759" t="s">
        <v>262</v>
      </c>
    </row>
    <row r="1760" spans="1:25" x14ac:dyDescent="0.3">
      <c r="A1760" t="s">
        <v>21</v>
      </c>
      <c r="B1760" t="s">
        <v>4921</v>
      </c>
      <c r="C1760" t="s">
        <v>270</v>
      </c>
      <c r="D1760" t="s">
        <v>4922</v>
      </c>
      <c r="E1760">
        <v>54725</v>
      </c>
      <c r="H1760" t="s">
        <v>2433</v>
      </c>
      <c r="I1760" t="s">
        <v>1343</v>
      </c>
      <c r="J1760" t="s">
        <v>297</v>
      </c>
      <c r="K1760">
        <v>2104</v>
      </c>
      <c r="L1760" t="s">
        <v>276</v>
      </c>
      <c r="M1760" t="s">
        <v>631</v>
      </c>
      <c r="N1760" t="s">
        <v>276</v>
      </c>
      <c r="P1760" t="s">
        <v>260</v>
      </c>
      <c r="Q1760" t="s">
        <v>260</v>
      </c>
      <c r="R1760" t="s">
        <v>261</v>
      </c>
      <c r="S1760" t="s">
        <v>21</v>
      </c>
      <c r="T1760">
        <v>100</v>
      </c>
      <c r="W1760" t="s">
        <v>262</v>
      </c>
      <c r="X1760">
        <v>-37.008299999999998</v>
      </c>
      <c r="Y1760">
        <v>174.87049999999999</v>
      </c>
    </row>
    <row r="1761" spans="1:23" x14ac:dyDescent="0.3">
      <c r="A1761" t="s">
        <v>21</v>
      </c>
      <c r="B1761" t="s">
        <v>4923</v>
      </c>
      <c r="C1761" t="s">
        <v>2894</v>
      </c>
      <c r="D1761" t="s">
        <v>4924</v>
      </c>
      <c r="E1761">
        <v>91406</v>
      </c>
      <c r="G1761" t="s">
        <v>4925</v>
      </c>
      <c r="H1761" t="s">
        <v>4926</v>
      </c>
      <c r="I1761" t="s">
        <v>3976</v>
      </c>
      <c r="J1761" t="s">
        <v>703</v>
      </c>
      <c r="K1761">
        <v>5012</v>
      </c>
      <c r="M1761" t="s">
        <v>703</v>
      </c>
      <c r="N1761" t="s">
        <v>276</v>
      </c>
      <c r="P1761" t="s">
        <v>260</v>
      </c>
      <c r="Q1761" t="s">
        <v>260</v>
      </c>
      <c r="R1761" t="s">
        <v>293</v>
      </c>
      <c r="S1761" t="s">
        <v>21</v>
      </c>
      <c r="T1761">
        <v>100</v>
      </c>
      <c r="W1761" t="s">
        <v>262</v>
      </c>
    </row>
    <row r="1762" spans="1:23" x14ac:dyDescent="0.3">
      <c r="A1762" t="s">
        <v>21</v>
      </c>
      <c r="B1762" t="s">
        <v>4927</v>
      </c>
      <c r="C1762" t="s">
        <v>270</v>
      </c>
      <c r="D1762" t="s">
        <v>2145</v>
      </c>
      <c r="E1762" t="s">
        <v>2145</v>
      </c>
      <c r="M1762" t="s">
        <v>394</v>
      </c>
      <c r="N1762" t="s">
        <v>276</v>
      </c>
      <c r="P1762" t="s">
        <v>260</v>
      </c>
      <c r="Q1762" t="s">
        <v>260</v>
      </c>
      <c r="R1762" t="s">
        <v>283</v>
      </c>
      <c r="S1762" t="s">
        <v>21</v>
      </c>
      <c r="T1762">
        <v>100</v>
      </c>
      <c r="W1762" t="s">
        <v>262</v>
      </c>
    </row>
    <row r="1763" spans="1:23" x14ac:dyDescent="0.3">
      <c r="A1763" t="s">
        <v>21</v>
      </c>
      <c r="B1763" t="s">
        <v>4928</v>
      </c>
      <c r="C1763" t="s">
        <v>270</v>
      </c>
      <c r="D1763" t="s">
        <v>4929</v>
      </c>
      <c r="E1763" t="s">
        <v>4929</v>
      </c>
      <c r="M1763" t="s">
        <v>394</v>
      </c>
      <c r="N1763" t="s">
        <v>276</v>
      </c>
      <c r="P1763" t="s">
        <v>260</v>
      </c>
      <c r="Q1763" t="s">
        <v>260</v>
      </c>
      <c r="R1763" t="s">
        <v>283</v>
      </c>
      <c r="S1763" t="s">
        <v>21</v>
      </c>
      <c r="T1763">
        <v>100</v>
      </c>
      <c r="W1763" t="s">
        <v>262</v>
      </c>
    </row>
    <row r="1764" spans="1:23" x14ac:dyDescent="0.3">
      <c r="A1764" t="s">
        <v>21</v>
      </c>
      <c r="B1764" t="s">
        <v>4930</v>
      </c>
      <c r="C1764" t="s">
        <v>270</v>
      </c>
      <c r="D1764" t="s">
        <v>4931</v>
      </c>
      <c r="E1764" t="s">
        <v>4931</v>
      </c>
      <c r="M1764" t="s">
        <v>394</v>
      </c>
      <c r="N1764" t="s">
        <v>276</v>
      </c>
      <c r="P1764" t="s">
        <v>260</v>
      </c>
      <c r="Q1764" t="s">
        <v>260</v>
      </c>
      <c r="R1764" t="s">
        <v>283</v>
      </c>
      <c r="S1764" t="s">
        <v>21</v>
      </c>
      <c r="T1764">
        <v>100</v>
      </c>
      <c r="W1764" t="s">
        <v>262</v>
      </c>
    </row>
    <row r="1765" spans="1:23" x14ac:dyDescent="0.3">
      <c r="A1765" t="s">
        <v>21</v>
      </c>
      <c r="B1765" t="s">
        <v>4932</v>
      </c>
      <c r="C1765" t="s">
        <v>270</v>
      </c>
      <c r="D1765" t="s">
        <v>4933</v>
      </c>
      <c r="E1765" t="s">
        <v>4933</v>
      </c>
      <c r="M1765" t="s">
        <v>394</v>
      </c>
      <c r="N1765" t="s">
        <v>276</v>
      </c>
      <c r="P1765" t="s">
        <v>260</v>
      </c>
      <c r="Q1765" t="s">
        <v>260</v>
      </c>
      <c r="R1765" t="s">
        <v>283</v>
      </c>
      <c r="S1765" t="s">
        <v>21</v>
      </c>
      <c r="T1765">
        <v>100</v>
      </c>
      <c r="W1765" t="s">
        <v>262</v>
      </c>
    </row>
    <row r="1766" spans="1:23" x14ac:dyDescent="0.3">
      <c r="A1766" t="s">
        <v>21</v>
      </c>
      <c r="B1766" t="s">
        <v>4934</v>
      </c>
      <c r="C1766" t="s">
        <v>270</v>
      </c>
      <c r="D1766" t="s">
        <v>827</v>
      </c>
      <c r="E1766" t="s">
        <v>827</v>
      </c>
      <c r="M1766" t="s">
        <v>394</v>
      </c>
      <c r="N1766" t="s">
        <v>276</v>
      </c>
      <c r="P1766" t="s">
        <v>260</v>
      </c>
      <c r="Q1766" t="s">
        <v>260</v>
      </c>
      <c r="R1766" t="s">
        <v>283</v>
      </c>
      <c r="S1766" t="s">
        <v>21</v>
      </c>
      <c r="T1766">
        <v>100</v>
      </c>
      <c r="W1766" t="s">
        <v>262</v>
      </c>
    </row>
    <row r="1767" spans="1:23" x14ac:dyDescent="0.3">
      <c r="A1767" t="s">
        <v>21</v>
      </c>
      <c r="B1767" t="s">
        <v>4935</v>
      </c>
      <c r="C1767" t="s">
        <v>270</v>
      </c>
      <c r="D1767" t="s">
        <v>4936</v>
      </c>
      <c r="E1767" t="s">
        <v>4936</v>
      </c>
      <c r="M1767" t="s">
        <v>394</v>
      </c>
      <c r="N1767" t="s">
        <v>276</v>
      </c>
      <c r="P1767" t="s">
        <v>260</v>
      </c>
      <c r="Q1767" t="s">
        <v>260</v>
      </c>
      <c r="R1767" t="s">
        <v>283</v>
      </c>
      <c r="S1767" t="s">
        <v>21</v>
      </c>
      <c r="T1767">
        <v>100</v>
      </c>
      <c r="W1767" t="s">
        <v>262</v>
      </c>
    </row>
    <row r="1768" spans="1:23" x14ac:dyDescent="0.3">
      <c r="A1768" t="s">
        <v>21</v>
      </c>
      <c r="B1768" t="s">
        <v>4937</v>
      </c>
      <c r="C1768" t="s">
        <v>270</v>
      </c>
      <c r="D1768" t="s">
        <v>4053</v>
      </c>
      <c r="E1768" t="s">
        <v>4053</v>
      </c>
      <c r="M1768" t="s">
        <v>394</v>
      </c>
      <c r="N1768" t="s">
        <v>276</v>
      </c>
      <c r="P1768" t="s">
        <v>260</v>
      </c>
      <c r="Q1768" t="s">
        <v>260</v>
      </c>
      <c r="R1768" t="s">
        <v>283</v>
      </c>
      <c r="S1768" t="s">
        <v>21</v>
      </c>
      <c r="T1768">
        <v>100</v>
      </c>
      <c r="W1768" t="s">
        <v>262</v>
      </c>
    </row>
    <row r="1769" spans="1:23" x14ac:dyDescent="0.3">
      <c r="A1769" t="s">
        <v>21</v>
      </c>
      <c r="B1769" t="s">
        <v>4938</v>
      </c>
      <c r="C1769" t="s">
        <v>270</v>
      </c>
      <c r="D1769" t="s">
        <v>4939</v>
      </c>
      <c r="E1769" t="s">
        <v>4939</v>
      </c>
      <c r="M1769" t="s">
        <v>394</v>
      </c>
      <c r="N1769" t="s">
        <v>276</v>
      </c>
      <c r="P1769" t="s">
        <v>260</v>
      </c>
      <c r="Q1769" t="s">
        <v>260</v>
      </c>
      <c r="R1769" t="s">
        <v>283</v>
      </c>
      <c r="S1769" t="s">
        <v>21</v>
      </c>
      <c r="T1769">
        <v>100</v>
      </c>
      <c r="W1769" t="s">
        <v>262</v>
      </c>
    </row>
    <row r="1770" spans="1:23" x14ac:dyDescent="0.3">
      <c r="A1770" t="s">
        <v>21</v>
      </c>
      <c r="B1770" t="s">
        <v>4940</v>
      </c>
      <c r="C1770" t="s">
        <v>270</v>
      </c>
      <c r="D1770" t="s">
        <v>2163</v>
      </c>
      <c r="E1770" t="s">
        <v>2163</v>
      </c>
      <c r="M1770" t="s">
        <v>394</v>
      </c>
      <c r="N1770" t="s">
        <v>276</v>
      </c>
      <c r="P1770" t="s">
        <v>260</v>
      </c>
      <c r="Q1770" t="s">
        <v>260</v>
      </c>
      <c r="R1770" t="s">
        <v>283</v>
      </c>
      <c r="S1770" t="s">
        <v>21</v>
      </c>
      <c r="T1770">
        <v>100</v>
      </c>
      <c r="W1770" t="s">
        <v>262</v>
      </c>
    </row>
    <row r="1771" spans="1:23" x14ac:dyDescent="0.3">
      <c r="A1771" t="s">
        <v>21</v>
      </c>
      <c r="B1771" t="s">
        <v>4941</v>
      </c>
      <c r="C1771" t="s">
        <v>270</v>
      </c>
      <c r="D1771" t="s">
        <v>4942</v>
      </c>
      <c r="E1771" t="s">
        <v>4942</v>
      </c>
      <c r="F1771" t="s">
        <v>4942</v>
      </c>
      <c r="M1771" t="s">
        <v>411</v>
      </c>
      <c r="N1771" t="s">
        <v>259</v>
      </c>
      <c r="P1771" t="s">
        <v>260</v>
      </c>
      <c r="Q1771" t="s">
        <v>260</v>
      </c>
      <c r="R1771" t="s">
        <v>283</v>
      </c>
      <c r="S1771" t="s">
        <v>21</v>
      </c>
      <c r="T1771">
        <v>100</v>
      </c>
      <c r="W1771" t="s">
        <v>262</v>
      </c>
    </row>
    <row r="1772" spans="1:23" x14ac:dyDescent="0.3">
      <c r="A1772" t="s">
        <v>21</v>
      </c>
      <c r="B1772" t="s">
        <v>4943</v>
      </c>
      <c r="C1772" t="s">
        <v>270</v>
      </c>
      <c r="D1772" t="s">
        <v>4565</v>
      </c>
      <c r="E1772" t="s">
        <v>4565</v>
      </c>
      <c r="M1772" t="s">
        <v>394</v>
      </c>
      <c r="N1772" t="s">
        <v>276</v>
      </c>
      <c r="P1772" t="s">
        <v>260</v>
      </c>
      <c r="Q1772" t="s">
        <v>260</v>
      </c>
      <c r="R1772" t="s">
        <v>283</v>
      </c>
      <c r="S1772" t="s">
        <v>21</v>
      </c>
      <c r="T1772">
        <v>100</v>
      </c>
      <c r="W1772" t="s">
        <v>262</v>
      </c>
    </row>
    <row r="1773" spans="1:23" x14ac:dyDescent="0.3">
      <c r="A1773" t="s">
        <v>21</v>
      </c>
      <c r="B1773" t="s">
        <v>4944</v>
      </c>
      <c r="C1773" t="s">
        <v>270</v>
      </c>
      <c r="D1773" t="s">
        <v>4945</v>
      </c>
      <c r="E1773" t="s">
        <v>4945</v>
      </c>
      <c r="M1773" t="s">
        <v>394</v>
      </c>
      <c r="N1773" t="s">
        <v>276</v>
      </c>
      <c r="P1773" t="s">
        <v>260</v>
      </c>
      <c r="Q1773" t="s">
        <v>260</v>
      </c>
      <c r="R1773" t="s">
        <v>283</v>
      </c>
      <c r="S1773" t="s">
        <v>21</v>
      </c>
      <c r="T1773">
        <v>100</v>
      </c>
      <c r="W1773" t="s">
        <v>262</v>
      </c>
    </row>
    <row r="1774" spans="1:23" x14ac:dyDescent="0.3">
      <c r="A1774" t="s">
        <v>21</v>
      </c>
      <c r="B1774" t="s">
        <v>4946</v>
      </c>
      <c r="C1774" t="s">
        <v>270</v>
      </c>
      <c r="D1774" t="s">
        <v>4947</v>
      </c>
      <c r="E1774" t="s">
        <v>4947</v>
      </c>
      <c r="M1774" t="s">
        <v>394</v>
      </c>
      <c r="N1774" t="s">
        <v>276</v>
      </c>
      <c r="P1774" t="s">
        <v>260</v>
      </c>
      <c r="Q1774" t="s">
        <v>260</v>
      </c>
      <c r="R1774" t="s">
        <v>283</v>
      </c>
      <c r="S1774" t="s">
        <v>21</v>
      </c>
      <c r="T1774">
        <v>100</v>
      </c>
      <c r="W1774" t="s">
        <v>262</v>
      </c>
    </row>
    <row r="1775" spans="1:23" x14ac:dyDescent="0.3">
      <c r="A1775" t="s">
        <v>21</v>
      </c>
      <c r="B1775" t="s">
        <v>4948</v>
      </c>
      <c r="C1775" t="s">
        <v>270</v>
      </c>
      <c r="D1775" t="s">
        <v>4949</v>
      </c>
      <c r="E1775" t="s">
        <v>4949</v>
      </c>
      <c r="M1775" t="s">
        <v>394</v>
      </c>
      <c r="N1775" t="s">
        <v>276</v>
      </c>
      <c r="P1775" t="s">
        <v>260</v>
      </c>
      <c r="Q1775" t="s">
        <v>260</v>
      </c>
      <c r="R1775" t="s">
        <v>283</v>
      </c>
      <c r="S1775" t="s">
        <v>21</v>
      </c>
      <c r="T1775">
        <v>100</v>
      </c>
      <c r="W1775" t="s">
        <v>262</v>
      </c>
    </row>
    <row r="1776" spans="1:23" x14ac:dyDescent="0.3">
      <c r="A1776" t="s">
        <v>21</v>
      </c>
      <c r="B1776" t="s">
        <v>4950</v>
      </c>
      <c r="C1776" t="s">
        <v>270</v>
      </c>
      <c r="D1776" t="s">
        <v>4951</v>
      </c>
      <c r="E1776" t="s">
        <v>4951</v>
      </c>
      <c r="M1776" t="s">
        <v>394</v>
      </c>
      <c r="N1776" t="s">
        <v>276</v>
      </c>
      <c r="P1776" t="s">
        <v>260</v>
      </c>
      <c r="Q1776" t="s">
        <v>260</v>
      </c>
      <c r="R1776" t="s">
        <v>283</v>
      </c>
      <c r="S1776" t="s">
        <v>21</v>
      </c>
      <c r="T1776">
        <v>100</v>
      </c>
      <c r="W1776" t="s">
        <v>262</v>
      </c>
    </row>
    <row r="1777" spans="1:26" ht="270" customHeight="1" x14ac:dyDescent="0.3">
      <c r="A1777" t="s">
        <v>21</v>
      </c>
      <c r="B1777" t="s">
        <v>4952</v>
      </c>
      <c r="C1777" t="s">
        <v>299</v>
      </c>
      <c r="D1777" t="s">
        <v>4953</v>
      </c>
      <c r="E1777">
        <v>91389</v>
      </c>
      <c r="G1777" s="10" t="s">
        <v>4954</v>
      </c>
      <c r="H1777" t="s">
        <v>4955</v>
      </c>
      <c r="I1777" t="s">
        <v>745</v>
      </c>
      <c r="J1777" t="s">
        <v>641</v>
      </c>
      <c r="K1777">
        <v>7220</v>
      </c>
      <c r="M1777" t="s">
        <v>745</v>
      </c>
      <c r="N1777" t="s">
        <v>276</v>
      </c>
      <c r="P1777" t="s">
        <v>260</v>
      </c>
      <c r="Q1777" t="s">
        <v>260</v>
      </c>
      <c r="R1777" t="s">
        <v>283</v>
      </c>
      <c r="S1777" t="s">
        <v>21</v>
      </c>
      <c r="T1777">
        <v>100</v>
      </c>
      <c r="W1777" t="s">
        <v>262</v>
      </c>
    </row>
    <row r="1778" spans="1:26" x14ac:dyDescent="0.3">
      <c r="A1778" t="s">
        <v>21</v>
      </c>
      <c r="B1778" t="s">
        <v>4956</v>
      </c>
      <c r="C1778" t="s">
        <v>270</v>
      </c>
      <c r="D1778" t="s">
        <v>743</v>
      </c>
      <c r="E1778">
        <v>55628</v>
      </c>
      <c r="H1778" t="s">
        <v>744</v>
      </c>
      <c r="I1778" t="s">
        <v>745</v>
      </c>
      <c r="J1778" t="s">
        <v>745</v>
      </c>
      <c r="K1778">
        <v>7220</v>
      </c>
      <c r="L1778" t="s">
        <v>276</v>
      </c>
      <c r="M1778" t="s">
        <v>745</v>
      </c>
      <c r="N1778" t="s">
        <v>276</v>
      </c>
      <c r="P1778" t="s">
        <v>260</v>
      </c>
      <c r="Q1778" t="s">
        <v>260</v>
      </c>
      <c r="R1778" t="s">
        <v>261</v>
      </c>
      <c r="S1778" t="s">
        <v>21</v>
      </c>
      <c r="T1778">
        <v>100</v>
      </c>
      <c r="W1778" t="s">
        <v>262</v>
      </c>
      <c r="X1778">
        <v>-41.292400000000001</v>
      </c>
      <c r="Y1778">
        <v>174.0035</v>
      </c>
    </row>
    <row r="1779" spans="1:26" x14ac:dyDescent="0.3">
      <c r="A1779" t="s">
        <v>21</v>
      </c>
      <c r="B1779" t="s">
        <v>4957</v>
      </c>
      <c r="C1779" t="s">
        <v>270</v>
      </c>
      <c r="D1779" t="s">
        <v>4958</v>
      </c>
      <c r="E1779">
        <v>8817</v>
      </c>
      <c r="F1779">
        <v>1093086</v>
      </c>
      <c r="M1779" t="s">
        <v>631</v>
      </c>
      <c r="N1779" t="s">
        <v>276</v>
      </c>
      <c r="P1779" t="s">
        <v>260</v>
      </c>
      <c r="Q1779" t="s">
        <v>260</v>
      </c>
      <c r="R1779" t="s">
        <v>261</v>
      </c>
      <c r="S1779" t="s">
        <v>21</v>
      </c>
      <c r="T1779">
        <v>100</v>
      </c>
      <c r="W1779" t="s">
        <v>262</v>
      </c>
    </row>
    <row r="1780" spans="1:26" x14ac:dyDescent="0.3">
      <c r="A1780" t="s">
        <v>21</v>
      </c>
      <c r="B1780" t="s">
        <v>4959</v>
      </c>
      <c r="C1780" t="s">
        <v>270</v>
      </c>
      <c r="D1780" t="s">
        <v>4960</v>
      </c>
      <c r="E1780" t="s">
        <v>4961</v>
      </c>
      <c r="M1780" t="s">
        <v>631</v>
      </c>
      <c r="N1780" t="s">
        <v>276</v>
      </c>
      <c r="P1780" t="s">
        <v>260</v>
      </c>
      <c r="Q1780" t="s">
        <v>260</v>
      </c>
      <c r="R1780" t="s">
        <v>261</v>
      </c>
      <c r="S1780" t="s">
        <v>21</v>
      </c>
      <c r="T1780">
        <v>100</v>
      </c>
      <c r="W1780" t="s">
        <v>262</v>
      </c>
    </row>
    <row r="1781" spans="1:26" x14ac:dyDescent="0.3">
      <c r="A1781" t="s">
        <v>21</v>
      </c>
      <c r="B1781" t="s">
        <v>4962</v>
      </c>
      <c r="C1781" t="s">
        <v>270</v>
      </c>
      <c r="D1781" t="s">
        <v>4963</v>
      </c>
      <c r="E1781" t="s">
        <v>4963</v>
      </c>
      <c r="M1781" t="s">
        <v>411</v>
      </c>
      <c r="N1781" t="s">
        <v>259</v>
      </c>
      <c r="P1781" t="s">
        <v>260</v>
      </c>
      <c r="Q1781" t="s">
        <v>260</v>
      </c>
      <c r="R1781" t="s">
        <v>283</v>
      </c>
      <c r="S1781" t="s">
        <v>21</v>
      </c>
      <c r="T1781">
        <v>100</v>
      </c>
      <c r="W1781" t="s">
        <v>262</v>
      </c>
    </row>
    <row r="1782" spans="1:26" x14ac:dyDescent="0.3">
      <c r="A1782" t="s">
        <v>21</v>
      </c>
      <c r="B1782" t="s">
        <v>4964</v>
      </c>
      <c r="C1782" t="s">
        <v>270</v>
      </c>
      <c r="D1782" t="s">
        <v>4965</v>
      </c>
      <c r="E1782" t="s">
        <v>4965</v>
      </c>
      <c r="M1782" t="s">
        <v>411</v>
      </c>
      <c r="N1782" t="s">
        <v>259</v>
      </c>
      <c r="P1782" t="s">
        <v>260</v>
      </c>
      <c r="Q1782" t="s">
        <v>260</v>
      </c>
      <c r="R1782" t="s">
        <v>283</v>
      </c>
      <c r="S1782" t="s">
        <v>21</v>
      </c>
      <c r="T1782">
        <v>100</v>
      </c>
      <c r="W1782" t="s">
        <v>262</v>
      </c>
    </row>
    <row r="1783" spans="1:26" x14ac:dyDescent="0.3">
      <c r="A1783" t="s">
        <v>21</v>
      </c>
      <c r="B1783" t="s">
        <v>4966</v>
      </c>
      <c r="C1783" t="s">
        <v>299</v>
      </c>
      <c r="D1783" t="s">
        <v>4967</v>
      </c>
      <c r="E1783">
        <v>50</v>
      </c>
      <c r="G1783" t="s">
        <v>4968</v>
      </c>
      <c r="H1783" t="s">
        <v>4969</v>
      </c>
      <c r="I1783" t="s">
        <v>1510</v>
      </c>
      <c r="J1783" t="s">
        <v>2544</v>
      </c>
      <c r="K1783">
        <v>2600</v>
      </c>
      <c r="L1783" t="s">
        <v>259</v>
      </c>
      <c r="M1783" t="s">
        <v>267</v>
      </c>
      <c r="N1783" t="s">
        <v>259</v>
      </c>
      <c r="P1783" t="s">
        <v>260</v>
      </c>
      <c r="Q1783" t="s">
        <v>260</v>
      </c>
      <c r="R1783" t="s">
        <v>283</v>
      </c>
      <c r="S1783" t="s">
        <v>21</v>
      </c>
      <c r="T1783">
        <v>100</v>
      </c>
      <c r="W1783" t="s">
        <v>262</v>
      </c>
      <c r="X1783">
        <v>-35.277895999999998</v>
      </c>
      <c r="Y1783">
        <v>149.13121699999999</v>
      </c>
      <c r="Z1783">
        <v>310</v>
      </c>
    </row>
    <row r="1784" spans="1:26" x14ac:dyDescent="0.3">
      <c r="A1784" t="s">
        <v>21</v>
      </c>
      <c r="B1784" t="s">
        <v>4970</v>
      </c>
      <c r="C1784" t="s">
        <v>270</v>
      </c>
      <c r="D1784" t="s">
        <v>4971</v>
      </c>
      <c r="E1784">
        <v>8812</v>
      </c>
      <c r="M1784" t="s">
        <v>631</v>
      </c>
      <c r="N1784" t="s">
        <v>276</v>
      </c>
      <c r="P1784" t="s">
        <v>260</v>
      </c>
      <c r="Q1784" t="s">
        <v>260</v>
      </c>
      <c r="R1784" t="s">
        <v>261</v>
      </c>
      <c r="S1784" t="s">
        <v>21</v>
      </c>
      <c r="T1784">
        <v>100</v>
      </c>
      <c r="W1784" t="s">
        <v>262</v>
      </c>
    </row>
    <row r="1785" spans="1:26" x14ac:dyDescent="0.3">
      <c r="A1785" t="s">
        <v>21</v>
      </c>
      <c r="B1785" t="s">
        <v>4972</v>
      </c>
      <c r="C1785" t="s">
        <v>270</v>
      </c>
      <c r="D1785" t="s">
        <v>4973</v>
      </c>
      <c r="E1785">
        <v>56804</v>
      </c>
      <c r="H1785" t="s">
        <v>2433</v>
      </c>
      <c r="I1785" t="s">
        <v>1343</v>
      </c>
      <c r="J1785" t="s">
        <v>297</v>
      </c>
      <c r="K1785">
        <v>2104</v>
      </c>
      <c r="L1785" t="s">
        <v>276</v>
      </c>
      <c r="M1785" t="s">
        <v>631</v>
      </c>
      <c r="N1785" t="s">
        <v>276</v>
      </c>
      <c r="P1785" t="s">
        <v>260</v>
      </c>
      <c r="Q1785" t="s">
        <v>260</v>
      </c>
      <c r="R1785" t="s">
        <v>283</v>
      </c>
      <c r="S1785" t="s">
        <v>21</v>
      </c>
      <c r="T1785">
        <v>100</v>
      </c>
      <c r="W1785" t="s">
        <v>262</v>
      </c>
      <c r="X1785">
        <v>-37.008299999999998</v>
      </c>
      <c r="Y1785">
        <v>174.87049999999999</v>
      </c>
    </row>
    <row r="1786" spans="1:26" x14ac:dyDescent="0.3">
      <c r="A1786" t="s">
        <v>21</v>
      </c>
      <c r="B1786" t="s">
        <v>4974</v>
      </c>
      <c r="C1786" t="s">
        <v>270</v>
      </c>
      <c r="D1786" t="s">
        <v>4973</v>
      </c>
      <c r="E1786">
        <v>56803</v>
      </c>
      <c r="H1786" t="s">
        <v>2433</v>
      </c>
      <c r="I1786" t="s">
        <v>1343</v>
      </c>
      <c r="J1786" t="s">
        <v>297</v>
      </c>
      <c r="K1786">
        <v>2104</v>
      </c>
      <c r="L1786" t="s">
        <v>276</v>
      </c>
      <c r="M1786" t="s">
        <v>631</v>
      </c>
      <c r="N1786" t="s">
        <v>276</v>
      </c>
      <c r="P1786" t="s">
        <v>260</v>
      </c>
      <c r="Q1786" t="s">
        <v>260</v>
      </c>
      <c r="R1786" t="s">
        <v>283</v>
      </c>
      <c r="S1786" t="s">
        <v>21</v>
      </c>
      <c r="T1786">
        <v>100</v>
      </c>
      <c r="W1786" t="s">
        <v>262</v>
      </c>
      <c r="X1786">
        <v>-37.008299999999998</v>
      </c>
      <c r="Y1786">
        <v>174.87049999999999</v>
      </c>
    </row>
    <row r="1787" spans="1:26" x14ac:dyDescent="0.3">
      <c r="A1787" t="s">
        <v>21</v>
      </c>
      <c r="B1787" t="s">
        <v>4975</v>
      </c>
      <c r="C1787" t="s">
        <v>270</v>
      </c>
      <c r="D1787" t="s">
        <v>4976</v>
      </c>
      <c r="E1787">
        <v>8010</v>
      </c>
      <c r="M1787" t="s">
        <v>631</v>
      </c>
      <c r="N1787" t="s">
        <v>276</v>
      </c>
      <c r="P1787" t="s">
        <v>260</v>
      </c>
      <c r="Q1787" t="s">
        <v>260</v>
      </c>
      <c r="R1787" t="s">
        <v>261</v>
      </c>
      <c r="S1787" t="s">
        <v>21</v>
      </c>
      <c r="T1787">
        <v>100</v>
      </c>
      <c r="W1787" t="s">
        <v>262</v>
      </c>
    </row>
    <row r="1788" spans="1:26" x14ac:dyDescent="0.3">
      <c r="A1788" t="s">
        <v>21</v>
      </c>
      <c r="B1788" t="s">
        <v>4977</v>
      </c>
      <c r="C1788" t="s">
        <v>270</v>
      </c>
      <c r="D1788" t="s">
        <v>1908</v>
      </c>
      <c r="E1788">
        <v>56819</v>
      </c>
      <c r="H1788" t="s">
        <v>2433</v>
      </c>
      <c r="I1788" t="s">
        <v>1343</v>
      </c>
      <c r="J1788" t="s">
        <v>297</v>
      </c>
      <c r="K1788">
        <v>2104</v>
      </c>
      <c r="L1788" t="s">
        <v>276</v>
      </c>
      <c r="M1788" t="s">
        <v>631</v>
      </c>
      <c r="N1788" t="s">
        <v>276</v>
      </c>
      <c r="P1788" t="s">
        <v>260</v>
      </c>
      <c r="Q1788" t="s">
        <v>260</v>
      </c>
      <c r="R1788" t="s">
        <v>283</v>
      </c>
      <c r="S1788" t="s">
        <v>21</v>
      </c>
      <c r="T1788">
        <v>100</v>
      </c>
      <c r="W1788" t="s">
        <v>262</v>
      </c>
      <c r="X1788">
        <v>-37.008299999999998</v>
      </c>
      <c r="Y1788">
        <v>174.87049999999999</v>
      </c>
    </row>
    <row r="1789" spans="1:26" x14ac:dyDescent="0.3">
      <c r="A1789" t="s">
        <v>21</v>
      </c>
      <c r="B1789" t="s">
        <v>4978</v>
      </c>
      <c r="C1789" t="s">
        <v>270</v>
      </c>
      <c r="D1789" t="s">
        <v>2732</v>
      </c>
      <c r="E1789">
        <v>56820</v>
      </c>
      <c r="H1789" t="s">
        <v>2433</v>
      </c>
      <c r="I1789" t="s">
        <v>1343</v>
      </c>
      <c r="J1789" t="s">
        <v>297</v>
      </c>
      <c r="K1789">
        <v>2104</v>
      </c>
      <c r="L1789" t="s">
        <v>276</v>
      </c>
      <c r="M1789" t="s">
        <v>631</v>
      </c>
      <c r="N1789" t="s">
        <v>276</v>
      </c>
      <c r="P1789" t="s">
        <v>260</v>
      </c>
      <c r="Q1789" t="s">
        <v>260</v>
      </c>
      <c r="R1789" t="s">
        <v>283</v>
      </c>
      <c r="S1789" t="s">
        <v>21</v>
      </c>
      <c r="T1789">
        <v>100</v>
      </c>
      <c r="W1789" t="s">
        <v>262</v>
      </c>
      <c r="X1789">
        <v>-37.008299999999998</v>
      </c>
      <c r="Y1789">
        <v>174.87049999999999</v>
      </c>
    </row>
    <row r="1790" spans="1:26" x14ac:dyDescent="0.3">
      <c r="A1790" t="s">
        <v>21</v>
      </c>
      <c r="B1790" t="s">
        <v>4979</v>
      </c>
      <c r="C1790" t="s">
        <v>270</v>
      </c>
      <c r="D1790" t="s">
        <v>4980</v>
      </c>
      <c r="E1790">
        <v>56847</v>
      </c>
      <c r="H1790" t="s">
        <v>2433</v>
      </c>
      <c r="I1790" t="s">
        <v>1343</v>
      </c>
      <c r="J1790" t="s">
        <v>297</v>
      </c>
      <c r="K1790">
        <v>2104</v>
      </c>
      <c r="L1790" t="s">
        <v>276</v>
      </c>
      <c r="M1790" t="s">
        <v>631</v>
      </c>
      <c r="N1790" t="s">
        <v>276</v>
      </c>
      <c r="P1790" t="s">
        <v>260</v>
      </c>
      <c r="Q1790" t="s">
        <v>260</v>
      </c>
      <c r="R1790" t="s">
        <v>283</v>
      </c>
      <c r="S1790" t="s">
        <v>21</v>
      </c>
      <c r="T1790">
        <v>100</v>
      </c>
      <c r="W1790" t="s">
        <v>262</v>
      </c>
      <c r="X1790">
        <v>-37.008299999999998</v>
      </c>
      <c r="Y1790">
        <v>174.87049999999999</v>
      </c>
    </row>
    <row r="1791" spans="1:26" x14ac:dyDescent="0.3">
      <c r="A1791" t="s">
        <v>21</v>
      </c>
      <c r="B1791" t="s">
        <v>4981</v>
      </c>
      <c r="C1791" t="s">
        <v>270</v>
      </c>
      <c r="D1791" t="s">
        <v>2997</v>
      </c>
      <c r="E1791">
        <v>56846</v>
      </c>
      <c r="H1791" t="s">
        <v>2433</v>
      </c>
      <c r="I1791" t="s">
        <v>1343</v>
      </c>
      <c r="J1791" t="s">
        <v>297</v>
      </c>
      <c r="K1791">
        <v>2104</v>
      </c>
      <c r="L1791" t="s">
        <v>276</v>
      </c>
      <c r="M1791" t="s">
        <v>631</v>
      </c>
      <c r="N1791" t="s">
        <v>276</v>
      </c>
      <c r="P1791" t="s">
        <v>260</v>
      </c>
      <c r="Q1791" t="s">
        <v>260</v>
      </c>
      <c r="R1791" t="s">
        <v>283</v>
      </c>
      <c r="S1791" t="s">
        <v>21</v>
      </c>
      <c r="T1791">
        <v>100</v>
      </c>
      <c r="W1791" t="s">
        <v>262</v>
      </c>
      <c r="X1791">
        <v>-37.008299999999998</v>
      </c>
      <c r="Y1791">
        <v>174.87049999999999</v>
      </c>
    </row>
    <row r="1792" spans="1:26" x14ac:dyDescent="0.3">
      <c r="A1792" t="s">
        <v>21</v>
      </c>
      <c r="B1792" t="s">
        <v>4982</v>
      </c>
      <c r="C1792" t="s">
        <v>270</v>
      </c>
      <c r="D1792" t="s">
        <v>4983</v>
      </c>
      <c r="E1792" t="s">
        <v>4983</v>
      </c>
      <c r="M1792" t="s">
        <v>394</v>
      </c>
      <c r="N1792" t="s">
        <v>276</v>
      </c>
      <c r="P1792" t="s">
        <v>260</v>
      </c>
      <c r="Q1792" t="s">
        <v>260</v>
      </c>
      <c r="R1792" t="s">
        <v>283</v>
      </c>
      <c r="S1792" t="s">
        <v>21</v>
      </c>
      <c r="T1792">
        <v>100</v>
      </c>
      <c r="W1792" t="s">
        <v>262</v>
      </c>
    </row>
    <row r="1793" spans="1:25" x14ac:dyDescent="0.3">
      <c r="A1793" t="s">
        <v>21</v>
      </c>
      <c r="B1793" t="s">
        <v>4984</v>
      </c>
      <c r="C1793" t="s">
        <v>270</v>
      </c>
      <c r="D1793" t="s">
        <v>4985</v>
      </c>
      <c r="E1793">
        <v>54845</v>
      </c>
      <c r="G1793" t="s">
        <v>4986</v>
      </c>
      <c r="M1793" t="s">
        <v>297</v>
      </c>
      <c r="N1793" t="s">
        <v>276</v>
      </c>
      <c r="P1793" t="s">
        <v>260</v>
      </c>
      <c r="Q1793" t="s">
        <v>260</v>
      </c>
      <c r="R1793" t="s">
        <v>261</v>
      </c>
      <c r="S1793" t="s">
        <v>21</v>
      </c>
      <c r="T1793">
        <v>100</v>
      </c>
      <c r="W1793" t="s">
        <v>262</v>
      </c>
    </row>
    <row r="1794" spans="1:25" x14ac:dyDescent="0.3">
      <c r="A1794" t="s">
        <v>21</v>
      </c>
      <c r="B1794" t="s">
        <v>4987</v>
      </c>
      <c r="C1794" t="s">
        <v>270</v>
      </c>
      <c r="D1794" t="s">
        <v>4988</v>
      </c>
      <c r="E1794">
        <v>56851</v>
      </c>
      <c r="M1794" t="s">
        <v>631</v>
      </c>
      <c r="N1794" t="s">
        <v>276</v>
      </c>
      <c r="P1794" t="s">
        <v>260</v>
      </c>
      <c r="Q1794" t="s">
        <v>260</v>
      </c>
      <c r="R1794" t="s">
        <v>283</v>
      </c>
      <c r="S1794" t="s">
        <v>21</v>
      </c>
      <c r="T1794">
        <v>100</v>
      </c>
      <c r="W1794" t="s">
        <v>262</v>
      </c>
    </row>
    <row r="1795" spans="1:25" x14ac:dyDescent="0.3">
      <c r="A1795" t="s">
        <v>21</v>
      </c>
      <c r="B1795" t="s">
        <v>4989</v>
      </c>
      <c r="C1795" t="s">
        <v>270</v>
      </c>
      <c r="D1795" t="s">
        <v>3790</v>
      </c>
      <c r="E1795">
        <v>56818</v>
      </c>
      <c r="H1795" t="s">
        <v>2433</v>
      </c>
      <c r="I1795" t="s">
        <v>1343</v>
      </c>
      <c r="J1795" t="s">
        <v>297</v>
      </c>
      <c r="K1795">
        <v>2104</v>
      </c>
      <c r="L1795" t="s">
        <v>276</v>
      </c>
      <c r="M1795" t="s">
        <v>631</v>
      </c>
      <c r="N1795" t="s">
        <v>276</v>
      </c>
      <c r="P1795" t="s">
        <v>260</v>
      </c>
      <c r="Q1795" t="s">
        <v>260</v>
      </c>
      <c r="R1795" t="s">
        <v>283</v>
      </c>
      <c r="S1795" t="s">
        <v>21</v>
      </c>
      <c r="T1795">
        <v>100</v>
      </c>
      <c r="W1795" t="s">
        <v>262</v>
      </c>
      <c r="X1795">
        <v>-37.008299999999998</v>
      </c>
      <c r="Y1795">
        <v>174.87049999999999</v>
      </c>
    </row>
    <row r="1796" spans="1:25" x14ac:dyDescent="0.3">
      <c r="A1796" t="s">
        <v>21</v>
      </c>
      <c r="B1796" t="s">
        <v>4990</v>
      </c>
      <c r="C1796" t="s">
        <v>270</v>
      </c>
      <c r="D1796" t="s">
        <v>4991</v>
      </c>
      <c r="E1796">
        <v>56802</v>
      </c>
      <c r="H1796" t="s">
        <v>2433</v>
      </c>
      <c r="I1796" t="s">
        <v>1343</v>
      </c>
      <c r="J1796" t="s">
        <v>297</v>
      </c>
      <c r="K1796">
        <v>2104</v>
      </c>
      <c r="L1796" t="s">
        <v>276</v>
      </c>
      <c r="M1796" t="s">
        <v>631</v>
      </c>
      <c r="N1796" t="s">
        <v>276</v>
      </c>
      <c r="P1796" t="s">
        <v>260</v>
      </c>
      <c r="Q1796" t="s">
        <v>260</v>
      </c>
      <c r="R1796" t="s">
        <v>283</v>
      </c>
      <c r="S1796" t="s">
        <v>21</v>
      </c>
      <c r="T1796">
        <v>100</v>
      </c>
      <c r="W1796" t="s">
        <v>262</v>
      </c>
      <c r="X1796">
        <v>-37.008299999999998</v>
      </c>
      <c r="Y1796">
        <v>174.87049999999999</v>
      </c>
    </row>
    <row r="1797" spans="1:25" x14ac:dyDescent="0.3">
      <c r="A1797" t="s">
        <v>21</v>
      </c>
      <c r="B1797" t="s">
        <v>4992</v>
      </c>
      <c r="C1797" t="s">
        <v>270</v>
      </c>
      <c r="D1797" t="s">
        <v>4993</v>
      </c>
      <c r="E1797">
        <v>54886</v>
      </c>
      <c r="G1797" t="s">
        <v>4986</v>
      </c>
      <c r="M1797" t="s">
        <v>353</v>
      </c>
      <c r="N1797" t="s">
        <v>276</v>
      </c>
      <c r="P1797" t="s">
        <v>260</v>
      </c>
      <c r="Q1797" t="s">
        <v>260</v>
      </c>
      <c r="R1797" t="s">
        <v>261</v>
      </c>
      <c r="S1797" t="s">
        <v>21</v>
      </c>
      <c r="T1797">
        <v>100</v>
      </c>
      <c r="W1797" t="s">
        <v>262</v>
      </c>
    </row>
    <row r="1798" spans="1:25" x14ac:dyDescent="0.3">
      <c r="A1798" t="s">
        <v>21</v>
      </c>
      <c r="B1798" t="s">
        <v>4994</v>
      </c>
      <c r="C1798" t="s">
        <v>270</v>
      </c>
      <c r="D1798" t="s">
        <v>4995</v>
      </c>
      <c r="E1798">
        <v>56808</v>
      </c>
      <c r="H1798" t="s">
        <v>2433</v>
      </c>
      <c r="I1798" t="s">
        <v>1343</v>
      </c>
      <c r="J1798" t="s">
        <v>297</v>
      </c>
      <c r="K1798">
        <v>2104</v>
      </c>
      <c r="L1798" t="s">
        <v>276</v>
      </c>
      <c r="M1798" t="s">
        <v>631</v>
      </c>
      <c r="N1798" t="s">
        <v>276</v>
      </c>
      <c r="P1798" t="s">
        <v>260</v>
      </c>
      <c r="Q1798" t="s">
        <v>260</v>
      </c>
      <c r="R1798" t="s">
        <v>283</v>
      </c>
      <c r="S1798" t="s">
        <v>21</v>
      </c>
      <c r="T1798">
        <v>100</v>
      </c>
      <c r="W1798" t="s">
        <v>262</v>
      </c>
      <c r="X1798">
        <v>-37.008299999999998</v>
      </c>
      <c r="Y1798">
        <v>174.87049999999999</v>
      </c>
    </row>
    <row r="1799" spans="1:25" ht="195" customHeight="1" x14ac:dyDescent="0.3">
      <c r="A1799" t="s">
        <v>21</v>
      </c>
      <c r="B1799" t="s">
        <v>4996</v>
      </c>
      <c r="C1799" t="s">
        <v>270</v>
      </c>
      <c r="D1799" t="s">
        <v>4997</v>
      </c>
      <c r="E1799">
        <v>54848</v>
      </c>
      <c r="G1799" s="10" t="s">
        <v>4998</v>
      </c>
      <c r="M1799" t="s">
        <v>297</v>
      </c>
      <c r="N1799" t="s">
        <v>276</v>
      </c>
      <c r="P1799" t="s">
        <v>260</v>
      </c>
      <c r="Q1799" t="s">
        <v>260</v>
      </c>
      <c r="R1799" t="s">
        <v>261</v>
      </c>
      <c r="S1799" t="s">
        <v>21</v>
      </c>
      <c r="T1799">
        <v>100</v>
      </c>
      <c r="W1799" t="s">
        <v>262</v>
      </c>
    </row>
    <row r="1800" spans="1:25" x14ac:dyDescent="0.3">
      <c r="A1800" t="s">
        <v>21</v>
      </c>
      <c r="B1800" t="s">
        <v>4999</v>
      </c>
      <c r="C1800" t="s">
        <v>270</v>
      </c>
      <c r="D1800" t="s">
        <v>5000</v>
      </c>
      <c r="E1800">
        <v>54844</v>
      </c>
      <c r="G1800" t="s">
        <v>4986</v>
      </c>
      <c r="M1800" t="s">
        <v>297</v>
      </c>
      <c r="N1800" t="s">
        <v>276</v>
      </c>
      <c r="P1800" t="s">
        <v>260</v>
      </c>
      <c r="Q1800" t="s">
        <v>260</v>
      </c>
      <c r="R1800" t="s">
        <v>261</v>
      </c>
      <c r="S1800" t="s">
        <v>21</v>
      </c>
      <c r="T1800">
        <v>100</v>
      </c>
      <c r="W1800" t="s">
        <v>262</v>
      </c>
    </row>
    <row r="1801" spans="1:25" x14ac:dyDescent="0.3">
      <c r="A1801" t="s">
        <v>21</v>
      </c>
      <c r="B1801" t="s">
        <v>5001</v>
      </c>
      <c r="C1801" t="s">
        <v>270</v>
      </c>
      <c r="D1801" t="s">
        <v>5002</v>
      </c>
      <c r="E1801">
        <v>56812</v>
      </c>
      <c r="H1801" t="s">
        <v>2433</v>
      </c>
      <c r="I1801" t="s">
        <v>1343</v>
      </c>
      <c r="J1801" t="s">
        <v>297</v>
      </c>
      <c r="K1801">
        <v>2104</v>
      </c>
      <c r="L1801" t="s">
        <v>276</v>
      </c>
      <c r="M1801" t="s">
        <v>631</v>
      </c>
      <c r="N1801" t="s">
        <v>276</v>
      </c>
      <c r="P1801" t="s">
        <v>260</v>
      </c>
      <c r="Q1801" t="s">
        <v>260</v>
      </c>
      <c r="R1801" t="s">
        <v>283</v>
      </c>
      <c r="S1801" t="s">
        <v>21</v>
      </c>
      <c r="T1801">
        <v>100</v>
      </c>
      <c r="W1801" t="s">
        <v>262</v>
      </c>
      <c r="X1801">
        <v>-37.008299999999998</v>
      </c>
      <c r="Y1801">
        <v>174.87049999999999</v>
      </c>
    </row>
    <row r="1802" spans="1:25" x14ac:dyDescent="0.3">
      <c r="A1802" t="s">
        <v>21</v>
      </c>
      <c r="B1802" t="s">
        <v>5003</v>
      </c>
      <c r="C1802" t="s">
        <v>270</v>
      </c>
      <c r="D1802" t="s">
        <v>5002</v>
      </c>
      <c r="E1802" t="s">
        <v>5002</v>
      </c>
      <c r="F1802" t="s">
        <v>5002</v>
      </c>
      <c r="M1802" t="s">
        <v>297</v>
      </c>
      <c r="N1802" t="s">
        <v>276</v>
      </c>
      <c r="P1802" t="s">
        <v>260</v>
      </c>
      <c r="Q1802" t="s">
        <v>260</v>
      </c>
      <c r="R1802" t="s">
        <v>283</v>
      </c>
      <c r="S1802" t="s">
        <v>21</v>
      </c>
      <c r="T1802">
        <v>100</v>
      </c>
      <c r="W1802" t="s">
        <v>262</v>
      </c>
    </row>
    <row r="1803" spans="1:25" x14ac:dyDescent="0.3">
      <c r="A1803" t="s">
        <v>21</v>
      </c>
      <c r="B1803" t="s">
        <v>5004</v>
      </c>
      <c r="C1803" t="s">
        <v>270</v>
      </c>
      <c r="D1803" t="s">
        <v>5005</v>
      </c>
      <c r="E1803">
        <v>56811</v>
      </c>
      <c r="H1803" t="s">
        <v>2433</v>
      </c>
      <c r="I1803" t="s">
        <v>1343</v>
      </c>
      <c r="J1803" t="s">
        <v>297</v>
      </c>
      <c r="K1803">
        <v>2104</v>
      </c>
      <c r="L1803" t="s">
        <v>276</v>
      </c>
      <c r="M1803" t="s">
        <v>631</v>
      </c>
      <c r="N1803" t="s">
        <v>276</v>
      </c>
      <c r="P1803" t="s">
        <v>260</v>
      </c>
      <c r="Q1803" t="s">
        <v>260</v>
      </c>
      <c r="R1803" t="s">
        <v>283</v>
      </c>
      <c r="S1803" t="s">
        <v>21</v>
      </c>
      <c r="T1803">
        <v>100</v>
      </c>
      <c r="W1803" t="s">
        <v>262</v>
      </c>
      <c r="X1803">
        <v>-37.008299999999998</v>
      </c>
      <c r="Y1803">
        <v>174.87049999999999</v>
      </c>
    </row>
    <row r="1804" spans="1:25" x14ac:dyDescent="0.3">
      <c r="A1804" t="s">
        <v>21</v>
      </c>
      <c r="B1804" t="s">
        <v>5006</v>
      </c>
      <c r="C1804" t="s">
        <v>270</v>
      </c>
      <c r="D1804" t="s">
        <v>5007</v>
      </c>
      <c r="E1804">
        <v>56839</v>
      </c>
      <c r="H1804" t="s">
        <v>2433</v>
      </c>
      <c r="I1804" t="s">
        <v>1343</v>
      </c>
      <c r="J1804" t="s">
        <v>297</v>
      </c>
      <c r="K1804">
        <v>2104</v>
      </c>
      <c r="L1804" t="s">
        <v>276</v>
      </c>
      <c r="M1804" t="s">
        <v>631</v>
      </c>
      <c r="N1804" t="s">
        <v>276</v>
      </c>
      <c r="P1804" t="s">
        <v>260</v>
      </c>
      <c r="Q1804" t="s">
        <v>260</v>
      </c>
      <c r="R1804" t="s">
        <v>283</v>
      </c>
      <c r="S1804" t="s">
        <v>21</v>
      </c>
      <c r="T1804">
        <v>100</v>
      </c>
      <c r="W1804" t="s">
        <v>262</v>
      </c>
      <c r="X1804">
        <v>-37.008299999999998</v>
      </c>
      <c r="Y1804">
        <v>174.87049999999999</v>
      </c>
    </row>
    <row r="1805" spans="1:25" x14ac:dyDescent="0.3">
      <c r="A1805" t="s">
        <v>21</v>
      </c>
      <c r="B1805" t="s">
        <v>5008</v>
      </c>
      <c r="C1805" t="s">
        <v>270</v>
      </c>
      <c r="D1805" t="s">
        <v>5009</v>
      </c>
      <c r="E1805">
        <v>56810</v>
      </c>
      <c r="H1805" t="s">
        <v>2433</v>
      </c>
      <c r="I1805" t="s">
        <v>1343</v>
      </c>
      <c r="J1805" t="s">
        <v>297</v>
      </c>
      <c r="K1805">
        <v>2104</v>
      </c>
      <c r="L1805" t="s">
        <v>276</v>
      </c>
      <c r="M1805" t="s">
        <v>631</v>
      </c>
      <c r="N1805" t="s">
        <v>276</v>
      </c>
      <c r="P1805" t="s">
        <v>260</v>
      </c>
      <c r="Q1805" t="s">
        <v>260</v>
      </c>
      <c r="R1805" t="s">
        <v>283</v>
      </c>
      <c r="S1805" t="s">
        <v>21</v>
      </c>
      <c r="T1805">
        <v>100</v>
      </c>
      <c r="W1805" t="s">
        <v>262</v>
      </c>
      <c r="X1805">
        <v>-37.008299999999998</v>
      </c>
      <c r="Y1805">
        <v>174.87049999999999</v>
      </c>
    </row>
    <row r="1806" spans="1:25" x14ac:dyDescent="0.3">
      <c r="A1806" t="s">
        <v>21</v>
      </c>
      <c r="B1806" t="s">
        <v>5010</v>
      </c>
      <c r="C1806" t="s">
        <v>270</v>
      </c>
      <c r="D1806" t="s">
        <v>4685</v>
      </c>
      <c r="E1806">
        <v>56814</v>
      </c>
      <c r="H1806" t="s">
        <v>2433</v>
      </c>
      <c r="I1806" t="s">
        <v>1343</v>
      </c>
      <c r="J1806" t="s">
        <v>297</v>
      </c>
      <c r="K1806">
        <v>2104</v>
      </c>
      <c r="L1806" t="s">
        <v>276</v>
      </c>
      <c r="M1806" t="s">
        <v>631</v>
      </c>
      <c r="N1806" t="s">
        <v>276</v>
      </c>
      <c r="P1806" t="s">
        <v>260</v>
      </c>
      <c r="Q1806" t="s">
        <v>260</v>
      </c>
      <c r="R1806" t="s">
        <v>283</v>
      </c>
      <c r="S1806" t="s">
        <v>21</v>
      </c>
      <c r="T1806">
        <v>100</v>
      </c>
      <c r="W1806" t="s">
        <v>262</v>
      </c>
      <c r="X1806">
        <v>-37.008299999999998</v>
      </c>
      <c r="Y1806">
        <v>174.87049999999999</v>
      </c>
    </row>
    <row r="1807" spans="1:25" x14ac:dyDescent="0.3">
      <c r="A1807" t="s">
        <v>21</v>
      </c>
      <c r="B1807" t="s">
        <v>5011</v>
      </c>
      <c r="C1807" t="s">
        <v>270</v>
      </c>
      <c r="D1807" t="s">
        <v>5012</v>
      </c>
      <c r="E1807">
        <v>56807</v>
      </c>
      <c r="H1807" t="s">
        <v>2433</v>
      </c>
      <c r="I1807" t="s">
        <v>1343</v>
      </c>
      <c r="J1807" t="s">
        <v>297</v>
      </c>
      <c r="K1807">
        <v>2104</v>
      </c>
      <c r="L1807" t="s">
        <v>276</v>
      </c>
      <c r="M1807" t="s">
        <v>631</v>
      </c>
      <c r="N1807" t="s">
        <v>276</v>
      </c>
      <c r="P1807" t="s">
        <v>260</v>
      </c>
      <c r="Q1807" t="s">
        <v>260</v>
      </c>
      <c r="R1807" t="s">
        <v>283</v>
      </c>
      <c r="S1807" t="s">
        <v>21</v>
      </c>
      <c r="T1807">
        <v>100</v>
      </c>
      <c r="W1807" t="s">
        <v>262</v>
      </c>
      <c r="X1807">
        <v>-37.008299999999998</v>
      </c>
      <c r="Y1807">
        <v>174.87049999999999</v>
      </c>
    </row>
    <row r="1808" spans="1:25" x14ac:dyDescent="0.3">
      <c r="A1808" t="s">
        <v>21</v>
      </c>
      <c r="B1808" t="s">
        <v>5013</v>
      </c>
      <c r="C1808" t="s">
        <v>270</v>
      </c>
      <c r="D1808" t="s">
        <v>5014</v>
      </c>
      <c r="E1808">
        <v>56849</v>
      </c>
      <c r="H1808" t="s">
        <v>2433</v>
      </c>
      <c r="I1808" t="s">
        <v>1343</v>
      </c>
      <c r="J1808" t="s">
        <v>297</v>
      </c>
      <c r="K1808">
        <v>2104</v>
      </c>
      <c r="L1808" t="s">
        <v>276</v>
      </c>
      <c r="M1808" t="s">
        <v>631</v>
      </c>
      <c r="N1808" t="s">
        <v>276</v>
      </c>
      <c r="P1808" t="s">
        <v>260</v>
      </c>
      <c r="Q1808" t="s">
        <v>260</v>
      </c>
      <c r="R1808" t="s">
        <v>283</v>
      </c>
      <c r="S1808" t="s">
        <v>21</v>
      </c>
      <c r="T1808">
        <v>100</v>
      </c>
      <c r="W1808" t="s">
        <v>262</v>
      </c>
      <c r="X1808">
        <v>-37.008299999999998</v>
      </c>
      <c r="Y1808">
        <v>174.87049999999999</v>
      </c>
    </row>
    <row r="1809" spans="1:25" x14ac:dyDescent="0.3">
      <c r="A1809" t="s">
        <v>21</v>
      </c>
      <c r="B1809" t="s">
        <v>5015</v>
      </c>
      <c r="C1809" t="s">
        <v>270</v>
      </c>
      <c r="D1809" t="s">
        <v>2175</v>
      </c>
      <c r="E1809">
        <v>56805</v>
      </c>
      <c r="H1809" t="s">
        <v>2433</v>
      </c>
      <c r="I1809" t="s">
        <v>1343</v>
      </c>
      <c r="J1809" t="s">
        <v>297</v>
      </c>
      <c r="K1809">
        <v>2104</v>
      </c>
      <c r="L1809" t="s">
        <v>276</v>
      </c>
      <c r="M1809" t="s">
        <v>631</v>
      </c>
      <c r="N1809" t="s">
        <v>276</v>
      </c>
      <c r="P1809" t="s">
        <v>260</v>
      </c>
      <c r="Q1809" t="s">
        <v>260</v>
      </c>
      <c r="R1809" t="s">
        <v>283</v>
      </c>
      <c r="S1809" t="s">
        <v>21</v>
      </c>
      <c r="T1809">
        <v>100</v>
      </c>
      <c r="W1809" t="s">
        <v>262</v>
      </c>
      <c r="X1809">
        <v>-37.008299999999998</v>
      </c>
      <c r="Y1809">
        <v>174.87049999999999</v>
      </c>
    </row>
    <row r="1810" spans="1:25" x14ac:dyDescent="0.3">
      <c r="A1810" t="s">
        <v>21</v>
      </c>
      <c r="B1810" t="s">
        <v>5016</v>
      </c>
      <c r="C1810" t="s">
        <v>270</v>
      </c>
      <c r="D1810" t="s">
        <v>5017</v>
      </c>
      <c r="E1810">
        <v>56801</v>
      </c>
      <c r="H1810" t="s">
        <v>2433</v>
      </c>
      <c r="I1810" t="s">
        <v>1343</v>
      </c>
      <c r="J1810" t="s">
        <v>297</v>
      </c>
      <c r="K1810">
        <v>2104</v>
      </c>
      <c r="L1810" t="s">
        <v>276</v>
      </c>
      <c r="M1810" t="s">
        <v>631</v>
      </c>
      <c r="N1810" t="s">
        <v>276</v>
      </c>
      <c r="P1810" t="s">
        <v>260</v>
      </c>
      <c r="Q1810" t="s">
        <v>260</v>
      </c>
      <c r="R1810" t="s">
        <v>283</v>
      </c>
      <c r="S1810" t="s">
        <v>21</v>
      </c>
      <c r="T1810">
        <v>100</v>
      </c>
      <c r="W1810" t="s">
        <v>262</v>
      </c>
      <c r="X1810">
        <v>-37.008299999999998</v>
      </c>
      <c r="Y1810">
        <v>174.87049999999999</v>
      </c>
    </row>
    <row r="1811" spans="1:25" x14ac:dyDescent="0.3">
      <c r="A1811" t="s">
        <v>21</v>
      </c>
      <c r="B1811" t="s">
        <v>5018</v>
      </c>
      <c r="C1811" t="s">
        <v>270</v>
      </c>
      <c r="D1811" t="s">
        <v>5019</v>
      </c>
      <c r="E1811">
        <v>55844</v>
      </c>
      <c r="H1811" t="s">
        <v>2433</v>
      </c>
      <c r="I1811" t="s">
        <v>1343</v>
      </c>
      <c r="J1811" t="s">
        <v>297</v>
      </c>
      <c r="K1811">
        <v>2104</v>
      </c>
      <c r="L1811" t="s">
        <v>276</v>
      </c>
      <c r="M1811" t="s">
        <v>631</v>
      </c>
      <c r="N1811" t="s">
        <v>276</v>
      </c>
      <c r="P1811" t="s">
        <v>260</v>
      </c>
      <c r="Q1811" t="s">
        <v>260</v>
      </c>
      <c r="R1811" t="s">
        <v>261</v>
      </c>
      <c r="S1811" t="s">
        <v>21</v>
      </c>
      <c r="T1811">
        <v>100</v>
      </c>
      <c r="W1811" t="s">
        <v>262</v>
      </c>
      <c r="X1811">
        <v>-37.008299999999998</v>
      </c>
      <c r="Y1811">
        <v>174.87049999999999</v>
      </c>
    </row>
    <row r="1812" spans="1:25" x14ac:dyDescent="0.3">
      <c r="A1812" t="s">
        <v>21</v>
      </c>
      <c r="B1812" t="s">
        <v>5020</v>
      </c>
      <c r="C1812" t="s">
        <v>270</v>
      </c>
      <c r="D1812" t="s">
        <v>1963</v>
      </c>
      <c r="E1812">
        <v>55810</v>
      </c>
      <c r="H1812" t="s">
        <v>2433</v>
      </c>
      <c r="I1812" t="s">
        <v>1343</v>
      </c>
      <c r="J1812" t="s">
        <v>297</v>
      </c>
      <c r="K1812">
        <v>2104</v>
      </c>
      <c r="L1812" t="s">
        <v>276</v>
      </c>
      <c r="M1812" t="s">
        <v>631</v>
      </c>
      <c r="N1812" t="s">
        <v>276</v>
      </c>
      <c r="P1812" t="s">
        <v>260</v>
      </c>
      <c r="Q1812" t="s">
        <v>260</v>
      </c>
      <c r="R1812" t="s">
        <v>261</v>
      </c>
      <c r="S1812" t="s">
        <v>21</v>
      </c>
      <c r="T1812">
        <v>100</v>
      </c>
      <c r="W1812" t="s">
        <v>262</v>
      </c>
      <c r="X1812">
        <v>-37.008299999999998</v>
      </c>
      <c r="Y1812">
        <v>174.87049999999999</v>
      </c>
    </row>
    <row r="1813" spans="1:25" x14ac:dyDescent="0.3">
      <c r="A1813" t="s">
        <v>21</v>
      </c>
      <c r="B1813" t="s">
        <v>5021</v>
      </c>
      <c r="C1813" t="s">
        <v>539</v>
      </c>
      <c r="D1813" t="s">
        <v>5022</v>
      </c>
      <c r="E1813">
        <v>54836</v>
      </c>
      <c r="F1813">
        <v>54836</v>
      </c>
      <c r="G1813" t="s">
        <v>5023</v>
      </c>
      <c r="M1813" t="s">
        <v>3734</v>
      </c>
      <c r="N1813" t="s">
        <v>276</v>
      </c>
      <c r="P1813" t="s">
        <v>260</v>
      </c>
      <c r="Q1813" t="s">
        <v>260</v>
      </c>
      <c r="R1813" t="s">
        <v>261</v>
      </c>
      <c r="S1813" t="s">
        <v>21</v>
      </c>
      <c r="T1813">
        <v>100</v>
      </c>
      <c r="W1813" t="s">
        <v>262</v>
      </c>
    </row>
    <row r="1814" spans="1:25" x14ac:dyDescent="0.3">
      <c r="A1814" t="s">
        <v>21</v>
      </c>
      <c r="B1814" t="s">
        <v>5024</v>
      </c>
      <c r="C1814" t="s">
        <v>270</v>
      </c>
      <c r="D1814" t="s">
        <v>5025</v>
      </c>
      <c r="E1814">
        <v>55495</v>
      </c>
      <c r="H1814" t="s">
        <v>2433</v>
      </c>
      <c r="I1814" t="s">
        <v>1343</v>
      </c>
      <c r="J1814" t="s">
        <v>297</v>
      </c>
      <c r="K1814">
        <v>2104</v>
      </c>
      <c r="L1814" t="s">
        <v>276</v>
      </c>
      <c r="M1814" t="s">
        <v>631</v>
      </c>
      <c r="N1814" t="s">
        <v>276</v>
      </c>
      <c r="P1814" t="s">
        <v>260</v>
      </c>
      <c r="Q1814" t="s">
        <v>260</v>
      </c>
      <c r="R1814" t="s">
        <v>261</v>
      </c>
      <c r="S1814" t="s">
        <v>21</v>
      </c>
      <c r="T1814">
        <v>100</v>
      </c>
      <c r="W1814" t="s">
        <v>262</v>
      </c>
      <c r="X1814">
        <v>-37.008299999999998</v>
      </c>
      <c r="Y1814">
        <v>174.87049999999999</v>
      </c>
    </row>
    <row r="1815" spans="1:25" x14ac:dyDescent="0.3">
      <c r="A1815" t="s">
        <v>21</v>
      </c>
      <c r="B1815" t="s">
        <v>5026</v>
      </c>
      <c r="C1815" t="s">
        <v>270</v>
      </c>
      <c r="D1815" t="s">
        <v>5027</v>
      </c>
      <c r="E1815">
        <v>55473</v>
      </c>
      <c r="H1815" t="s">
        <v>2433</v>
      </c>
      <c r="I1815" t="s">
        <v>1343</v>
      </c>
      <c r="J1815" t="s">
        <v>297</v>
      </c>
      <c r="K1815">
        <v>2104</v>
      </c>
      <c r="L1815" t="s">
        <v>276</v>
      </c>
      <c r="M1815" t="s">
        <v>631</v>
      </c>
      <c r="N1815" t="s">
        <v>276</v>
      </c>
      <c r="P1815" t="s">
        <v>260</v>
      </c>
      <c r="Q1815" t="s">
        <v>260</v>
      </c>
      <c r="R1815" t="s">
        <v>261</v>
      </c>
      <c r="S1815" t="s">
        <v>21</v>
      </c>
      <c r="T1815">
        <v>100</v>
      </c>
      <c r="W1815" t="s">
        <v>262</v>
      </c>
      <c r="X1815">
        <v>-37.008299999999998</v>
      </c>
      <c r="Y1815">
        <v>174.87049999999999</v>
      </c>
    </row>
    <row r="1816" spans="1:25" x14ac:dyDescent="0.3">
      <c r="A1816" t="s">
        <v>21</v>
      </c>
      <c r="B1816" t="s">
        <v>5028</v>
      </c>
      <c r="C1816" t="s">
        <v>270</v>
      </c>
      <c r="D1816" t="s">
        <v>5029</v>
      </c>
      <c r="E1816">
        <v>55492</v>
      </c>
      <c r="H1816" t="s">
        <v>2433</v>
      </c>
      <c r="I1816" t="s">
        <v>1343</v>
      </c>
      <c r="J1816" t="s">
        <v>297</v>
      </c>
      <c r="K1816">
        <v>2104</v>
      </c>
      <c r="L1816" t="s">
        <v>276</v>
      </c>
      <c r="M1816" t="s">
        <v>631</v>
      </c>
      <c r="N1816" t="s">
        <v>276</v>
      </c>
      <c r="P1816" t="s">
        <v>260</v>
      </c>
      <c r="Q1816" t="s">
        <v>260</v>
      </c>
      <c r="R1816" t="s">
        <v>261</v>
      </c>
      <c r="S1816" t="s">
        <v>21</v>
      </c>
      <c r="T1816">
        <v>100</v>
      </c>
      <c r="W1816" t="s">
        <v>262</v>
      </c>
      <c r="X1816">
        <v>-37.008299999999998</v>
      </c>
      <c r="Y1816">
        <v>174.87049999999999</v>
      </c>
    </row>
    <row r="1817" spans="1:25" x14ac:dyDescent="0.3">
      <c r="A1817" t="s">
        <v>21</v>
      </c>
      <c r="B1817" t="s">
        <v>5030</v>
      </c>
      <c r="C1817" t="s">
        <v>270</v>
      </c>
      <c r="D1817" t="s">
        <v>5027</v>
      </c>
      <c r="E1817">
        <v>55475</v>
      </c>
      <c r="H1817" t="s">
        <v>2433</v>
      </c>
      <c r="I1817" t="s">
        <v>1343</v>
      </c>
      <c r="J1817" t="s">
        <v>297</v>
      </c>
      <c r="K1817">
        <v>2104</v>
      </c>
      <c r="L1817" t="s">
        <v>276</v>
      </c>
      <c r="M1817" t="s">
        <v>631</v>
      </c>
      <c r="N1817" t="s">
        <v>276</v>
      </c>
      <c r="P1817" t="s">
        <v>260</v>
      </c>
      <c r="Q1817" t="s">
        <v>260</v>
      </c>
      <c r="R1817" t="s">
        <v>261</v>
      </c>
      <c r="S1817" t="s">
        <v>21</v>
      </c>
      <c r="T1817">
        <v>100</v>
      </c>
      <c r="W1817" t="s">
        <v>262</v>
      </c>
      <c r="X1817">
        <v>-37.008299999999998</v>
      </c>
      <c r="Y1817">
        <v>174.87049999999999</v>
      </c>
    </row>
    <row r="1818" spans="1:25" x14ac:dyDescent="0.3">
      <c r="A1818" t="s">
        <v>21</v>
      </c>
      <c r="B1818" t="s">
        <v>5031</v>
      </c>
      <c r="C1818" t="s">
        <v>270</v>
      </c>
      <c r="D1818" t="s">
        <v>5032</v>
      </c>
      <c r="E1818">
        <v>55485</v>
      </c>
      <c r="H1818" t="s">
        <v>2433</v>
      </c>
      <c r="I1818" t="s">
        <v>1343</v>
      </c>
      <c r="J1818" t="s">
        <v>297</v>
      </c>
      <c r="K1818">
        <v>2104</v>
      </c>
      <c r="L1818" t="s">
        <v>276</v>
      </c>
      <c r="M1818" t="s">
        <v>631</v>
      </c>
      <c r="N1818" t="s">
        <v>276</v>
      </c>
      <c r="P1818" t="s">
        <v>260</v>
      </c>
      <c r="Q1818" t="s">
        <v>260</v>
      </c>
      <c r="R1818" t="s">
        <v>261</v>
      </c>
      <c r="S1818" t="s">
        <v>21</v>
      </c>
      <c r="T1818">
        <v>100</v>
      </c>
      <c r="W1818" t="s">
        <v>262</v>
      </c>
      <c r="X1818">
        <v>-37.008299999999998</v>
      </c>
      <c r="Y1818">
        <v>174.87049999999999</v>
      </c>
    </row>
    <row r="1819" spans="1:25" x14ac:dyDescent="0.3">
      <c r="A1819" t="s">
        <v>21</v>
      </c>
      <c r="B1819" t="s">
        <v>5033</v>
      </c>
      <c r="C1819" t="s">
        <v>270</v>
      </c>
      <c r="D1819" t="s">
        <v>5034</v>
      </c>
      <c r="E1819">
        <v>55486</v>
      </c>
      <c r="H1819" t="s">
        <v>2433</v>
      </c>
      <c r="I1819" t="s">
        <v>1343</v>
      </c>
      <c r="J1819" t="s">
        <v>297</v>
      </c>
      <c r="K1819">
        <v>2104</v>
      </c>
      <c r="L1819" t="s">
        <v>276</v>
      </c>
      <c r="M1819" t="s">
        <v>631</v>
      </c>
      <c r="N1819" t="s">
        <v>276</v>
      </c>
      <c r="P1819" t="s">
        <v>260</v>
      </c>
      <c r="Q1819" t="s">
        <v>260</v>
      </c>
      <c r="R1819" t="s">
        <v>261</v>
      </c>
      <c r="S1819" t="s">
        <v>21</v>
      </c>
      <c r="T1819">
        <v>100</v>
      </c>
      <c r="W1819" t="s">
        <v>262</v>
      </c>
      <c r="X1819">
        <v>-37.008299999999998</v>
      </c>
      <c r="Y1819">
        <v>174.87049999999999</v>
      </c>
    </row>
    <row r="1820" spans="1:25" x14ac:dyDescent="0.3">
      <c r="A1820" t="s">
        <v>21</v>
      </c>
      <c r="B1820" t="s">
        <v>5035</v>
      </c>
      <c r="C1820" t="s">
        <v>270</v>
      </c>
      <c r="D1820" t="s">
        <v>5036</v>
      </c>
      <c r="E1820">
        <v>55494</v>
      </c>
      <c r="H1820" t="s">
        <v>2433</v>
      </c>
      <c r="I1820" t="s">
        <v>1343</v>
      </c>
      <c r="J1820" t="s">
        <v>297</v>
      </c>
      <c r="K1820">
        <v>2104</v>
      </c>
      <c r="L1820" t="s">
        <v>276</v>
      </c>
      <c r="M1820" t="s">
        <v>631</v>
      </c>
      <c r="N1820" t="s">
        <v>276</v>
      </c>
      <c r="P1820" t="s">
        <v>260</v>
      </c>
      <c r="Q1820" t="s">
        <v>260</v>
      </c>
      <c r="R1820" t="s">
        <v>261</v>
      </c>
      <c r="S1820" t="s">
        <v>21</v>
      </c>
      <c r="T1820">
        <v>100</v>
      </c>
      <c r="W1820" t="s">
        <v>262</v>
      </c>
      <c r="X1820">
        <v>-37.008299999999998</v>
      </c>
      <c r="Y1820">
        <v>174.87049999999999</v>
      </c>
    </row>
    <row r="1821" spans="1:25" x14ac:dyDescent="0.3">
      <c r="A1821" t="s">
        <v>21</v>
      </c>
      <c r="B1821" t="s">
        <v>5037</v>
      </c>
      <c r="C1821" t="s">
        <v>270</v>
      </c>
      <c r="D1821" t="s">
        <v>5038</v>
      </c>
      <c r="E1821">
        <v>55848</v>
      </c>
      <c r="H1821" t="s">
        <v>2433</v>
      </c>
      <c r="I1821" t="s">
        <v>1343</v>
      </c>
      <c r="J1821" t="s">
        <v>297</v>
      </c>
      <c r="K1821">
        <v>2104</v>
      </c>
      <c r="L1821" t="s">
        <v>276</v>
      </c>
      <c r="M1821" t="s">
        <v>631</v>
      </c>
      <c r="N1821" t="s">
        <v>276</v>
      </c>
      <c r="P1821" t="s">
        <v>260</v>
      </c>
      <c r="Q1821" t="s">
        <v>260</v>
      </c>
      <c r="R1821" t="s">
        <v>261</v>
      </c>
      <c r="S1821" t="s">
        <v>21</v>
      </c>
      <c r="T1821">
        <v>100</v>
      </c>
      <c r="W1821" t="s">
        <v>262</v>
      </c>
      <c r="X1821">
        <v>-37.008299999999998</v>
      </c>
      <c r="Y1821">
        <v>174.87049999999999</v>
      </c>
    </row>
    <row r="1822" spans="1:25" x14ac:dyDescent="0.3">
      <c r="A1822" t="s">
        <v>21</v>
      </c>
      <c r="B1822" t="s">
        <v>5039</v>
      </c>
      <c r="C1822" t="s">
        <v>270</v>
      </c>
      <c r="D1822" t="s">
        <v>5040</v>
      </c>
      <c r="E1822">
        <v>55472</v>
      </c>
      <c r="H1822" t="s">
        <v>2433</v>
      </c>
      <c r="I1822" t="s">
        <v>1343</v>
      </c>
      <c r="J1822" t="s">
        <v>297</v>
      </c>
      <c r="K1822">
        <v>2104</v>
      </c>
      <c r="L1822" t="s">
        <v>276</v>
      </c>
      <c r="M1822" t="s">
        <v>631</v>
      </c>
      <c r="N1822" t="s">
        <v>276</v>
      </c>
      <c r="P1822" t="s">
        <v>260</v>
      </c>
      <c r="Q1822" t="s">
        <v>260</v>
      </c>
      <c r="R1822" t="s">
        <v>261</v>
      </c>
      <c r="S1822" t="s">
        <v>21</v>
      </c>
      <c r="T1822">
        <v>100</v>
      </c>
      <c r="W1822" t="s">
        <v>262</v>
      </c>
      <c r="X1822">
        <v>-37.008299999999998</v>
      </c>
      <c r="Y1822">
        <v>174.87049999999999</v>
      </c>
    </row>
    <row r="1823" spans="1:25" x14ac:dyDescent="0.3">
      <c r="A1823" t="s">
        <v>21</v>
      </c>
      <c r="B1823" t="s">
        <v>5041</v>
      </c>
      <c r="C1823" t="s">
        <v>270</v>
      </c>
      <c r="D1823" t="s">
        <v>5042</v>
      </c>
      <c r="E1823">
        <v>55815</v>
      </c>
      <c r="H1823" t="s">
        <v>2433</v>
      </c>
      <c r="I1823" t="s">
        <v>1343</v>
      </c>
      <c r="J1823" t="s">
        <v>297</v>
      </c>
      <c r="K1823">
        <v>2104</v>
      </c>
      <c r="L1823" t="s">
        <v>276</v>
      </c>
      <c r="M1823" t="s">
        <v>631</v>
      </c>
      <c r="N1823" t="s">
        <v>276</v>
      </c>
      <c r="P1823" t="s">
        <v>260</v>
      </c>
      <c r="Q1823" t="s">
        <v>260</v>
      </c>
      <c r="R1823" t="s">
        <v>261</v>
      </c>
      <c r="S1823" t="s">
        <v>21</v>
      </c>
      <c r="T1823">
        <v>100</v>
      </c>
      <c r="W1823" t="s">
        <v>262</v>
      </c>
      <c r="X1823">
        <v>-37.008299999999998</v>
      </c>
      <c r="Y1823">
        <v>174.87049999999999</v>
      </c>
    </row>
    <row r="1824" spans="1:25" x14ac:dyDescent="0.3">
      <c r="A1824" t="s">
        <v>21</v>
      </c>
      <c r="B1824" t="s">
        <v>5043</v>
      </c>
      <c r="C1824" t="s">
        <v>270</v>
      </c>
      <c r="D1824" t="s">
        <v>5044</v>
      </c>
      <c r="E1824">
        <v>55479</v>
      </c>
      <c r="H1824" t="s">
        <v>2433</v>
      </c>
      <c r="I1824" t="s">
        <v>1343</v>
      </c>
      <c r="J1824" t="s">
        <v>297</v>
      </c>
      <c r="K1824">
        <v>2104</v>
      </c>
      <c r="L1824" t="s">
        <v>276</v>
      </c>
      <c r="M1824" t="s">
        <v>631</v>
      </c>
      <c r="N1824" t="s">
        <v>276</v>
      </c>
      <c r="P1824" t="s">
        <v>260</v>
      </c>
      <c r="Q1824" t="s">
        <v>260</v>
      </c>
      <c r="R1824" t="s">
        <v>261</v>
      </c>
      <c r="S1824" t="s">
        <v>21</v>
      </c>
      <c r="T1824">
        <v>100</v>
      </c>
      <c r="W1824" t="s">
        <v>262</v>
      </c>
      <c r="X1824">
        <v>-37.008299999999998</v>
      </c>
      <c r="Y1824">
        <v>174.87049999999999</v>
      </c>
    </row>
    <row r="1825" spans="1:25" x14ac:dyDescent="0.3">
      <c r="A1825" t="s">
        <v>21</v>
      </c>
      <c r="B1825" t="s">
        <v>5045</v>
      </c>
      <c r="C1825" t="s">
        <v>270</v>
      </c>
      <c r="D1825" t="s">
        <v>5046</v>
      </c>
      <c r="E1825">
        <v>55483</v>
      </c>
      <c r="H1825" t="s">
        <v>2433</v>
      </c>
      <c r="I1825" t="s">
        <v>1343</v>
      </c>
      <c r="J1825" t="s">
        <v>297</v>
      </c>
      <c r="K1825">
        <v>2104</v>
      </c>
      <c r="L1825" t="s">
        <v>276</v>
      </c>
      <c r="M1825" t="s">
        <v>631</v>
      </c>
      <c r="N1825" t="s">
        <v>276</v>
      </c>
      <c r="P1825" t="s">
        <v>260</v>
      </c>
      <c r="Q1825" t="s">
        <v>260</v>
      </c>
      <c r="R1825" t="s">
        <v>261</v>
      </c>
      <c r="S1825" t="s">
        <v>21</v>
      </c>
      <c r="T1825">
        <v>100</v>
      </c>
      <c r="W1825" t="s">
        <v>262</v>
      </c>
      <c r="X1825">
        <v>-37.008299999999998</v>
      </c>
      <c r="Y1825">
        <v>174.87049999999999</v>
      </c>
    </row>
    <row r="1826" spans="1:25" x14ac:dyDescent="0.3">
      <c r="A1826" t="s">
        <v>21</v>
      </c>
      <c r="B1826" t="s">
        <v>5047</v>
      </c>
      <c r="C1826" t="s">
        <v>270</v>
      </c>
      <c r="D1826" t="s">
        <v>5048</v>
      </c>
      <c r="E1826">
        <v>55484</v>
      </c>
      <c r="H1826" t="s">
        <v>2433</v>
      </c>
      <c r="I1826" t="s">
        <v>1343</v>
      </c>
      <c r="J1826" t="s">
        <v>297</v>
      </c>
      <c r="K1826">
        <v>2104</v>
      </c>
      <c r="L1826" t="s">
        <v>276</v>
      </c>
      <c r="M1826" t="s">
        <v>631</v>
      </c>
      <c r="N1826" t="s">
        <v>276</v>
      </c>
      <c r="P1826" t="s">
        <v>260</v>
      </c>
      <c r="Q1826" t="s">
        <v>260</v>
      </c>
      <c r="R1826" t="s">
        <v>261</v>
      </c>
      <c r="S1826" t="s">
        <v>21</v>
      </c>
      <c r="T1826">
        <v>100</v>
      </c>
      <c r="W1826" t="s">
        <v>262</v>
      </c>
      <c r="X1826">
        <v>-37.008299999999998</v>
      </c>
      <c r="Y1826">
        <v>174.87049999999999</v>
      </c>
    </row>
    <row r="1827" spans="1:25" x14ac:dyDescent="0.3">
      <c r="A1827" t="s">
        <v>21</v>
      </c>
      <c r="B1827" t="s">
        <v>5049</v>
      </c>
      <c r="C1827" t="s">
        <v>270</v>
      </c>
      <c r="D1827" t="s">
        <v>1993</v>
      </c>
      <c r="E1827">
        <v>55850</v>
      </c>
      <c r="F1827">
        <v>900571</v>
      </c>
      <c r="H1827" t="s">
        <v>2433</v>
      </c>
      <c r="I1827" t="s">
        <v>1343</v>
      </c>
      <c r="J1827" t="s">
        <v>297</v>
      </c>
      <c r="K1827">
        <v>2104</v>
      </c>
      <c r="L1827" t="s">
        <v>276</v>
      </c>
      <c r="M1827" t="s">
        <v>631</v>
      </c>
      <c r="N1827" t="s">
        <v>276</v>
      </c>
      <c r="P1827" t="s">
        <v>260</v>
      </c>
      <c r="Q1827" t="s">
        <v>260</v>
      </c>
      <c r="R1827" t="s">
        <v>261</v>
      </c>
      <c r="S1827" t="s">
        <v>21</v>
      </c>
      <c r="T1827">
        <v>100</v>
      </c>
      <c r="W1827" t="s">
        <v>262</v>
      </c>
      <c r="X1827">
        <v>-37.008299999999998</v>
      </c>
      <c r="Y1827">
        <v>174.87049999999999</v>
      </c>
    </row>
    <row r="1828" spans="1:25" x14ac:dyDescent="0.3">
      <c r="A1828" t="s">
        <v>21</v>
      </c>
      <c r="B1828" t="s">
        <v>5050</v>
      </c>
      <c r="C1828" t="s">
        <v>270</v>
      </c>
      <c r="D1828" t="s">
        <v>5051</v>
      </c>
      <c r="E1828">
        <v>55806</v>
      </c>
      <c r="H1828" t="s">
        <v>2433</v>
      </c>
      <c r="I1828" t="s">
        <v>1343</v>
      </c>
      <c r="J1828" t="s">
        <v>297</v>
      </c>
      <c r="K1828">
        <v>2104</v>
      </c>
      <c r="L1828" t="s">
        <v>276</v>
      </c>
      <c r="M1828" t="s">
        <v>631</v>
      </c>
      <c r="N1828" t="s">
        <v>276</v>
      </c>
      <c r="P1828" t="s">
        <v>260</v>
      </c>
      <c r="Q1828" t="s">
        <v>260</v>
      </c>
      <c r="R1828" t="s">
        <v>261</v>
      </c>
      <c r="S1828" t="s">
        <v>21</v>
      </c>
      <c r="T1828">
        <v>100</v>
      </c>
      <c r="W1828" t="s">
        <v>262</v>
      </c>
      <c r="X1828">
        <v>-37.008299999999998</v>
      </c>
      <c r="Y1828">
        <v>174.87049999999999</v>
      </c>
    </row>
    <row r="1829" spans="1:25" x14ac:dyDescent="0.3">
      <c r="A1829" t="s">
        <v>21</v>
      </c>
      <c r="B1829" t="s">
        <v>5052</v>
      </c>
      <c r="C1829" t="s">
        <v>270</v>
      </c>
      <c r="D1829" t="s">
        <v>5053</v>
      </c>
      <c r="E1829">
        <v>55481</v>
      </c>
      <c r="G1829" t="s">
        <v>5054</v>
      </c>
      <c r="H1829" t="s">
        <v>2433</v>
      </c>
      <c r="I1829" t="s">
        <v>1343</v>
      </c>
      <c r="J1829" t="s">
        <v>297</v>
      </c>
      <c r="K1829">
        <v>2104</v>
      </c>
      <c r="L1829" t="s">
        <v>276</v>
      </c>
      <c r="M1829" t="s">
        <v>631</v>
      </c>
      <c r="N1829" t="s">
        <v>276</v>
      </c>
      <c r="P1829" t="s">
        <v>260</v>
      </c>
      <c r="Q1829" t="s">
        <v>260</v>
      </c>
      <c r="R1829" t="s">
        <v>261</v>
      </c>
      <c r="S1829" t="s">
        <v>21</v>
      </c>
      <c r="T1829">
        <v>100</v>
      </c>
      <c r="W1829" t="s">
        <v>262</v>
      </c>
      <c r="X1829">
        <v>-37.008299999999998</v>
      </c>
      <c r="Y1829">
        <v>174.87049999999999</v>
      </c>
    </row>
    <row r="1830" spans="1:25" x14ac:dyDescent="0.3">
      <c r="A1830" t="s">
        <v>21</v>
      </c>
      <c r="B1830" t="s">
        <v>5055</v>
      </c>
      <c r="C1830" t="s">
        <v>270</v>
      </c>
      <c r="D1830" t="s">
        <v>5056</v>
      </c>
      <c r="E1830">
        <v>55851</v>
      </c>
      <c r="H1830" t="s">
        <v>2433</v>
      </c>
      <c r="I1830" t="s">
        <v>1343</v>
      </c>
      <c r="J1830" t="s">
        <v>297</v>
      </c>
      <c r="K1830">
        <v>2104</v>
      </c>
      <c r="L1830" t="s">
        <v>276</v>
      </c>
      <c r="M1830" t="s">
        <v>631</v>
      </c>
      <c r="N1830" t="s">
        <v>276</v>
      </c>
      <c r="P1830" t="s">
        <v>260</v>
      </c>
      <c r="Q1830" t="s">
        <v>260</v>
      </c>
      <c r="R1830" t="s">
        <v>261</v>
      </c>
      <c r="S1830" t="s">
        <v>21</v>
      </c>
      <c r="T1830">
        <v>100</v>
      </c>
      <c r="W1830" t="s">
        <v>262</v>
      </c>
      <c r="X1830">
        <v>-37.008299999999998</v>
      </c>
      <c r="Y1830">
        <v>174.87049999999999</v>
      </c>
    </row>
    <row r="1831" spans="1:25" x14ac:dyDescent="0.3">
      <c r="A1831" t="s">
        <v>21</v>
      </c>
      <c r="B1831" t="s">
        <v>5057</v>
      </c>
      <c r="C1831" t="s">
        <v>270</v>
      </c>
      <c r="D1831" t="s">
        <v>5058</v>
      </c>
      <c r="E1831">
        <v>54802</v>
      </c>
      <c r="H1831" t="s">
        <v>2433</v>
      </c>
      <c r="I1831" t="s">
        <v>1343</v>
      </c>
      <c r="J1831" t="s">
        <v>297</v>
      </c>
      <c r="K1831">
        <v>2104</v>
      </c>
      <c r="L1831" t="s">
        <v>276</v>
      </c>
      <c r="M1831" t="s">
        <v>631</v>
      </c>
      <c r="N1831" t="s">
        <v>276</v>
      </c>
      <c r="P1831" t="s">
        <v>260</v>
      </c>
      <c r="Q1831" t="s">
        <v>260</v>
      </c>
      <c r="R1831" t="s">
        <v>261</v>
      </c>
      <c r="S1831" t="s">
        <v>21</v>
      </c>
      <c r="T1831">
        <v>100</v>
      </c>
      <c r="W1831" t="s">
        <v>262</v>
      </c>
      <c r="X1831">
        <v>-37.008299999999998</v>
      </c>
      <c r="Y1831">
        <v>174.87049999999999</v>
      </c>
    </row>
    <row r="1832" spans="1:25" x14ac:dyDescent="0.3">
      <c r="A1832" t="s">
        <v>21</v>
      </c>
      <c r="B1832" t="s">
        <v>5059</v>
      </c>
      <c r="C1832" t="s">
        <v>270</v>
      </c>
      <c r="D1832" t="s">
        <v>5060</v>
      </c>
      <c r="E1832">
        <v>55868</v>
      </c>
      <c r="H1832" t="s">
        <v>2433</v>
      </c>
      <c r="I1832" t="s">
        <v>1343</v>
      </c>
      <c r="J1832" t="s">
        <v>297</v>
      </c>
      <c r="K1832">
        <v>2104</v>
      </c>
      <c r="L1832" t="s">
        <v>276</v>
      </c>
      <c r="M1832" t="s">
        <v>631</v>
      </c>
      <c r="N1832" t="s">
        <v>276</v>
      </c>
      <c r="P1832" t="s">
        <v>260</v>
      </c>
      <c r="Q1832" t="s">
        <v>260</v>
      </c>
      <c r="R1832" t="s">
        <v>261</v>
      </c>
      <c r="S1832" t="s">
        <v>21</v>
      </c>
      <c r="T1832">
        <v>100</v>
      </c>
      <c r="W1832" t="s">
        <v>262</v>
      </c>
      <c r="X1832">
        <v>-37.008299999999998</v>
      </c>
      <c r="Y1832">
        <v>174.87049999999999</v>
      </c>
    </row>
    <row r="1833" spans="1:25" x14ac:dyDescent="0.3">
      <c r="A1833" t="s">
        <v>21</v>
      </c>
      <c r="B1833" t="s">
        <v>5061</v>
      </c>
      <c r="C1833" t="s">
        <v>270</v>
      </c>
      <c r="D1833" t="s">
        <v>5062</v>
      </c>
      <c r="E1833">
        <v>55496</v>
      </c>
      <c r="H1833" t="s">
        <v>2433</v>
      </c>
      <c r="I1833" t="s">
        <v>1343</v>
      </c>
      <c r="J1833" t="s">
        <v>297</v>
      </c>
      <c r="K1833">
        <v>2104</v>
      </c>
      <c r="L1833" t="s">
        <v>276</v>
      </c>
      <c r="M1833" t="s">
        <v>631</v>
      </c>
      <c r="N1833" t="s">
        <v>276</v>
      </c>
      <c r="P1833" t="s">
        <v>260</v>
      </c>
      <c r="Q1833" t="s">
        <v>260</v>
      </c>
      <c r="R1833" t="s">
        <v>261</v>
      </c>
      <c r="S1833" t="s">
        <v>21</v>
      </c>
      <c r="T1833">
        <v>100</v>
      </c>
      <c r="W1833" t="s">
        <v>262</v>
      </c>
      <c r="X1833">
        <v>-37.008299999999998</v>
      </c>
      <c r="Y1833">
        <v>174.87049999999999</v>
      </c>
    </row>
    <row r="1834" spans="1:25" x14ac:dyDescent="0.3">
      <c r="A1834" t="s">
        <v>21</v>
      </c>
      <c r="B1834" t="s">
        <v>5063</v>
      </c>
      <c r="C1834" t="s">
        <v>270</v>
      </c>
      <c r="D1834" t="s">
        <v>1989</v>
      </c>
      <c r="E1834">
        <v>55880</v>
      </c>
      <c r="H1834" t="s">
        <v>2433</v>
      </c>
      <c r="I1834" t="s">
        <v>1343</v>
      </c>
      <c r="J1834" t="s">
        <v>297</v>
      </c>
      <c r="K1834">
        <v>2104</v>
      </c>
      <c r="L1834" t="s">
        <v>276</v>
      </c>
      <c r="M1834" t="s">
        <v>631</v>
      </c>
      <c r="N1834" t="s">
        <v>276</v>
      </c>
      <c r="P1834" t="s">
        <v>260</v>
      </c>
      <c r="Q1834" t="s">
        <v>260</v>
      </c>
      <c r="R1834" t="s">
        <v>261</v>
      </c>
      <c r="S1834" t="s">
        <v>21</v>
      </c>
      <c r="T1834">
        <v>100</v>
      </c>
      <c r="W1834" t="s">
        <v>262</v>
      </c>
      <c r="X1834">
        <v>-37.008299999999998</v>
      </c>
      <c r="Y1834">
        <v>174.87049999999999</v>
      </c>
    </row>
    <row r="1835" spans="1:25" x14ac:dyDescent="0.3">
      <c r="A1835" t="s">
        <v>21</v>
      </c>
      <c r="B1835" t="s">
        <v>5064</v>
      </c>
      <c r="C1835" t="s">
        <v>270</v>
      </c>
      <c r="D1835" t="s">
        <v>5065</v>
      </c>
      <c r="E1835">
        <v>55858</v>
      </c>
      <c r="H1835" t="s">
        <v>2433</v>
      </c>
      <c r="I1835" t="s">
        <v>1343</v>
      </c>
      <c r="J1835" t="s">
        <v>297</v>
      </c>
      <c r="K1835">
        <v>2104</v>
      </c>
      <c r="L1835" t="s">
        <v>276</v>
      </c>
      <c r="M1835" t="s">
        <v>631</v>
      </c>
      <c r="N1835" t="s">
        <v>276</v>
      </c>
      <c r="P1835" t="s">
        <v>260</v>
      </c>
      <c r="Q1835" t="s">
        <v>260</v>
      </c>
      <c r="R1835" t="s">
        <v>261</v>
      </c>
      <c r="S1835" t="s">
        <v>21</v>
      </c>
      <c r="T1835">
        <v>100</v>
      </c>
      <c r="W1835" t="s">
        <v>262</v>
      </c>
      <c r="X1835">
        <v>-37.008299999999998</v>
      </c>
      <c r="Y1835">
        <v>174.87049999999999</v>
      </c>
    </row>
    <row r="1836" spans="1:25" x14ac:dyDescent="0.3">
      <c r="A1836" t="s">
        <v>21</v>
      </c>
      <c r="B1836" t="s">
        <v>5066</v>
      </c>
      <c r="C1836" t="s">
        <v>270</v>
      </c>
      <c r="D1836" t="s">
        <v>5067</v>
      </c>
      <c r="E1836">
        <v>55893</v>
      </c>
      <c r="H1836" t="s">
        <v>2433</v>
      </c>
      <c r="I1836" t="s">
        <v>1343</v>
      </c>
      <c r="J1836" t="s">
        <v>297</v>
      </c>
      <c r="K1836">
        <v>2104</v>
      </c>
      <c r="L1836" t="s">
        <v>276</v>
      </c>
      <c r="M1836" t="s">
        <v>631</v>
      </c>
      <c r="N1836" t="s">
        <v>276</v>
      </c>
      <c r="P1836" t="s">
        <v>260</v>
      </c>
      <c r="Q1836" t="s">
        <v>260</v>
      </c>
      <c r="R1836" t="s">
        <v>261</v>
      </c>
      <c r="S1836" t="s">
        <v>21</v>
      </c>
      <c r="T1836">
        <v>100</v>
      </c>
      <c r="W1836" t="s">
        <v>262</v>
      </c>
      <c r="X1836">
        <v>-37.008299999999998</v>
      </c>
      <c r="Y1836">
        <v>174.87049999999999</v>
      </c>
    </row>
    <row r="1837" spans="1:25" x14ac:dyDescent="0.3">
      <c r="A1837" t="s">
        <v>21</v>
      </c>
      <c r="B1837" t="s">
        <v>5068</v>
      </c>
      <c r="C1837" t="s">
        <v>270</v>
      </c>
      <c r="D1837" t="s">
        <v>5069</v>
      </c>
      <c r="E1837">
        <v>54823</v>
      </c>
      <c r="M1837" t="s">
        <v>631</v>
      </c>
      <c r="N1837" t="s">
        <v>276</v>
      </c>
      <c r="P1837" t="s">
        <v>260</v>
      </c>
      <c r="Q1837" t="s">
        <v>260</v>
      </c>
      <c r="R1837" t="s">
        <v>261</v>
      </c>
      <c r="S1837" t="s">
        <v>21</v>
      </c>
      <c r="T1837">
        <v>100</v>
      </c>
      <c r="W1837" t="s">
        <v>262</v>
      </c>
    </row>
    <row r="1838" spans="1:25" x14ac:dyDescent="0.3">
      <c r="A1838" t="s">
        <v>21</v>
      </c>
      <c r="B1838" t="s">
        <v>5070</v>
      </c>
      <c r="C1838" t="s">
        <v>270</v>
      </c>
      <c r="D1838" t="s">
        <v>2081</v>
      </c>
      <c r="E1838">
        <v>55846</v>
      </c>
      <c r="H1838" t="s">
        <v>2433</v>
      </c>
      <c r="I1838" t="s">
        <v>1343</v>
      </c>
      <c r="J1838" t="s">
        <v>297</v>
      </c>
      <c r="K1838">
        <v>2104</v>
      </c>
      <c r="L1838" t="s">
        <v>276</v>
      </c>
      <c r="M1838" t="s">
        <v>631</v>
      </c>
      <c r="N1838" t="s">
        <v>276</v>
      </c>
      <c r="P1838" t="s">
        <v>260</v>
      </c>
      <c r="Q1838" t="s">
        <v>260</v>
      </c>
      <c r="R1838" t="s">
        <v>261</v>
      </c>
      <c r="S1838" t="s">
        <v>21</v>
      </c>
      <c r="T1838">
        <v>100</v>
      </c>
      <c r="W1838" t="s">
        <v>262</v>
      </c>
      <c r="X1838">
        <v>-37.008299999999998</v>
      </c>
      <c r="Y1838">
        <v>174.87049999999999</v>
      </c>
    </row>
    <row r="1839" spans="1:25" x14ac:dyDescent="0.3">
      <c r="A1839" t="s">
        <v>21</v>
      </c>
      <c r="B1839" t="s">
        <v>5071</v>
      </c>
      <c r="C1839" t="s">
        <v>270</v>
      </c>
      <c r="D1839" t="s">
        <v>5072</v>
      </c>
      <c r="E1839">
        <v>55478</v>
      </c>
      <c r="H1839" t="s">
        <v>2433</v>
      </c>
      <c r="I1839" t="s">
        <v>1343</v>
      </c>
      <c r="J1839" t="s">
        <v>297</v>
      </c>
      <c r="K1839">
        <v>2104</v>
      </c>
      <c r="L1839" t="s">
        <v>276</v>
      </c>
      <c r="M1839" t="s">
        <v>631</v>
      </c>
      <c r="N1839" t="s">
        <v>276</v>
      </c>
      <c r="P1839" t="s">
        <v>260</v>
      </c>
      <c r="Q1839" t="s">
        <v>260</v>
      </c>
      <c r="R1839" t="s">
        <v>261</v>
      </c>
      <c r="S1839" t="s">
        <v>21</v>
      </c>
      <c r="T1839">
        <v>100</v>
      </c>
      <c r="W1839" t="s">
        <v>262</v>
      </c>
      <c r="X1839">
        <v>-37.008299999999998</v>
      </c>
      <c r="Y1839">
        <v>174.87049999999999</v>
      </c>
    </row>
    <row r="1840" spans="1:25" x14ac:dyDescent="0.3">
      <c r="A1840" t="s">
        <v>21</v>
      </c>
      <c r="B1840" t="s">
        <v>5073</v>
      </c>
      <c r="C1840" t="s">
        <v>270</v>
      </c>
      <c r="D1840" t="s">
        <v>5074</v>
      </c>
      <c r="E1840">
        <v>55477</v>
      </c>
      <c r="H1840" t="s">
        <v>2433</v>
      </c>
      <c r="I1840" t="s">
        <v>1343</v>
      </c>
      <c r="J1840" t="s">
        <v>297</v>
      </c>
      <c r="K1840">
        <v>2104</v>
      </c>
      <c r="L1840" t="s">
        <v>276</v>
      </c>
      <c r="M1840" t="s">
        <v>631</v>
      </c>
      <c r="N1840" t="s">
        <v>276</v>
      </c>
      <c r="P1840" t="s">
        <v>260</v>
      </c>
      <c r="Q1840" t="s">
        <v>260</v>
      </c>
      <c r="R1840" t="s">
        <v>261</v>
      </c>
      <c r="S1840" t="s">
        <v>21</v>
      </c>
      <c r="T1840">
        <v>100</v>
      </c>
      <c r="W1840" t="s">
        <v>262</v>
      </c>
      <c r="X1840">
        <v>-37.008299999999998</v>
      </c>
      <c r="Y1840">
        <v>174.87049999999999</v>
      </c>
    </row>
    <row r="1841" spans="1:25" x14ac:dyDescent="0.3">
      <c r="A1841" t="s">
        <v>21</v>
      </c>
      <c r="B1841" t="s">
        <v>5075</v>
      </c>
      <c r="C1841" t="s">
        <v>270</v>
      </c>
      <c r="D1841" t="s">
        <v>2047</v>
      </c>
      <c r="E1841">
        <v>55887</v>
      </c>
      <c r="H1841" t="s">
        <v>2433</v>
      </c>
      <c r="I1841" t="s">
        <v>1343</v>
      </c>
      <c r="J1841" t="s">
        <v>297</v>
      </c>
      <c r="K1841">
        <v>2104</v>
      </c>
      <c r="L1841" t="s">
        <v>276</v>
      </c>
      <c r="M1841" t="s">
        <v>631</v>
      </c>
      <c r="N1841" t="s">
        <v>276</v>
      </c>
      <c r="P1841" t="s">
        <v>260</v>
      </c>
      <c r="Q1841" t="s">
        <v>260</v>
      </c>
      <c r="R1841" t="s">
        <v>261</v>
      </c>
      <c r="S1841" t="s">
        <v>21</v>
      </c>
      <c r="T1841">
        <v>100</v>
      </c>
      <c r="W1841" t="s">
        <v>262</v>
      </c>
      <c r="X1841">
        <v>-37.008299999999998</v>
      </c>
      <c r="Y1841">
        <v>174.87049999999999</v>
      </c>
    </row>
    <row r="1842" spans="1:25" x14ac:dyDescent="0.3">
      <c r="A1842" t="s">
        <v>21</v>
      </c>
      <c r="B1842" t="s">
        <v>5076</v>
      </c>
      <c r="C1842" t="s">
        <v>270</v>
      </c>
      <c r="D1842" t="s">
        <v>5077</v>
      </c>
      <c r="E1842">
        <v>55813</v>
      </c>
      <c r="H1842" t="s">
        <v>2433</v>
      </c>
      <c r="I1842" t="s">
        <v>1343</v>
      </c>
      <c r="J1842" t="s">
        <v>297</v>
      </c>
      <c r="K1842">
        <v>2104</v>
      </c>
      <c r="L1842" t="s">
        <v>276</v>
      </c>
      <c r="M1842" t="s">
        <v>631</v>
      </c>
      <c r="N1842" t="s">
        <v>276</v>
      </c>
      <c r="P1842" t="s">
        <v>260</v>
      </c>
      <c r="Q1842" t="s">
        <v>260</v>
      </c>
      <c r="R1842" t="s">
        <v>261</v>
      </c>
      <c r="S1842" t="s">
        <v>21</v>
      </c>
      <c r="T1842">
        <v>100</v>
      </c>
      <c r="W1842" t="s">
        <v>262</v>
      </c>
      <c r="X1842">
        <v>-37.008299999999998</v>
      </c>
      <c r="Y1842">
        <v>174.87049999999999</v>
      </c>
    </row>
    <row r="1843" spans="1:25" x14ac:dyDescent="0.3">
      <c r="A1843" t="s">
        <v>21</v>
      </c>
      <c r="B1843" t="s">
        <v>5078</v>
      </c>
      <c r="C1843" t="s">
        <v>270</v>
      </c>
      <c r="D1843" t="s">
        <v>5079</v>
      </c>
      <c r="E1843">
        <v>55839</v>
      </c>
      <c r="H1843" t="s">
        <v>2433</v>
      </c>
      <c r="I1843" t="s">
        <v>1343</v>
      </c>
      <c r="J1843" t="s">
        <v>297</v>
      </c>
      <c r="K1843">
        <v>2104</v>
      </c>
      <c r="L1843" t="s">
        <v>276</v>
      </c>
      <c r="M1843" t="s">
        <v>631</v>
      </c>
      <c r="N1843" t="s">
        <v>276</v>
      </c>
      <c r="P1843" t="s">
        <v>260</v>
      </c>
      <c r="Q1843" t="s">
        <v>260</v>
      </c>
      <c r="R1843" t="s">
        <v>261</v>
      </c>
      <c r="S1843" t="s">
        <v>21</v>
      </c>
      <c r="T1843">
        <v>100</v>
      </c>
      <c r="W1843" t="s">
        <v>262</v>
      </c>
      <c r="X1843">
        <v>-37.008299999999998</v>
      </c>
      <c r="Y1843">
        <v>174.87049999999999</v>
      </c>
    </row>
    <row r="1844" spans="1:25" x14ac:dyDescent="0.3">
      <c r="A1844" t="s">
        <v>21</v>
      </c>
      <c r="B1844" t="s">
        <v>5080</v>
      </c>
      <c r="C1844" t="s">
        <v>270</v>
      </c>
      <c r="D1844" t="s">
        <v>5081</v>
      </c>
      <c r="E1844">
        <v>54817</v>
      </c>
      <c r="H1844" t="s">
        <v>2433</v>
      </c>
      <c r="I1844" t="s">
        <v>1343</v>
      </c>
      <c r="J1844" t="s">
        <v>297</v>
      </c>
      <c r="K1844">
        <v>2104</v>
      </c>
      <c r="L1844" t="s">
        <v>276</v>
      </c>
      <c r="M1844" t="s">
        <v>631</v>
      </c>
      <c r="N1844" t="s">
        <v>276</v>
      </c>
      <c r="P1844" t="s">
        <v>260</v>
      </c>
      <c r="Q1844" t="s">
        <v>260</v>
      </c>
      <c r="R1844" t="s">
        <v>261</v>
      </c>
      <c r="S1844" t="s">
        <v>21</v>
      </c>
      <c r="T1844">
        <v>100</v>
      </c>
      <c r="W1844" t="s">
        <v>262</v>
      </c>
      <c r="X1844">
        <v>-37.008299999999998</v>
      </c>
      <c r="Y1844">
        <v>174.87049999999999</v>
      </c>
    </row>
    <row r="1845" spans="1:25" x14ac:dyDescent="0.3">
      <c r="A1845" t="s">
        <v>21</v>
      </c>
      <c r="B1845" t="s">
        <v>5082</v>
      </c>
      <c r="C1845" t="s">
        <v>270</v>
      </c>
      <c r="D1845" t="s">
        <v>5083</v>
      </c>
      <c r="E1845">
        <v>55896</v>
      </c>
      <c r="H1845" t="s">
        <v>2433</v>
      </c>
      <c r="I1845" t="s">
        <v>1343</v>
      </c>
      <c r="J1845" t="s">
        <v>297</v>
      </c>
      <c r="K1845">
        <v>2104</v>
      </c>
      <c r="L1845" t="s">
        <v>276</v>
      </c>
      <c r="M1845" t="s">
        <v>631</v>
      </c>
      <c r="N1845" t="s">
        <v>276</v>
      </c>
      <c r="P1845" t="s">
        <v>260</v>
      </c>
      <c r="Q1845" t="s">
        <v>260</v>
      </c>
      <c r="R1845" t="s">
        <v>261</v>
      </c>
      <c r="S1845" t="s">
        <v>21</v>
      </c>
      <c r="T1845">
        <v>100</v>
      </c>
      <c r="W1845" t="s">
        <v>262</v>
      </c>
      <c r="X1845">
        <v>-37.008299999999998</v>
      </c>
      <c r="Y1845">
        <v>174.87049999999999</v>
      </c>
    </row>
    <row r="1846" spans="1:25" x14ac:dyDescent="0.3">
      <c r="A1846" t="s">
        <v>21</v>
      </c>
      <c r="B1846" t="s">
        <v>5084</v>
      </c>
      <c r="C1846" t="s">
        <v>270</v>
      </c>
      <c r="D1846" t="s">
        <v>1971</v>
      </c>
      <c r="E1846">
        <v>55892</v>
      </c>
      <c r="H1846" t="s">
        <v>2433</v>
      </c>
      <c r="I1846" t="s">
        <v>1343</v>
      </c>
      <c r="J1846" t="s">
        <v>297</v>
      </c>
      <c r="K1846">
        <v>2104</v>
      </c>
      <c r="L1846" t="s">
        <v>276</v>
      </c>
      <c r="M1846" t="s">
        <v>631</v>
      </c>
      <c r="N1846" t="s">
        <v>276</v>
      </c>
      <c r="P1846" t="s">
        <v>260</v>
      </c>
      <c r="Q1846" t="s">
        <v>260</v>
      </c>
      <c r="R1846" t="s">
        <v>261</v>
      </c>
      <c r="S1846" t="s">
        <v>21</v>
      </c>
      <c r="T1846">
        <v>100</v>
      </c>
      <c r="W1846" t="s">
        <v>262</v>
      </c>
      <c r="X1846">
        <v>-37.008299999999998</v>
      </c>
      <c r="Y1846">
        <v>174.87049999999999</v>
      </c>
    </row>
    <row r="1847" spans="1:25" x14ac:dyDescent="0.3">
      <c r="A1847" t="s">
        <v>21</v>
      </c>
      <c r="B1847" t="s">
        <v>5085</v>
      </c>
      <c r="C1847" t="s">
        <v>270</v>
      </c>
      <c r="D1847" t="s">
        <v>5086</v>
      </c>
      <c r="E1847">
        <v>55838</v>
      </c>
      <c r="H1847" t="s">
        <v>2433</v>
      </c>
      <c r="I1847" t="s">
        <v>1343</v>
      </c>
      <c r="J1847" t="s">
        <v>297</v>
      </c>
      <c r="K1847">
        <v>2104</v>
      </c>
      <c r="L1847" t="s">
        <v>276</v>
      </c>
      <c r="M1847" t="s">
        <v>631</v>
      </c>
      <c r="N1847" t="s">
        <v>276</v>
      </c>
      <c r="P1847" t="s">
        <v>260</v>
      </c>
      <c r="Q1847" t="s">
        <v>260</v>
      </c>
      <c r="R1847" t="s">
        <v>261</v>
      </c>
      <c r="S1847" t="s">
        <v>21</v>
      </c>
      <c r="T1847">
        <v>100</v>
      </c>
      <c r="W1847" t="s">
        <v>262</v>
      </c>
      <c r="X1847">
        <v>-37.008299999999998</v>
      </c>
      <c r="Y1847">
        <v>174.87049999999999</v>
      </c>
    </row>
    <row r="1848" spans="1:25" x14ac:dyDescent="0.3">
      <c r="A1848" t="s">
        <v>21</v>
      </c>
      <c r="B1848" t="s">
        <v>5087</v>
      </c>
      <c r="C1848" t="s">
        <v>270</v>
      </c>
      <c r="D1848" t="s">
        <v>1960</v>
      </c>
      <c r="E1848">
        <v>55863</v>
      </c>
      <c r="H1848" t="s">
        <v>2433</v>
      </c>
      <c r="I1848" t="s">
        <v>1343</v>
      </c>
      <c r="J1848" t="s">
        <v>297</v>
      </c>
      <c r="K1848">
        <v>2104</v>
      </c>
      <c r="L1848" t="s">
        <v>276</v>
      </c>
      <c r="M1848" t="s">
        <v>631</v>
      </c>
      <c r="N1848" t="s">
        <v>276</v>
      </c>
      <c r="P1848" t="s">
        <v>260</v>
      </c>
      <c r="Q1848" t="s">
        <v>260</v>
      </c>
      <c r="R1848" t="s">
        <v>261</v>
      </c>
      <c r="S1848" t="s">
        <v>21</v>
      </c>
      <c r="T1848">
        <v>100</v>
      </c>
      <c r="W1848" t="s">
        <v>262</v>
      </c>
      <c r="X1848">
        <v>-37.008299999999998</v>
      </c>
      <c r="Y1848">
        <v>174.87049999999999</v>
      </c>
    </row>
    <row r="1849" spans="1:25" x14ac:dyDescent="0.3">
      <c r="A1849" t="s">
        <v>21</v>
      </c>
      <c r="B1849" t="s">
        <v>5088</v>
      </c>
      <c r="C1849" t="s">
        <v>270</v>
      </c>
      <c r="D1849" t="s">
        <v>5089</v>
      </c>
      <c r="E1849">
        <v>55817</v>
      </c>
      <c r="H1849" t="s">
        <v>2433</v>
      </c>
      <c r="I1849" t="s">
        <v>1343</v>
      </c>
      <c r="J1849" t="s">
        <v>297</v>
      </c>
      <c r="K1849">
        <v>2104</v>
      </c>
      <c r="L1849" t="s">
        <v>276</v>
      </c>
      <c r="M1849" t="s">
        <v>631</v>
      </c>
      <c r="N1849" t="s">
        <v>276</v>
      </c>
      <c r="P1849" t="s">
        <v>260</v>
      </c>
      <c r="Q1849" t="s">
        <v>260</v>
      </c>
      <c r="R1849" t="s">
        <v>261</v>
      </c>
      <c r="S1849" t="s">
        <v>21</v>
      </c>
      <c r="T1849">
        <v>100</v>
      </c>
      <c r="W1849" t="s">
        <v>262</v>
      </c>
      <c r="X1849">
        <v>-37.008299999999998</v>
      </c>
      <c r="Y1849">
        <v>174.87049999999999</v>
      </c>
    </row>
    <row r="1850" spans="1:25" x14ac:dyDescent="0.3">
      <c r="A1850" t="s">
        <v>21</v>
      </c>
      <c r="B1850" t="s">
        <v>5090</v>
      </c>
      <c r="C1850" t="s">
        <v>270</v>
      </c>
      <c r="D1850" t="s">
        <v>2079</v>
      </c>
      <c r="E1850">
        <v>55885</v>
      </c>
      <c r="H1850" t="s">
        <v>2433</v>
      </c>
      <c r="I1850" t="s">
        <v>1343</v>
      </c>
      <c r="J1850" t="s">
        <v>297</v>
      </c>
      <c r="K1850">
        <v>2104</v>
      </c>
      <c r="L1850" t="s">
        <v>276</v>
      </c>
      <c r="M1850" t="s">
        <v>631</v>
      </c>
      <c r="N1850" t="s">
        <v>276</v>
      </c>
      <c r="P1850" t="s">
        <v>260</v>
      </c>
      <c r="Q1850" t="s">
        <v>260</v>
      </c>
      <c r="R1850" t="s">
        <v>261</v>
      </c>
      <c r="S1850" t="s">
        <v>21</v>
      </c>
      <c r="T1850">
        <v>100</v>
      </c>
      <c r="W1850" t="s">
        <v>262</v>
      </c>
      <c r="X1850">
        <v>-37.008299999999998</v>
      </c>
      <c r="Y1850">
        <v>174.87049999999999</v>
      </c>
    </row>
    <row r="1851" spans="1:25" x14ac:dyDescent="0.3">
      <c r="A1851" t="s">
        <v>21</v>
      </c>
      <c r="B1851" t="s">
        <v>5091</v>
      </c>
      <c r="C1851" t="s">
        <v>270</v>
      </c>
      <c r="D1851" t="s">
        <v>5092</v>
      </c>
      <c r="E1851">
        <v>54876</v>
      </c>
      <c r="M1851" t="s">
        <v>352</v>
      </c>
      <c r="N1851" t="s">
        <v>276</v>
      </c>
      <c r="P1851" t="s">
        <v>260</v>
      </c>
      <c r="Q1851" t="s">
        <v>260</v>
      </c>
      <c r="R1851" t="s">
        <v>261</v>
      </c>
      <c r="S1851" t="s">
        <v>21</v>
      </c>
      <c r="T1851">
        <v>100</v>
      </c>
      <c r="W1851" t="s">
        <v>262</v>
      </c>
    </row>
    <row r="1852" spans="1:25" x14ac:dyDescent="0.3">
      <c r="A1852" t="s">
        <v>21</v>
      </c>
      <c r="B1852" t="s">
        <v>5093</v>
      </c>
      <c r="C1852" t="s">
        <v>270</v>
      </c>
      <c r="D1852" t="s">
        <v>5094</v>
      </c>
      <c r="E1852">
        <v>55819</v>
      </c>
      <c r="H1852" t="s">
        <v>2433</v>
      </c>
      <c r="I1852" t="s">
        <v>1343</v>
      </c>
      <c r="J1852" t="s">
        <v>297</v>
      </c>
      <c r="K1852">
        <v>2104</v>
      </c>
      <c r="L1852" t="s">
        <v>276</v>
      </c>
      <c r="M1852" t="s">
        <v>631</v>
      </c>
      <c r="N1852" t="s">
        <v>276</v>
      </c>
      <c r="P1852" t="s">
        <v>260</v>
      </c>
      <c r="Q1852" t="s">
        <v>260</v>
      </c>
      <c r="R1852" t="s">
        <v>261</v>
      </c>
      <c r="S1852" t="s">
        <v>21</v>
      </c>
      <c r="T1852">
        <v>100</v>
      </c>
      <c r="W1852" t="s">
        <v>262</v>
      </c>
      <c r="X1852">
        <v>-37.008299999999998</v>
      </c>
      <c r="Y1852">
        <v>174.87049999999999</v>
      </c>
    </row>
    <row r="1853" spans="1:25" x14ac:dyDescent="0.3">
      <c r="A1853" t="s">
        <v>21</v>
      </c>
      <c r="B1853" t="s">
        <v>5095</v>
      </c>
      <c r="C1853" t="s">
        <v>270</v>
      </c>
      <c r="D1853" t="s">
        <v>5096</v>
      </c>
      <c r="E1853">
        <v>55827</v>
      </c>
      <c r="H1853" t="s">
        <v>2433</v>
      </c>
      <c r="I1853" t="s">
        <v>1343</v>
      </c>
      <c r="J1853" t="s">
        <v>297</v>
      </c>
      <c r="K1853">
        <v>2104</v>
      </c>
      <c r="L1853" t="s">
        <v>276</v>
      </c>
      <c r="M1853" t="s">
        <v>631</v>
      </c>
      <c r="N1853" t="s">
        <v>276</v>
      </c>
      <c r="P1853" t="s">
        <v>260</v>
      </c>
      <c r="Q1853" t="s">
        <v>260</v>
      </c>
      <c r="R1853" t="s">
        <v>261</v>
      </c>
      <c r="S1853" t="s">
        <v>21</v>
      </c>
      <c r="T1853">
        <v>100</v>
      </c>
      <c r="W1853" t="s">
        <v>262</v>
      </c>
      <c r="X1853">
        <v>-37.008299999999998</v>
      </c>
      <c r="Y1853">
        <v>174.87049999999999</v>
      </c>
    </row>
    <row r="1854" spans="1:25" x14ac:dyDescent="0.3">
      <c r="A1854" t="s">
        <v>21</v>
      </c>
      <c r="B1854" t="s">
        <v>5097</v>
      </c>
      <c r="C1854" t="s">
        <v>270</v>
      </c>
      <c r="D1854" t="s">
        <v>5098</v>
      </c>
      <c r="E1854">
        <v>55487</v>
      </c>
      <c r="H1854" t="s">
        <v>2433</v>
      </c>
      <c r="I1854" t="s">
        <v>1343</v>
      </c>
      <c r="J1854" t="s">
        <v>297</v>
      </c>
      <c r="K1854">
        <v>2104</v>
      </c>
      <c r="L1854" t="s">
        <v>276</v>
      </c>
      <c r="M1854" t="s">
        <v>631</v>
      </c>
      <c r="N1854" t="s">
        <v>276</v>
      </c>
      <c r="P1854" t="s">
        <v>260</v>
      </c>
      <c r="Q1854" t="s">
        <v>260</v>
      </c>
      <c r="R1854" t="s">
        <v>261</v>
      </c>
      <c r="S1854" t="s">
        <v>21</v>
      </c>
      <c r="T1854">
        <v>100</v>
      </c>
      <c r="W1854" t="s">
        <v>262</v>
      </c>
      <c r="X1854">
        <v>-37.008299999999998</v>
      </c>
      <c r="Y1854">
        <v>174.87049999999999</v>
      </c>
    </row>
    <row r="1855" spans="1:25" x14ac:dyDescent="0.3">
      <c r="A1855" t="s">
        <v>21</v>
      </c>
      <c r="B1855" t="s">
        <v>5099</v>
      </c>
      <c r="C1855" t="s">
        <v>270</v>
      </c>
      <c r="D1855" t="s">
        <v>5100</v>
      </c>
      <c r="E1855">
        <v>55476</v>
      </c>
      <c r="H1855" t="s">
        <v>2433</v>
      </c>
      <c r="I1855" t="s">
        <v>1343</v>
      </c>
      <c r="J1855" t="s">
        <v>297</v>
      </c>
      <c r="K1855">
        <v>2104</v>
      </c>
      <c r="L1855" t="s">
        <v>276</v>
      </c>
      <c r="M1855" t="s">
        <v>631</v>
      </c>
      <c r="N1855" t="s">
        <v>276</v>
      </c>
      <c r="P1855" t="s">
        <v>260</v>
      </c>
      <c r="Q1855" t="s">
        <v>260</v>
      </c>
      <c r="R1855" t="s">
        <v>261</v>
      </c>
      <c r="S1855" t="s">
        <v>21</v>
      </c>
      <c r="T1855">
        <v>100</v>
      </c>
      <c r="W1855" t="s">
        <v>262</v>
      </c>
      <c r="X1855">
        <v>-37.008299999999998</v>
      </c>
      <c r="Y1855">
        <v>174.87049999999999</v>
      </c>
    </row>
    <row r="1856" spans="1:25" x14ac:dyDescent="0.3">
      <c r="A1856" t="s">
        <v>21</v>
      </c>
      <c r="B1856" t="s">
        <v>5101</v>
      </c>
      <c r="C1856" t="s">
        <v>270</v>
      </c>
      <c r="D1856" t="s">
        <v>5102</v>
      </c>
      <c r="E1856">
        <v>55898</v>
      </c>
      <c r="H1856" t="s">
        <v>2433</v>
      </c>
      <c r="I1856" t="s">
        <v>1343</v>
      </c>
      <c r="J1856" t="s">
        <v>297</v>
      </c>
      <c r="K1856">
        <v>2104</v>
      </c>
      <c r="L1856" t="s">
        <v>276</v>
      </c>
      <c r="M1856" t="s">
        <v>631</v>
      </c>
      <c r="N1856" t="s">
        <v>276</v>
      </c>
      <c r="P1856" t="s">
        <v>260</v>
      </c>
      <c r="Q1856" t="s">
        <v>260</v>
      </c>
      <c r="R1856" t="s">
        <v>261</v>
      </c>
      <c r="S1856" t="s">
        <v>21</v>
      </c>
      <c r="T1856">
        <v>100</v>
      </c>
      <c r="W1856" t="s">
        <v>262</v>
      </c>
      <c r="X1856">
        <v>-37.008299999999998</v>
      </c>
      <c r="Y1856">
        <v>174.87049999999999</v>
      </c>
    </row>
    <row r="1857" spans="1:25" x14ac:dyDescent="0.3">
      <c r="A1857" t="s">
        <v>21</v>
      </c>
      <c r="B1857" t="s">
        <v>5103</v>
      </c>
      <c r="C1857" t="s">
        <v>270</v>
      </c>
      <c r="D1857" t="s">
        <v>5104</v>
      </c>
      <c r="E1857">
        <v>55862</v>
      </c>
      <c r="H1857" t="s">
        <v>2433</v>
      </c>
      <c r="I1857" t="s">
        <v>1343</v>
      </c>
      <c r="J1857" t="s">
        <v>297</v>
      </c>
      <c r="K1857">
        <v>2104</v>
      </c>
      <c r="L1857" t="s">
        <v>276</v>
      </c>
      <c r="M1857" t="s">
        <v>631</v>
      </c>
      <c r="N1857" t="s">
        <v>276</v>
      </c>
      <c r="P1857" t="s">
        <v>260</v>
      </c>
      <c r="Q1857" t="s">
        <v>260</v>
      </c>
      <c r="R1857" t="s">
        <v>261</v>
      </c>
      <c r="S1857" t="s">
        <v>21</v>
      </c>
      <c r="T1857">
        <v>100</v>
      </c>
      <c r="W1857" t="s">
        <v>262</v>
      </c>
      <c r="X1857">
        <v>-37.008299999999998</v>
      </c>
      <c r="Y1857">
        <v>174.87049999999999</v>
      </c>
    </row>
    <row r="1858" spans="1:25" x14ac:dyDescent="0.3">
      <c r="A1858" t="s">
        <v>21</v>
      </c>
      <c r="B1858" t="s">
        <v>5105</v>
      </c>
      <c r="C1858" t="s">
        <v>270</v>
      </c>
      <c r="D1858" t="s">
        <v>1973</v>
      </c>
      <c r="E1858">
        <v>55895</v>
      </c>
      <c r="H1858" t="s">
        <v>2433</v>
      </c>
      <c r="I1858" t="s">
        <v>1343</v>
      </c>
      <c r="J1858" t="s">
        <v>297</v>
      </c>
      <c r="K1858">
        <v>2104</v>
      </c>
      <c r="L1858" t="s">
        <v>276</v>
      </c>
      <c r="M1858" t="s">
        <v>631</v>
      </c>
      <c r="N1858" t="s">
        <v>276</v>
      </c>
      <c r="P1858" t="s">
        <v>260</v>
      </c>
      <c r="Q1858" t="s">
        <v>260</v>
      </c>
      <c r="R1858" t="s">
        <v>261</v>
      </c>
      <c r="S1858" t="s">
        <v>21</v>
      </c>
      <c r="T1858">
        <v>100</v>
      </c>
      <c r="W1858" t="s">
        <v>262</v>
      </c>
      <c r="X1858">
        <v>-37.008299999999998</v>
      </c>
      <c r="Y1858">
        <v>174.87049999999999</v>
      </c>
    </row>
    <row r="1859" spans="1:25" x14ac:dyDescent="0.3">
      <c r="A1859" t="s">
        <v>21</v>
      </c>
      <c r="B1859" t="s">
        <v>5106</v>
      </c>
      <c r="C1859" t="s">
        <v>270</v>
      </c>
      <c r="D1859" t="s">
        <v>5107</v>
      </c>
      <c r="E1859">
        <v>55860</v>
      </c>
      <c r="H1859" t="s">
        <v>2433</v>
      </c>
      <c r="I1859" t="s">
        <v>1343</v>
      </c>
      <c r="J1859" t="s">
        <v>297</v>
      </c>
      <c r="K1859">
        <v>2104</v>
      </c>
      <c r="L1859" t="s">
        <v>276</v>
      </c>
      <c r="M1859" t="s">
        <v>631</v>
      </c>
      <c r="N1859" t="s">
        <v>276</v>
      </c>
      <c r="P1859" t="s">
        <v>260</v>
      </c>
      <c r="Q1859" t="s">
        <v>260</v>
      </c>
      <c r="R1859" t="s">
        <v>261</v>
      </c>
      <c r="S1859" t="s">
        <v>21</v>
      </c>
      <c r="T1859">
        <v>100</v>
      </c>
      <c r="W1859" t="s">
        <v>262</v>
      </c>
      <c r="X1859">
        <v>-37.008299999999998</v>
      </c>
      <c r="Y1859">
        <v>174.87049999999999</v>
      </c>
    </row>
    <row r="1860" spans="1:25" x14ac:dyDescent="0.3">
      <c r="A1860" t="s">
        <v>21</v>
      </c>
      <c r="B1860" t="s">
        <v>5108</v>
      </c>
      <c r="C1860" t="s">
        <v>270</v>
      </c>
      <c r="D1860" t="s">
        <v>5109</v>
      </c>
      <c r="E1860">
        <v>55894</v>
      </c>
      <c r="M1860" t="s">
        <v>297</v>
      </c>
      <c r="N1860" t="s">
        <v>276</v>
      </c>
      <c r="P1860" t="s">
        <v>260</v>
      </c>
      <c r="Q1860" t="s">
        <v>260</v>
      </c>
      <c r="R1860" t="s">
        <v>261</v>
      </c>
      <c r="S1860" t="s">
        <v>21</v>
      </c>
      <c r="T1860">
        <v>100</v>
      </c>
      <c r="W1860" t="s">
        <v>262</v>
      </c>
    </row>
    <row r="1861" spans="1:25" x14ac:dyDescent="0.3">
      <c r="A1861" t="s">
        <v>21</v>
      </c>
      <c r="B1861" t="s">
        <v>5110</v>
      </c>
      <c r="C1861" t="s">
        <v>270</v>
      </c>
      <c r="D1861" t="s">
        <v>1965</v>
      </c>
      <c r="E1861">
        <v>55833</v>
      </c>
      <c r="H1861" t="s">
        <v>2433</v>
      </c>
      <c r="I1861" t="s">
        <v>1343</v>
      </c>
      <c r="J1861" t="s">
        <v>297</v>
      </c>
      <c r="K1861">
        <v>2104</v>
      </c>
      <c r="L1861" t="s">
        <v>276</v>
      </c>
      <c r="M1861" t="s">
        <v>631</v>
      </c>
      <c r="N1861" t="s">
        <v>276</v>
      </c>
      <c r="P1861" t="s">
        <v>260</v>
      </c>
      <c r="Q1861" t="s">
        <v>260</v>
      </c>
      <c r="R1861" t="s">
        <v>261</v>
      </c>
      <c r="S1861" t="s">
        <v>21</v>
      </c>
      <c r="T1861">
        <v>100</v>
      </c>
      <c r="W1861" t="s">
        <v>262</v>
      </c>
      <c r="X1861">
        <v>-37.008299999999998</v>
      </c>
      <c r="Y1861">
        <v>174.87049999999999</v>
      </c>
    </row>
    <row r="1862" spans="1:25" x14ac:dyDescent="0.3">
      <c r="A1862" t="s">
        <v>21</v>
      </c>
      <c r="B1862" t="s">
        <v>5111</v>
      </c>
      <c r="C1862" t="s">
        <v>270</v>
      </c>
      <c r="D1862" t="s">
        <v>5112</v>
      </c>
      <c r="E1862">
        <v>55206</v>
      </c>
      <c r="M1862" t="s">
        <v>631</v>
      </c>
      <c r="N1862" t="s">
        <v>276</v>
      </c>
      <c r="P1862" t="s">
        <v>260</v>
      </c>
      <c r="Q1862" t="s">
        <v>260</v>
      </c>
      <c r="R1862" t="s">
        <v>261</v>
      </c>
      <c r="S1862" t="s">
        <v>21</v>
      </c>
      <c r="T1862">
        <v>100</v>
      </c>
      <c r="W1862" t="s">
        <v>262</v>
      </c>
    </row>
    <row r="1863" spans="1:25" x14ac:dyDescent="0.3">
      <c r="A1863" t="s">
        <v>21</v>
      </c>
      <c r="B1863" t="s">
        <v>5113</v>
      </c>
      <c r="C1863" t="s">
        <v>270</v>
      </c>
      <c r="D1863" t="s">
        <v>5114</v>
      </c>
      <c r="E1863">
        <v>55865</v>
      </c>
      <c r="H1863" t="s">
        <v>2433</v>
      </c>
      <c r="I1863" t="s">
        <v>1343</v>
      </c>
      <c r="J1863" t="s">
        <v>297</v>
      </c>
      <c r="K1863">
        <v>2104</v>
      </c>
      <c r="L1863" t="s">
        <v>276</v>
      </c>
      <c r="M1863" t="s">
        <v>631</v>
      </c>
      <c r="N1863" t="s">
        <v>276</v>
      </c>
      <c r="P1863" t="s">
        <v>260</v>
      </c>
      <c r="Q1863" t="s">
        <v>260</v>
      </c>
      <c r="R1863" t="s">
        <v>261</v>
      </c>
      <c r="S1863" t="s">
        <v>21</v>
      </c>
      <c r="T1863">
        <v>100</v>
      </c>
      <c r="W1863" t="s">
        <v>262</v>
      </c>
      <c r="X1863">
        <v>-37.008299999999998</v>
      </c>
      <c r="Y1863">
        <v>174.87049999999999</v>
      </c>
    </row>
    <row r="1864" spans="1:25" x14ac:dyDescent="0.3">
      <c r="A1864" t="s">
        <v>21</v>
      </c>
      <c r="B1864" t="s">
        <v>5115</v>
      </c>
      <c r="C1864" t="s">
        <v>539</v>
      </c>
      <c r="D1864" t="s">
        <v>4815</v>
      </c>
      <c r="E1864">
        <v>54841</v>
      </c>
      <c r="M1864" t="s">
        <v>403</v>
      </c>
      <c r="N1864" t="s">
        <v>276</v>
      </c>
      <c r="P1864" t="s">
        <v>260</v>
      </c>
      <c r="Q1864" t="s">
        <v>260</v>
      </c>
      <c r="R1864" t="s">
        <v>261</v>
      </c>
      <c r="S1864" t="s">
        <v>21</v>
      </c>
      <c r="T1864">
        <v>100</v>
      </c>
      <c r="W1864" t="s">
        <v>262</v>
      </c>
    </row>
    <row r="1865" spans="1:25" x14ac:dyDescent="0.3">
      <c r="A1865" t="s">
        <v>21</v>
      </c>
      <c r="B1865" t="s">
        <v>5116</v>
      </c>
      <c r="C1865" t="s">
        <v>270</v>
      </c>
      <c r="D1865" t="s">
        <v>5117</v>
      </c>
      <c r="E1865">
        <v>55882</v>
      </c>
      <c r="H1865" t="s">
        <v>2433</v>
      </c>
      <c r="I1865" t="s">
        <v>1343</v>
      </c>
      <c r="J1865" t="s">
        <v>297</v>
      </c>
      <c r="K1865">
        <v>2104</v>
      </c>
      <c r="L1865" t="s">
        <v>276</v>
      </c>
      <c r="M1865" t="s">
        <v>631</v>
      </c>
      <c r="N1865" t="s">
        <v>276</v>
      </c>
      <c r="P1865" t="s">
        <v>260</v>
      </c>
      <c r="Q1865" t="s">
        <v>260</v>
      </c>
      <c r="R1865" t="s">
        <v>261</v>
      </c>
      <c r="S1865" t="s">
        <v>21</v>
      </c>
      <c r="T1865">
        <v>100</v>
      </c>
      <c r="W1865" t="s">
        <v>262</v>
      </c>
      <c r="X1865">
        <v>-37.008299999999998</v>
      </c>
      <c r="Y1865">
        <v>174.87049999999999</v>
      </c>
    </row>
    <row r="1866" spans="1:25" x14ac:dyDescent="0.3">
      <c r="A1866" t="s">
        <v>21</v>
      </c>
      <c r="B1866" t="s">
        <v>5118</v>
      </c>
      <c r="C1866" t="s">
        <v>270</v>
      </c>
      <c r="D1866" t="s">
        <v>5119</v>
      </c>
      <c r="E1866">
        <v>55889</v>
      </c>
      <c r="H1866" t="s">
        <v>2433</v>
      </c>
      <c r="I1866" t="s">
        <v>1343</v>
      </c>
      <c r="J1866" t="s">
        <v>297</v>
      </c>
      <c r="K1866">
        <v>2104</v>
      </c>
      <c r="L1866" t="s">
        <v>276</v>
      </c>
      <c r="M1866" t="s">
        <v>631</v>
      </c>
      <c r="N1866" t="s">
        <v>276</v>
      </c>
      <c r="P1866" t="s">
        <v>260</v>
      </c>
      <c r="Q1866" t="s">
        <v>260</v>
      </c>
      <c r="R1866" t="s">
        <v>261</v>
      </c>
      <c r="S1866" t="s">
        <v>21</v>
      </c>
      <c r="T1866">
        <v>100</v>
      </c>
      <c r="W1866" t="s">
        <v>262</v>
      </c>
      <c r="X1866">
        <v>-37.008299999999998</v>
      </c>
      <c r="Y1866">
        <v>174.87049999999999</v>
      </c>
    </row>
    <row r="1867" spans="1:25" x14ac:dyDescent="0.3">
      <c r="A1867" t="s">
        <v>21</v>
      </c>
      <c r="B1867" t="s">
        <v>5120</v>
      </c>
      <c r="C1867" t="s">
        <v>270</v>
      </c>
      <c r="D1867" t="s">
        <v>5121</v>
      </c>
      <c r="E1867">
        <v>55499</v>
      </c>
      <c r="H1867" t="s">
        <v>2433</v>
      </c>
      <c r="I1867" t="s">
        <v>1343</v>
      </c>
      <c r="J1867" t="s">
        <v>297</v>
      </c>
      <c r="K1867">
        <v>2104</v>
      </c>
      <c r="L1867" t="s">
        <v>276</v>
      </c>
      <c r="M1867" t="s">
        <v>631</v>
      </c>
      <c r="N1867" t="s">
        <v>276</v>
      </c>
      <c r="P1867" t="s">
        <v>260</v>
      </c>
      <c r="Q1867" t="s">
        <v>260</v>
      </c>
      <c r="R1867" t="s">
        <v>261</v>
      </c>
      <c r="S1867" t="s">
        <v>21</v>
      </c>
      <c r="T1867">
        <v>100</v>
      </c>
      <c r="W1867" t="s">
        <v>262</v>
      </c>
      <c r="X1867">
        <v>-37.008299999999998</v>
      </c>
      <c r="Y1867">
        <v>174.87049999999999</v>
      </c>
    </row>
    <row r="1868" spans="1:25" x14ac:dyDescent="0.3">
      <c r="A1868" t="s">
        <v>21</v>
      </c>
      <c r="B1868" t="s">
        <v>5122</v>
      </c>
      <c r="C1868" t="s">
        <v>270</v>
      </c>
      <c r="D1868" t="s">
        <v>1995</v>
      </c>
      <c r="E1868">
        <v>55855</v>
      </c>
      <c r="H1868" t="s">
        <v>2433</v>
      </c>
      <c r="I1868" t="s">
        <v>1343</v>
      </c>
      <c r="J1868" t="s">
        <v>297</v>
      </c>
      <c r="K1868">
        <v>2104</v>
      </c>
      <c r="L1868" t="s">
        <v>276</v>
      </c>
      <c r="M1868" t="s">
        <v>631</v>
      </c>
      <c r="N1868" t="s">
        <v>276</v>
      </c>
      <c r="P1868" t="s">
        <v>260</v>
      </c>
      <c r="Q1868" t="s">
        <v>260</v>
      </c>
      <c r="R1868" t="s">
        <v>261</v>
      </c>
      <c r="S1868" t="s">
        <v>21</v>
      </c>
      <c r="T1868">
        <v>100</v>
      </c>
      <c r="W1868" t="s">
        <v>262</v>
      </c>
      <c r="X1868">
        <v>-37.008299999999998</v>
      </c>
      <c r="Y1868">
        <v>174.87049999999999</v>
      </c>
    </row>
    <row r="1869" spans="1:25" x14ac:dyDescent="0.3">
      <c r="A1869" t="s">
        <v>21</v>
      </c>
      <c r="B1869" t="s">
        <v>5123</v>
      </c>
      <c r="C1869" t="s">
        <v>270</v>
      </c>
      <c r="D1869" t="s">
        <v>2083</v>
      </c>
      <c r="E1869">
        <v>55866</v>
      </c>
      <c r="H1869" t="s">
        <v>2433</v>
      </c>
      <c r="I1869" t="s">
        <v>1343</v>
      </c>
      <c r="J1869" t="s">
        <v>297</v>
      </c>
      <c r="K1869">
        <v>2104</v>
      </c>
      <c r="L1869" t="s">
        <v>276</v>
      </c>
      <c r="M1869" t="s">
        <v>631</v>
      </c>
      <c r="N1869" t="s">
        <v>276</v>
      </c>
      <c r="P1869" t="s">
        <v>260</v>
      </c>
      <c r="Q1869" t="s">
        <v>260</v>
      </c>
      <c r="R1869" t="s">
        <v>261</v>
      </c>
      <c r="S1869" t="s">
        <v>21</v>
      </c>
      <c r="T1869">
        <v>100</v>
      </c>
      <c r="W1869" t="s">
        <v>262</v>
      </c>
      <c r="X1869">
        <v>-37.008299999999998</v>
      </c>
      <c r="Y1869">
        <v>174.87049999999999</v>
      </c>
    </row>
    <row r="1870" spans="1:25" x14ac:dyDescent="0.3">
      <c r="A1870" t="s">
        <v>21</v>
      </c>
      <c r="B1870" t="s">
        <v>5124</v>
      </c>
      <c r="C1870" t="s">
        <v>270</v>
      </c>
      <c r="D1870" t="s">
        <v>5125</v>
      </c>
      <c r="E1870">
        <v>55489</v>
      </c>
      <c r="H1870" t="s">
        <v>2433</v>
      </c>
      <c r="I1870" t="s">
        <v>1343</v>
      </c>
      <c r="J1870" t="s">
        <v>297</v>
      </c>
      <c r="K1870">
        <v>2104</v>
      </c>
      <c r="L1870" t="s">
        <v>276</v>
      </c>
      <c r="M1870" t="s">
        <v>631</v>
      </c>
      <c r="N1870" t="s">
        <v>276</v>
      </c>
      <c r="P1870" t="s">
        <v>260</v>
      </c>
      <c r="Q1870" t="s">
        <v>260</v>
      </c>
      <c r="R1870" t="s">
        <v>261</v>
      </c>
      <c r="S1870" t="s">
        <v>21</v>
      </c>
      <c r="T1870">
        <v>100</v>
      </c>
      <c r="W1870" t="s">
        <v>262</v>
      </c>
      <c r="X1870">
        <v>-37.008299999999998</v>
      </c>
      <c r="Y1870">
        <v>174.87049999999999</v>
      </c>
    </row>
    <row r="1871" spans="1:25" x14ac:dyDescent="0.3">
      <c r="A1871" t="s">
        <v>21</v>
      </c>
      <c r="B1871" t="s">
        <v>5126</v>
      </c>
      <c r="C1871" t="s">
        <v>270</v>
      </c>
      <c r="D1871" t="s">
        <v>5127</v>
      </c>
      <c r="E1871">
        <v>55824</v>
      </c>
      <c r="H1871" t="s">
        <v>2433</v>
      </c>
      <c r="I1871" t="s">
        <v>1343</v>
      </c>
      <c r="J1871" t="s">
        <v>297</v>
      </c>
      <c r="K1871">
        <v>2104</v>
      </c>
      <c r="L1871" t="s">
        <v>276</v>
      </c>
      <c r="M1871" t="s">
        <v>631</v>
      </c>
      <c r="N1871" t="s">
        <v>276</v>
      </c>
      <c r="P1871" t="s">
        <v>260</v>
      </c>
      <c r="Q1871" t="s">
        <v>260</v>
      </c>
      <c r="R1871" t="s">
        <v>261</v>
      </c>
      <c r="S1871" t="s">
        <v>21</v>
      </c>
      <c r="T1871">
        <v>100</v>
      </c>
      <c r="W1871" t="s">
        <v>262</v>
      </c>
      <c r="X1871">
        <v>-37.008299999999998</v>
      </c>
      <c r="Y1871">
        <v>174.87049999999999</v>
      </c>
    </row>
    <row r="1872" spans="1:25" x14ac:dyDescent="0.3">
      <c r="A1872" t="s">
        <v>21</v>
      </c>
      <c r="B1872" t="s">
        <v>5128</v>
      </c>
      <c r="C1872" t="s">
        <v>270</v>
      </c>
      <c r="D1872" t="s">
        <v>1991</v>
      </c>
      <c r="E1872">
        <v>55823</v>
      </c>
      <c r="H1872" t="s">
        <v>2433</v>
      </c>
      <c r="I1872" t="s">
        <v>1343</v>
      </c>
      <c r="J1872" t="s">
        <v>297</v>
      </c>
      <c r="K1872">
        <v>2104</v>
      </c>
      <c r="L1872" t="s">
        <v>276</v>
      </c>
      <c r="M1872" t="s">
        <v>631</v>
      </c>
      <c r="N1872" t="s">
        <v>276</v>
      </c>
      <c r="P1872" t="s">
        <v>260</v>
      </c>
      <c r="Q1872" t="s">
        <v>260</v>
      </c>
      <c r="R1872" t="s">
        <v>261</v>
      </c>
      <c r="S1872" t="s">
        <v>21</v>
      </c>
      <c r="T1872">
        <v>100</v>
      </c>
      <c r="W1872" t="s">
        <v>262</v>
      </c>
      <c r="X1872">
        <v>-37.008299999999998</v>
      </c>
      <c r="Y1872">
        <v>174.87049999999999</v>
      </c>
    </row>
    <row r="1873" spans="1:25" x14ac:dyDescent="0.3">
      <c r="A1873" t="s">
        <v>21</v>
      </c>
      <c r="B1873" t="s">
        <v>5129</v>
      </c>
      <c r="C1873" t="s">
        <v>270</v>
      </c>
      <c r="D1873" t="s">
        <v>1987</v>
      </c>
      <c r="E1873">
        <v>55812</v>
      </c>
      <c r="H1873" t="s">
        <v>2433</v>
      </c>
      <c r="I1873" t="s">
        <v>1343</v>
      </c>
      <c r="J1873" t="s">
        <v>297</v>
      </c>
      <c r="K1873">
        <v>2104</v>
      </c>
      <c r="L1873" t="s">
        <v>276</v>
      </c>
      <c r="M1873" t="s">
        <v>631</v>
      </c>
      <c r="N1873" t="s">
        <v>276</v>
      </c>
      <c r="P1873" t="s">
        <v>260</v>
      </c>
      <c r="Q1873" t="s">
        <v>260</v>
      </c>
      <c r="R1873" t="s">
        <v>261</v>
      </c>
      <c r="S1873" t="s">
        <v>21</v>
      </c>
      <c r="T1873">
        <v>100</v>
      </c>
      <c r="W1873" t="s">
        <v>262</v>
      </c>
      <c r="X1873">
        <v>-37.008299999999998</v>
      </c>
      <c r="Y1873">
        <v>174.87049999999999</v>
      </c>
    </row>
    <row r="1874" spans="1:25" x14ac:dyDescent="0.3">
      <c r="A1874" t="s">
        <v>21</v>
      </c>
      <c r="B1874" t="s">
        <v>5130</v>
      </c>
      <c r="C1874" t="s">
        <v>270</v>
      </c>
      <c r="D1874" t="s">
        <v>5036</v>
      </c>
      <c r="E1874">
        <v>54814</v>
      </c>
      <c r="H1874" t="s">
        <v>2433</v>
      </c>
      <c r="I1874" t="s">
        <v>1343</v>
      </c>
      <c r="J1874" t="s">
        <v>297</v>
      </c>
      <c r="K1874">
        <v>2104</v>
      </c>
      <c r="L1874" t="s">
        <v>276</v>
      </c>
      <c r="M1874" t="s">
        <v>631</v>
      </c>
      <c r="N1874" t="s">
        <v>276</v>
      </c>
      <c r="P1874" t="s">
        <v>260</v>
      </c>
      <c r="Q1874" t="s">
        <v>260</v>
      </c>
      <c r="R1874" t="s">
        <v>261</v>
      </c>
      <c r="S1874" t="s">
        <v>21</v>
      </c>
      <c r="T1874">
        <v>100</v>
      </c>
      <c r="W1874" t="s">
        <v>262</v>
      </c>
      <c r="X1874">
        <v>-37.008299999999998</v>
      </c>
      <c r="Y1874">
        <v>174.87049999999999</v>
      </c>
    </row>
    <row r="1875" spans="1:25" x14ac:dyDescent="0.3">
      <c r="A1875" t="s">
        <v>21</v>
      </c>
      <c r="B1875" t="s">
        <v>5131</v>
      </c>
      <c r="C1875" t="s">
        <v>270</v>
      </c>
      <c r="D1875" t="s">
        <v>5132</v>
      </c>
      <c r="E1875">
        <v>55490</v>
      </c>
      <c r="G1875" t="s">
        <v>5133</v>
      </c>
      <c r="H1875" t="s">
        <v>2433</v>
      </c>
      <c r="I1875" t="s">
        <v>1343</v>
      </c>
      <c r="J1875" t="s">
        <v>297</v>
      </c>
      <c r="K1875">
        <v>2104</v>
      </c>
      <c r="L1875" t="s">
        <v>276</v>
      </c>
      <c r="M1875" t="s">
        <v>631</v>
      </c>
      <c r="N1875" t="s">
        <v>276</v>
      </c>
      <c r="P1875" t="s">
        <v>260</v>
      </c>
      <c r="Q1875" t="s">
        <v>260</v>
      </c>
      <c r="R1875" t="s">
        <v>261</v>
      </c>
      <c r="S1875" t="s">
        <v>21</v>
      </c>
      <c r="T1875">
        <v>100</v>
      </c>
      <c r="W1875" t="s">
        <v>262</v>
      </c>
      <c r="X1875">
        <v>-37.008299999999998</v>
      </c>
      <c r="Y1875">
        <v>174.87049999999999</v>
      </c>
    </row>
    <row r="1876" spans="1:25" x14ac:dyDescent="0.3">
      <c r="A1876" t="s">
        <v>21</v>
      </c>
      <c r="B1876" t="s">
        <v>5134</v>
      </c>
      <c r="C1876" t="s">
        <v>270</v>
      </c>
      <c r="D1876" t="s">
        <v>5135</v>
      </c>
      <c r="E1876">
        <v>55493</v>
      </c>
      <c r="H1876" t="s">
        <v>2433</v>
      </c>
      <c r="I1876" t="s">
        <v>1343</v>
      </c>
      <c r="J1876" t="s">
        <v>297</v>
      </c>
      <c r="K1876">
        <v>2104</v>
      </c>
      <c r="L1876" t="s">
        <v>276</v>
      </c>
      <c r="M1876" t="s">
        <v>631</v>
      </c>
      <c r="N1876" t="s">
        <v>276</v>
      </c>
      <c r="P1876" t="s">
        <v>260</v>
      </c>
      <c r="Q1876" t="s">
        <v>260</v>
      </c>
      <c r="R1876" t="s">
        <v>261</v>
      </c>
      <c r="S1876" t="s">
        <v>21</v>
      </c>
      <c r="T1876">
        <v>100</v>
      </c>
      <c r="W1876" t="s">
        <v>262</v>
      </c>
      <c r="X1876">
        <v>-37.008299999999998</v>
      </c>
      <c r="Y1876">
        <v>174.87049999999999</v>
      </c>
    </row>
    <row r="1877" spans="1:25" x14ac:dyDescent="0.3">
      <c r="A1877" t="s">
        <v>21</v>
      </c>
      <c r="B1877" t="s">
        <v>5136</v>
      </c>
      <c r="C1877" t="s">
        <v>270</v>
      </c>
      <c r="D1877" t="s">
        <v>5137</v>
      </c>
      <c r="E1877">
        <v>54820</v>
      </c>
      <c r="H1877" t="s">
        <v>2433</v>
      </c>
      <c r="I1877" t="s">
        <v>1343</v>
      </c>
      <c r="J1877" t="s">
        <v>297</v>
      </c>
      <c r="K1877">
        <v>2104</v>
      </c>
      <c r="L1877" t="s">
        <v>276</v>
      </c>
      <c r="M1877" t="s">
        <v>631</v>
      </c>
      <c r="N1877" t="s">
        <v>276</v>
      </c>
      <c r="P1877" t="s">
        <v>260</v>
      </c>
      <c r="Q1877" t="s">
        <v>260</v>
      </c>
      <c r="R1877" t="s">
        <v>261</v>
      </c>
      <c r="S1877" t="s">
        <v>21</v>
      </c>
      <c r="T1877">
        <v>100</v>
      </c>
      <c r="W1877" t="s">
        <v>262</v>
      </c>
      <c r="X1877">
        <v>-37.008299999999998</v>
      </c>
      <c r="Y1877">
        <v>174.87049999999999</v>
      </c>
    </row>
    <row r="1878" spans="1:25" x14ac:dyDescent="0.3">
      <c r="A1878" t="s">
        <v>21</v>
      </c>
      <c r="B1878" t="s">
        <v>5138</v>
      </c>
      <c r="C1878" t="s">
        <v>270</v>
      </c>
      <c r="D1878" t="s">
        <v>5139</v>
      </c>
      <c r="E1878">
        <v>54840</v>
      </c>
      <c r="M1878" t="s">
        <v>3734</v>
      </c>
      <c r="N1878" t="s">
        <v>276</v>
      </c>
      <c r="P1878" t="s">
        <v>260</v>
      </c>
      <c r="Q1878" t="s">
        <v>260</v>
      </c>
      <c r="R1878" t="s">
        <v>261</v>
      </c>
      <c r="S1878" t="s">
        <v>21</v>
      </c>
      <c r="T1878">
        <v>100</v>
      </c>
      <c r="W1878" t="s">
        <v>262</v>
      </c>
    </row>
    <row r="1879" spans="1:25" x14ac:dyDescent="0.3">
      <c r="A1879" t="s">
        <v>21</v>
      </c>
      <c r="B1879" t="s">
        <v>5140</v>
      </c>
      <c r="C1879" t="s">
        <v>270</v>
      </c>
      <c r="D1879" t="s">
        <v>5141</v>
      </c>
      <c r="E1879">
        <v>55488</v>
      </c>
      <c r="H1879" t="s">
        <v>2433</v>
      </c>
      <c r="I1879" t="s">
        <v>1343</v>
      </c>
      <c r="J1879" t="s">
        <v>297</v>
      </c>
      <c r="K1879">
        <v>2104</v>
      </c>
      <c r="L1879" t="s">
        <v>276</v>
      </c>
      <c r="M1879" t="s">
        <v>631</v>
      </c>
      <c r="N1879" t="s">
        <v>276</v>
      </c>
      <c r="P1879" t="s">
        <v>260</v>
      </c>
      <c r="Q1879" t="s">
        <v>260</v>
      </c>
      <c r="R1879" t="s">
        <v>261</v>
      </c>
      <c r="S1879" t="s">
        <v>21</v>
      </c>
      <c r="T1879">
        <v>100</v>
      </c>
      <c r="W1879" t="s">
        <v>262</v>
      </c>
      <c r="X1879">
        <v>-37.008299999999998</v>
      </c>
      <c r="Y1879">
        <v>174.87049999999999</v>
      </c>
    </row>
    <row r="1880" spans="1:25" x14ac:dyDescent="0.3">
      <c r="A1880" t="s">
        <v>21</v>
      </c>
      <c r="B1880" t="s">
        <v>5142</v>
      </c>
      <c r="C1880" t="s">
        <v>270</v>
      </c>
      <c r="D1880" t="s">
        <v>5143</v>
      </c>
      <c r="E1880">
        <v>55497</v>
      </c>
      <c r="H1880" t="s">
        <v>2433</v>
      </c>
      <c r="I1880" t="s">
        <v>1343</v>
      </c>
      <c r="J1880" t="s">
        <v>297</v>
      </c>
      <c r="K1880">
        <v>2104</v>
      </c>
      <c r="L1880" t="s">
        <v>276</v>
      </c>
      <c r="M1880" t="s">
        <v>631</v>
      </c>
      <c r="N1880" t="s">
        <v>276</v>
      </c>
      <c r="P1880" t="s">
        <v>260</v>
      </c>
      <c r="Q1880" t="s">
        <v>260</v>
      </c>
      <c r="R1880" t="s">
        <v>261</v>
      </c>
      <c r="S1880" t="s">
        <v>21</v>
      </c>
      <c r="T1880">
        <v>100</v>
      </c>
      <c r="W1880" t="s">
        <v>262</v>
      </c>
      <c r="X1880">
        <v>-37.008299999999998</v>
      </c>
      <c r="Y1880">
        <v>174.87049999999999</v>
      </c>
    </row>
    <row r="1881" spans="1:25" x14ac:dyDescent="0.3">
      <c r="A1881" t="s">
        <v>21</v>
      </c>
      <c r="B1881" t="s">
        <v>5144</v>
      </c>
      <c r="C1881" t="s">
        <v>270</v>
      </c>
      <c r="D1881" t="s">
        <v>5145</v>
      </c>
      <c r="E1881">
        <v>55820</v>
      </c>
      <c r="H1881" t="s">
        <v>2433</v>
      </c>
      <c r="I1881" t="s">
        <v>1343</v>
      </c>
      <c r="J1881" t="s">
        <v>297</v>
      </c>
      <c r="K1881">
        <v>2104</v>
      </c>
      <c r="L1881" t="s">
        <v>276</v>
      </c>
      <c r="M1881" t="s">
        <v>631</v>
      </c>
      <c r="N1881" t="s">
        <v>276</v>
      </c>
      <c r="P1881" t="s">
        <v>260</v>
      </c>
      <c r="Q1881" t="s">
        <v>260</v>
      </c>
      <c r="R1881" t="s">
        <v>261</v>
      </c>
      <c r="S1881" t="s">
        <v>21</v>
      </c>
      <c r="T1881">
        <v>100</v>
      </c>
      <c r="W1881" t="s">
        <v>262</v>
      </c>
      <c r="X1881">
        <v>-37.008299999999998</v>
      </c>
      <c r="Y1881">
        <v>174.87049999999999</v>
      </c>
    </row>
    <row r="1882" spans="1:25" x14ac:dyDescent="0.3">
      <c r="A1882" t="s">
        <v>21</v>
      </c>
      <c r="B1882" t="s">
        <v>5146</v>
      </c>
      <c r="C1882" t="s">
        <v>270</v>
      </c>
      <c r="D1882" t="s">
        <v>5147</v>
      </c>
      <c r="E1882">
        <v>55826</v>
      </c>
      <c r="H1882" t="s">
        <v>2433</v>
      </c>
      <c r="I1882" t="s">
        <v>1343</v>
      </c>
      <c r="J1882" t="s">
        <v>297</v>
      </c>
      <c r="K1882">
        <v>2104</v>
      </c>
      <c r="L1882" t="s">
        <v>276</v>
      </c>
      <c r="M1882" t="s">
        <v>631</v>
      </c>
      <c r="N1882" t="s">
        <v>276</v>
      </c>
      <c r="P1882" t="s">
        <v>260</v>
      </c>
      <c r="Q1882" t="s">
        <v>260</v>
      </c>
      <c r="R1882" t="s">
        <v>261</v>
      </c>
      <c r="S1882" t="s">
        <v>21</v>
      </c>
      <c r="T1882">
        <v>100</v>
      </c>
      <c r="W1882" t="s">
        <v>262</v>
      </c>
      <c r="X1882">
        <v>-37.008299999999998</v>
      </c>
      <c r="Y1882">
        <v>174.87049999999999</v>
      </c>
    </row>
    <row r="1883" spans="1:25" x14ac:dyDescent="0.3">
      <c r="A1883" t="s">
        <v>21</v>
      </c>
      <c r="B1883" t="s">
        <v>5148</v>
      </c>
      <c r="C1883" t="s">
        <v>270</v>
      </c>
      <c r="D1883" t="s">
        <v>5149</v>
      </c>
      <c r="E1883">
        <v>54827</v>
      </c>
      <c r="H1883" t="s">
        <v>2433</v>
      </c>
      <c r="I1883" t="s">
        <v>1343</v>
      </c>
      <c r="J1883" t="s">
        <v>297</v>
      </c>
      <c r="K1883">
        <v>2104</v>
      </c>
      <c r="L1883" t="s">
        <v>276</v>
      </c>
      <c r="M1883" t="s">
        <v>631</v>
      </c>
      <c r="N1883" t="s">
        <v>276</v>
      </c>
      <c r="P1883" t="s">
        <v>260</v>
      </c>
      <c r="Q1883" t="s">
        <v>260</v>
      </c>
      <c r="R1883" t="s">
        <v>261</v>
      </c>
      <c r="S1883" t="s">
        <v>21</v>
      </c>
      <c r="T1883">
        <v>100</v>
      </c>
      <c r="W1883" t="s">
        <v>262</v>
      </c>
      <c r="X1883">
        <v>-37.008299999999998</v>
      </c>
      <c r="Y1883">
        <v>174.87049999999999</v>
      </c>
    </row>
    <row r="1884" spans="1:25" x14ac:dyDescent="0.3">
      <c r="A1884" t="s">
        <v>21</v>
      </c>
      <c r="B1884" t="s">
        <v>5150</v>
      </c>
      <c r="C1884" t="s">
        <v>270</v>
      </c>
      <c r="D1884" t="s">
        <v>5151</v>
      </c>
      <c r="E1884">
        <v>55818</v>
      </c>
      <c r="H1884" t="s">
        <v>2433</v>
      </c>
      <c r="I1884" t="s">
        <v>1343</v>
      </c>
      <c r="J1884" t="s">
        <v>297</v>
      </c>
      <c r="K1884">
        <v>2104</v>
      </c>
      <c r="L1884" t="s">
        <v>276</v>
      </c>
      <c r="M1884" t="s">
        <v>631</v>
      </c>
      <c r="N1884" t="s">
        <v>276</v>
      </c>
      <c r="P1884" t="s">
        <v>260</v>
      </c>
      <c r="Q1884" t="s">
        <v>260</v>
      </c>
      <c r="R1884" t="s">
        <v>261</v>
      </c>
      <c r="S1884" t="s">
        <v>21</v>
      </c>
      <c r="T1884">
        <v>100</v>
      </c>
      <c r="W1884" t="s">
        <v>262</v>
      </c>
      <c r="X1884">
        <v>-37.008299999999998</v>
      </c>
      <c r="Y1884">
        <v>174.87049999999999</v>
      </c>
    </row>
    <row r="1885" spans="1:25" x14ac:dyDescent="0.3">
      <c r="A1885" t="s">
        <v>21</v>
      </c>
      <c r="B1885" t="s">
        <v>5152</v>
      </c>
      <c r="C1885" t="s">
        <v>270</v>
      </c>
      <c r="D1885" t="s">
        <v>5153</v>
      </c>
      <c r="E1885">
        <v>3122</v>
      </c>
      <c r="H1885" t="s">
        <v>2433</v>
      </c>
      <c r="I1885" t="s">
        <v>1343</v>
      </c>
      <c r="J1885" t="s">
        <v>297</v>
      </c>
      <c r="K1885">
        <v>2104</v>
      </c>
      <c r="L1885" t="s">
        <v>276</v>
      </c>
      <c r="M1885" t="s">
        <v>631</v>
      </c>
      <c r="N1885" t="s">
        <v>276</v>
      </c>
      <c r="P1885" t="s">
        <v>260</v>
      </c>
      <c r="Q1885" t="s">
        <v>260</v>
      </c>
      <c r="R1885" t="s">
        <v>261</v>
      </c>
      <c r="S1885" t="s">
        <v>21</v>
      </c>
      <c r="T1885">
        <v>100</v>
      </c>
      <c r="W1885" t="s">
        <v>262</v>
      </c>
      <c r="X1885">
        <v>-37.008299999999998</v>
      </c>
      <c r="Y1885">
        <v>174.87049999999999</v>
      </c>
    </row>
    <row r="1886" spans="1:25" x14ac:dyDescent="0.3">
      <c r="A1886" t="s">
        <v>21</v>
      </c>
      <c r="B1886" t="s">
        <v>5154</v>
      </c>
      <c r="C1886" t="s">
        <v>270</v>
      </c>
      <c r="D1886" t="s">
        <v>5155</v>
      </c>
      <c r="E1886">
        <v>3132</v>
      </c>
      <c r="H1886" t="s">
        <v>2433</v>
      </c>
      <c r="I1886" t="s">
        <v>1343</v>
      </c>
      <c r="J1886" t="s">
        <v>297</v>
      </c>
      <c r="K1886">
        <v>2104</v>
      </c>
      <c r="L1886" t="s">
        <v>276</v>
      </c>
      <c r="M1886" t="s">
        <v>631</v>
      </c>
      <c r="N1886" t="s">
        <v>276</v>
      </c>
      <c r="P1886" t="s">
        <v>260</v>
      </c>
      <c r="Q1886" t="s">
        <v>260</v>
      </c>
      <c r="R1886" t="s">
        <v>261</v>
      </c>
      <c r="S1886" t="s">
        <v>21</v>
      </c>
      <c r="T1886">
        <v>100</v>
      </c>
      <c r="W1886" t="s">
        <v>262</v>
      </c>
      <c r="X1886">
        <v>-37.008299999999998</v>
      </c>
      <c r="Y1886">
        <v>174.87049999999999</v>
      </c>
    </row>
    <row r="1887" spans="1:25" x14ac:dyDescent="0.3">
      <c r="A1887" t="s">
        <v>21</v>
      </c>
      <c r="B1887" t="s">
        <v>5156</v>
      </c>
      <c r="C1887" t="s">
        <v>270</v>
      </c>
      <c r="D1887" t="s">
        <v>2089</v>
      </c>
      <c r="E1887">
        <v>55807</v>
      </c>
      <c r="H1887" t="s">
        <v>2433</v>
      </c>
      <c r="I1887" t="s">
        <v>1343</v>
      </c>
      <c r="J1887" t="s">
        <v>297</v>
      </c>
      <c r="K1887">
        <v>2104</v>
      </c>
      <c r="L1887" t="s">
        <v>276</v>
      </c>
      <c r="M1887" t="s">
        <v>631</v>
      </c>
      <c r="N1887" t="s">
        <v>276</v>
      </c>
      <c r="P1887" t="s">
        <v>260</v>
      </c>
      <c r="Q1887" t="s">
        <v>260</v>
      </c>
      <c r="R1887" t="s">
        <v>261</v>
      </c>
      <c r="S1887" t="s">
        <v>21</v>
      </c>
      <c r="T1887">
        <v>100</v>
      </c>
      <c r="W1887" t="s">
        <v>262</v>
      </c>
      <c r="X1887">
        <v>-37.008299999999998</v>
      </c>
      <c r="Y1887">
        <v>174.87049999999999</v>
      </c>
    </row>
    <row r="1888" spans="1:25" x14ac:dyDescent="0.3">
      <c r="A1888" t="s">
        <v>21</v>
      </c>
      <c r="B1888" t="s">
        <v>5157</v>
      </c>
      <c r="C1888" t="s">
        <v>270</v>
      </c>
      <c r="D1888" t="s">
        <v>5158</v>
      </c>
      <c r="E1888">
        <v>54819</v>
      </c>
      <c r="H1888" t="s">
        <v>2433</v>
      </c>
      <c r="I1888" t="s">
        <v>1343</v>
      </c>
      <c r="J1888" t="s">
        <v>297</v>
      </c>
      <c r="K1888">
        <v>2104</v>
      </c>
      <c r="L1888" t="s">
        <v>276</v>
      </c>
      <c r="M1888" t="s">
        <v>631</v>
      </c>
      <c r="N1888" t="s">
        <v>276</v>
      </c>
      <c r="P1888" t="s">
        <v>260</v>
      </c>
      <c r="Q1888" t="s">
        <v>260</v>
      </c>
      <c r="R1888" t="s">
        <v>261</v>
      </c>
      <c r="S1888" t="s">
        <v>21</v>
      </c>
      <c r="T1888">
        <v>100</v>
      </c>
      <c r="W1888" t="s">
        <v>262</v>
      </c>
      <c r="X1888">
        <v>-37.008299999999998</v>
      </c>
      <c r="Y1888">
        <v>174.87049999999999</v>
      </c>
    </row>
    <row r="1889" spans="1:25" x14ac:dyDescent="0.3">
      <c r="A1889" t="s">
        <v>21</v>
      </c>
      <c r="B1889" t="s">
        <v>5159</v>
      </c>
      <c r="C1889" t="s">
        <v>539</v>
      </c>
      <c r="D1889" t="s">
        <v>4864</v>
      </c>
      <c r="E1889">
        <v>54839</v>
      </c>
      <c r="M1889" t="s">
        <v>380</v>
      </c>
      <c r="N1889" t="s">
        <v>276</v>
      </c>
      <c r="P1889" t="s">
        <v>260</v>
      </c>
      <c r="Q1889" t="s">
        <v>260</v>
      </c>
      <c r="R1889" t="s">
        <v>261</v>
      </c>
      <c r="S1889" t="s">
        <v>21</v>
      </c>
      <c r="T1889">
        <v>100</v>
      </c>
      <c r="W1889" t="s">
        <v>262</v>
      </c>
    </row>
    <row r="1890" spans="1:25" x14ac:dyDescent="0.3">
      <c r="A1890" t="s">
        <v>21</v>
      </c>
      <c r="B1890" t="s">
        <v>5160</v>
      </c>
      <c r="C1890" t="s">
        <v>270</v>
      </c>
      <c r="D1890" t="s">
        <v>5161</v>
      </c>
      <c r="E1890">
        <v>55816</v>
      </c>
      <c r="H1890" t="s">
        <v>2433</v>
      </c>
      <c r="I1890" t="s">
        <v>1343</v>
      </c>
      <c r="J1890" t="s">
        <v>297</v>
      </c>
      <c r="K1890">
        <v>2104</v>
      </c>
      <c r="L1890" t="s">
        <v>276</v>
      </c>
      <c r="M1890" t="s">
        <v>631</v>
      </c>
      <c r="N1890" t="s">
        <v>276</v>
      </c>
      <c r="P1890" t="s">
        <v>260</v>
      </c>
      <c r="Q1890" t="s">
        <v>260</v>
      </c>
      <c r="R1890" t="s">
        <v>261</v>
      </c>
      <c r="S1890" t="s">
        <v>21</v>
      </c>
      <c r="T1890">
        <v>100</v>
      </c>
      <c r="W1890" t="s">
        <v>262</v>
      </c>
      <c r="X1890">
        <v>-37.008299999999998</v>
      </c>
      <c r="Y1890">
        <v>174.87049999999999</v>
      </c>
    </row>
    <row r="1891" spans="1:25" x14ac:dyDescent="0.3">
      <c r="A1891" t="s">
        <v>21</v>
      </c>
      <c r="B1891" t="s">
        <v>5162</v>
      </c>
      <c r="C1891" t="s">
        <v>270</v>
      </c>
      <c r="D1891" t="s">
        <v>2091</v>
      </c>
      <c r="E1891">
        <v>55856</v>
      </c>
      <c r="H1891" t="s">
        <v>2433</v>
      </c>
      <c r="I1891" t="s">
        <v>1343</v>
      </c>
      <c r="J1891" t="s">
        <v>297</v>
      </c>
      <c r="K1891">
        <v>2104</v>
      </c>
      <c r="L1891" t="s">
        <v>276</v>
      </c>
      <c r="M1891" t="s">
        <v>631</v>
      </c>
      <c r="N1891" t="s">
        <v>276</v>
      </c>
      <c r="P1891" t="s">
        <v>260</v>
      </c>
      <c r="Q1891" t="s">
        <v>260</v>
      </c>
      <c r="R1891" t="s">
        <v>261</v>
      </c>
      <c r="S1891" t="s">
        <v>21</v>
      </c>
      <c r="T1891">
        <v>100</v>
      </c>
      <c r="W1891" t="s">
        <v>262</v>
      </c>
      <c r="X1891">
        <v>-37.008299999999998</v>
      </c>
      <c r="Y1891">
        <v>174.87049999999999</v>
      </c>
    </row>
    <row r="1892" spans="1:25" x14ac:dyDescent="0.3">
      <c r="A1892" t="s">
        <v>21</v>
      </c>
      <c r="B1892" t="s">
        <v>5163</v>
      </c>
      <c r="C1892" t="s">
        <v>270</v>
      </c>
      <c r="D1892" t="s">
        <v>5164</v>
      </c>
      <c r="E1892">
        <v>55854</v>
      </c>
      <c r="H1892" t="s">
        <v>2433</v>
      </c>
      <c r="I1892" t="s">
        <v>1343</v>
      </c>
      <c r="J1892" t="s">
        <v>297</v>
      </c>
      <c r="K1892">
        <v>2104</v>
      </c>
      <c r="L1892" t="s">
        <v>276</v>
      </c>
      <c r="M1892" t="s">
        <v>631</v>
      </c>
      <c r="N1892" t="s">
        <v>276</v>
      </c>
      <c r="P1892" t="s">
        <v>260</v>
      </c>
      <c r="Q1892" t="s">
        <v>260</v>
      </c>
      <c r="R1892" t="s">
        <v>261</v>
      </c>
      <c r="S1892" t="s">
        <v>21</v>
      </c>
      <c r="T1892">
        <v>100</v>
      </c>
      <c r="W1892" t="s">
        <v>262</v>
      </c>
      <c r="X1892">
        <v>-37.008299999999998</v>
      </c>
      <c r="Y1892">
        <v>174.87049999999999</v>
      </c>
    </row>
    <row r="1893" spans="1:25" x14ac:dyDescent="0.3">
      <c r="A1893" t="s">
        <v>21</v>
      </c>
      <c r="B1893" t="s">
        <v>5165</v>
      </c>
      <c r="C1893" t="s">
        <v>270</v>
      </c>
      <c r="D1893" t="s">
        <v>5166</v>
      </c>
      <c r="E1893">
        <v>1920</v>
      </c>
      <c r="H1893" t="s">
        <v>2433</v>
      </c>
      <c r="I1893" t="s">
        <v>1343</v>
      </c>
      <c r="J1893" t="s">
        <v>297</v>
      </c>
      <c r="K1893">
        <v>2104</v>
      </c>
      <c r="L1893" t="s">
        <v>276</v>
      </c>
      <c r="M1893" t="s">
        <v>631</v>
      </c>
      <c r="N1893" t="s">
        <v>276</v>
      </c>
      <c r="P1893" t="s">
        <v>260</v>
      </c>
      <c r="Q1893" t="s">
        <v>260</v>
      </c>
      <c r="R1893" t="s">
        <v>261</v>
      </c>
      <c r="S1893" t="s">
        <v>21</v>
      </c>
      <c r="T1893">
        <v>100</v>
      </c>
      <c r="W1893" t="s">
        <v>262</v>
      </c>
      <c r="X1893">
        <v>-37.008299999999998</v>
      </c>
      <c r="Y1893">
        <v>174.87049999999999</v>
      </c>
    </row>
    <row r="1894" spans="1:25" x14ac:dyDescent="0.3">
      <c r="A1894" t="s">
        <v>21</v>
      </c>
      <c r="B1894" t="s">
        <v>5167</v>
      </c>
      <c r="C1894" t="s">
        <v>270</v>
      </c>
      <c r="D1894" t="s">
        <v>5168</v>
      </c>
      <c r="E1894">
        <v>55840</v>
      </c>
      <c r="H1894" t="s">
        <v>2433</v>
      </c>
      <c r="I1894" t="s">
        <v>1343</v>
      </c>
      <c r="J1894" t="s">
        <v>297</v>
      </c>
      <c r="K1894">
        <v>2104</v>
      </c>
      <c r="L1894" t="s">
        <v>276</v>
      </c>
      <c r="M1894" t="s">
        <v>631</v>
      </c>
      <c r="N1894" t="s">
        <v>276</v>
      </c>
      <c r="P1894" t="s">
        <v>260</v>
      </c>
      <c r="Q1894" t="s">
        <v>260</v>
      </c>
      <c r="R1894" t="s">
        <v>261</v>
      </c>
      <c r="S1894" t="s">
        <v>21</v>
      </c>
      <c r="T1894">
        <v>100</v>
      </c>
      <c r="W1894" t="s">
        <v>262</v>
      </c>
      <c r="X1894">
        <v>-37.008299999999998</v>
      </c>
      <c r="Y1894">
        <v>174.87049999999999</v>
      </c>
    </row>
    <row r="1895" spans="1:25" x14ac:dyDescent="0.3">
      <c r="A1895" t="s">
        <v>21</v>
      </c>
      <c r="B1895" t="s">
        <v>5169</v>
      </c>
      <c r="C1895" t="s">
        <v>270</v>
      </c>
      <c r="D1895" t="s">
        <v>1984</v>
      </c>
      <c r="E1895">
        <v>55804</v>
      </c>
      <c r="H1895" t="s">
        <v>2433</v>
      </c>
      <c r="I1895" t="s">
        <v>1343</v>
      </c>
      <c r="J1895" t="s">
        <v>297</v>
      </c>
      <c r="K1895">
        <v>2104</v>
      </c>
      <c r="L1895" t="s">
        <v>276</v>
      </c>
      <c r="M1895" t="s">
        <v>631</v>
      </c>
      <c r="N1895" t="s">
        <v>276</v>
      </c>
      <c r="P1895" t="s">
        <v>260</v>
      </c>
      <c r="Q1895" t="s">
        <v>260</v>
      </c>
      <c r="R1895" t="s">
        <v>261</v>
      </c>
      <c r="S1895" t="s">
        <v>21</v>
      </c>
      <c r="T1895">
        <v>100</v>
      </c>
      <c r="W1895" t="s">
        <v>262</v>
      </c>
      <c r="X1895">
        <v>-37.008299999999998</v>
      </c>
      <c r="Y1895">
        <v>174.87049999999999</v>
      </c>
    </row>
    <row r="1896" spans="1:25" x14ac:dyDescent="0.3">
      <c r="A1896" t="s">
        <v>21</v>
      </c>
      <c r="B1896" t="s">
        <v>5170</v>
      </c>
      <c r="C1896" t="s">
        <v>270</v>
      </c>
      <c r="D1896" t="s">
        <v>5171</v>
      </c>
      <c r="E1896">
        <v>55805</v>
      </c>
      <c r="H1896" t="s">
        <v>2433</v>
      </c>
      <c r="I1896" t="s">
        <v>1343</v>
      </c>
      <c r="J1896" t="s">
        <v>297</v>
      </c>
      <c r="K1896">
        <v>2104</v>
      </c>
      <c r="L1896" t="s">
        <v>276</v>
      </c>
      <c r="M1896" t="s">
        <v>631</v>
      </c>
      <c r="N1896" t="s">
        <v>276</v>
      </c>
      <c r="P1896" t="s">
        <v>260</v>
      </c>
      <c r="Q1896" t="s">
        <v>260</v>
      </c>
      <c r="R1896" t="s">
        <v>261</v>
      </c>
      <c r="S1896" t="s">
        <v>21</v>
      </c>
      <c r="T1896">
        <v>100</v>
      </c>
      <c r="W1896" t="s">
        <v>262</v>
      </c>
      <c r="X1896">
        <v>-37.008299999999998</v>
      </c>
      <c r="Y1896">
        <v>174.87049999999999</v>
      </c>
    </row>
    <row r="1897" spans="1:25" x14ac:dyDescent="0.3">
      <c r="A1897" t="s">
        <v>21</v>
      </c>
      <c r="B1897" t="s">
        <v>5172</v>
      </c>
      <c r="C1897" t="s">
        <v>270</v>
      </c>
      <c r="D1897" t="s">
        <v>5173</v>
      </c>
      <c r="E1897">
        <v>55836</v>
      </c>
      <c r="H1897" t="s">
        <v>2433</v>
      </c>
      <c r="I1897" t="s">
        <v>1343</v>
      </c>
      <c r="J1897" t="s">
        <v>297</v>
      </c>
      <c r="K1897">
        <v>2104</v>
      </c>
      <c r="L1897" t="s">
        <v>276</v>
      </c>
      <c r="M1897" t="s">
        <v>631</v>
      </c>
      <c r="N1897" t="s">
        <v>276</v>
      </c>
      <c r="P1897" t="s">
        <v>260</v>
      </c>
      <c r="Q1897" t="s">
        <v>260</v>
      </c>
      <c r="R1897" t="s">
        <v>261</v>
      </c>
      <c r="S1897" t="s">
        <v>21</v>
      </c>
      <c r="T1897">
        <v>100</v>
      </c>
      <c r="W1897" t="s">
        <v>262</v>
      </c>
      <c r="X1897">
        <v>-37.008299999999998</v>
      </c>
      <c r="Y1897">
        <v>174.87049999999999</v>
      </c>
    </row>
    <row r="1898" spans="1:25" x14ac:dyDescent="0.3">
      <c r="A1898" t="s">
        <v>21</v>
      </c>
      <c r="B1898" t="s">
        <v>5174</v>
      </c>
      <c r="C1898" t="s">
        <v>270</v>
      </c>
      <c r="D1898" t="s">
        <v>5175</v>
      </c>
      <c r="E1898">
        <v>55825</v>
      </c>
      <c r="H1898" t="s">
        <v>2433</v>
      </c>
      <c r="I1898" t="s">
        <v>1343</v>
      </c>
      <c r="J1898" t="s">
        <v>297</v>
      </c>
      <c r="K1898">
        <v>2104</v>
      </c>
      <c r="L1898" t="s">
        <v>276</v>
      </c>
      <c r="M1898" t="s">
        <v>631</v>
      </c>
      <c r="N1898" t="s">
        <v>276</v>
      </c>
      <c r="P1898" t="s">
        <v>260</v>
      </c>
      <c r="Q1898" t="s">
        <v>260</v>
      </c>
      <c r="R1898" t="s">
        <v>261</v>
      </c>
      <c r="S1898" t="s">
        <v>21</v>
      </c>
      <c r="T1898">
        <v>100</v>
      </c>
      <c r="W1898" t="s">
        <v>262</v>
      </c>
      <c r="X1898">
        <v>-37.008299999999998</v>
      </c>
      <c r="Y1898">
        <v>174.87049999999999</v>
      </c>
    </row>
    <row r="1899" spans="1:25" x14ac:dyDescent="0.3">
      <c r="A1899" t="s">
        <v>21</v>
      </c>
      <c r="B1899" t="s">
        <v>5176</v>
      </c>
      <c r="C1899" t="s">
        <v>270</v>
      </c>
      <c r="D1899" t="s">
        <v>5177</v>
      </c>
      <c r="E1899">
        <v>55822</v>
      </c>
      <c r="H1899" t="s">
        <v>2433</v>
      </c>
      <c r="I1899" t="s">
        <v>1343</v>
      </c>
      <c r="J1899" t="s">
        <v>297</v>
      </c>
      <c r="K1899">
        <v>2104</v>
      </c>
      <c r="L1899" t="s">
        <v>276</v>
      </c>
      <c r="M1899" t="s">
        <v>631</v>
      </c>
      <c r="N1899" t="s">
        <v>276</v>
      </c>
      <c r="P1899" t="s">
        <v>260</v>
      </c>
      <c r="Q1899" t="s">
        <v>260</v>
      </c>
      <c r="R1899" t="s">
        <v>261</v>
      </c>
      <c r="S1899" t="s">
        <v>21</v>
      </c>
      <c r="T1899">
        <v>100</v>
      </c>
      <c r="W1899" t="s">
        <v>262</v>
      </c>
      <c r="X1899">
        <v>-37.008299999999998</v>
      </c>
      <c r="Y1899">
        <v>174.87049999999999</v>
      </c>
    </row>
    <row r="1900" spans="1:25" x14ac:dyDescent="0.3">
      <c r="A1900" t="s">
        <v>21</v>
      </c>
      <c r="B1900" t="s">
        <v>5178</v>
      </c>
      <c r="C1900" t="s">
        <v>270</v>
      </c>
      <c r="D1900" t="s">
        <v>5179</v>
      </c>
      <c r="E1900">
        <v>1912</v>
      </c>
      <c r="H1900" t="s">
        <v>2433</v>
      </c>
      <c r="I1900" t="s">
        <v>1343</v>
      </c>
      <c r="J1900" t="s">
        <v>297</v>
      </c>
      <c r="K1900">
        <v>2104</v>
      </c>
      <c r="L1900" t="s">
        <v>276</v>
      </c>
      <c r="M1900" t="s">
        <v>631</v>
      </c>
      <c r="N1900" t="s">
        <v>276</v>
      </c>
      <c r="P1900" t="s">
        <v>260</v>
      </c>
      <c r="Q1900" t="s">
        <v>260</v>
      </c>
      <c r="R1900" t="s">
        <v>261</v>
      </c>
      <c r="S1900" t="s">
        <v>21</v>
      </c>
      <c r="T1900">
        <v>100</v>
      </c>
      <c r="W1900" t="s">
        <v>262</v>
      </c>
      <c r="X1900">
        <v>-37.008299999999998</v>
      </c>
      <c r="Y1900">
        <v>174.87049999999999</v>
      </c>
    </row>
    <row r="1901" spans="1:25" x14ac:dyDescent="0.3">
      <c r="A1901" t="s">
        <v>21</v>
      </c>
      <c r="B1901" t="s">
        <v>5180</v>
      </c>
      <c r="C1901" t="s">
        <v>270</v>
      </c>
      <c r="D1901" t="s">
        <v>5181</v>
      </c>
      <c r="E1901">
        <v>55830</v>
      </c>
      <c r="H1901" t="s">
        <v>2433</v>
      </c>
      <c r="I1901" t="s">
        <v>1343</v>
      </c>
      <c r="J1901" t="s">
        <v>297</v>
      </c>
      <c r="K1901">
        <v>2104</v>
      </c>
      <c r="L1901" t="s">
        <v>276</v>
      </c>
      <c r="M1901" t="s">
        <v>631</v>
      </c>
      <c r="N1901" t="s">
        <v>276</v>
      </c>
      <c r="P1901" t="s">
        <v>260</v>
      </c>
      <c r="Q1901" t="s">
        <v>260</v>
      </c>
      <c r="R1901" t="s">
        <v>261</v>
      </c>
      <c r="S1901" t="s">
        <v>21</v>
      </c>
      <c r="T1901">
        <v>100</v>
      </c>
      <c r="W1901" t="s">
        <v>262</v>
      </c>
      <c r="X1901">
        <v>-37.008299999999998</v>
      </c>
      <c r="Y1901">
        <v>174.87049999999999</v>
      </c>
    </row>
    <row r="1902" spans="1:25" x14ac:dyDescent="0.3">
      <c r="A1902" t="s">
        <v>21</v>
      </c>
      <c r="B1902" t="s">
        <v>5182</v>
      </c>
      <c r="C1902" t="s">
        <v>270</v>
      </c>
      <c r="D1902" t="s">
        <v>5183</v>
      </c>
      <c r="E1902">
        <v>55801</v>
      </c>
      <c r="H1902" t="s">
        <v>2433</v>
      </c>
      <c r="I1902" t="s">
        <v>1343</v>
      </c>
      <c r="J1902" t="s">
        <v>297</v>
      </c>
      <c r="K1902">
        <v>2104</v>
      </c>
      <c r="L1902" t="s">
        <v>276</v>
      </c>
      <c r="M1902" t="s">
        <v>631</v>
      </c>
      <c r="N1902" t="s">
        <v>276</v>
      </c>
      <c r="P1902" t="s">
        <v>260</v>
      </c>
      <c r="Q1902" t="s">
        <v>260</v>
      </c>
      <c r="R1902" t="s">
        <v>261</v>
      </c>
      <c r="S1902" t="s">
        <v>21</v>
      </c>
      <c r="T1902">
        <v>100</v>
      </c>
      <c r="W1902" t="s">
        <v>262</v>
      </c>
      <c r="X1902">
        <v>-37.008299999999998</v>
      </c>
      <c r="Y1902">
        <v>174.87049999999999</v>
      </c>
    </row>
    <row r="1903" spans="1:25" x14ac:dyDescent="0.3">
      <c r="A1903" t="s">
        <v>21</v>
      </c>
      <c r="B1903" t="s">
        <v>5184</v>
      </c>
      <c r="C1903" t="s">
        <v>270</v>
      </c>
      <c r="D1903" t="s">
        <v>1362</v>
      </c>
      <c r="E1903">
        <v>55875</v>
      </c>
      <c r="M1903" t="s">
        <v>631</v>
      </c>
      <c r="N1903" t="s">
        <v>276</v>
      </c>
      <c r="P1903" t="s">
        <v>260</v>
      </c>
      <c r="Q1903" t="s">
        <v>260</v>
      </c>
      <c r="R1903" t="s">
        <v>261</v>
      </c>
      <c r="S1903" t="s">
        <v>21</v>
      </c>
      <c r="T1903">
        <v>100</v>
      </c>
      <c r="W1903" t="s">
        <v>262</v>
      </c>
    </row>
    <row r="1904" spans="1:25" x14ac:dyDescent="0.3">
      <c r="A1904" t="s">
        <v>21</v>
      </c>
      <c r="B1904" t="s">
        <v>5185</v>
      </c>
      <c r="C1904" t="s">
        <v>270</v>
      </c>
      <c r="D1904" t="s">
        <v>1967</v>
      </c>
      <c r="E1904">
        <v>55834</v>
      </c>
      <c r="H1904" t="s">
        <v>2433</v>
      </c>
      <c r="I1904" t="s">
        <v>1343</v>
      </c>
      <c r="J1904" t="s">
        <v>297</v>
      </c>
      <c r="K1904">
        <v>2104</v>
      </c>
      <c r="L1904" t="s">
        <v>276</v>
      </c>
      <c r="M1904" t="s">
        <v>631</v>
      </c>
      <c r="N1904" t="s">
        <v>276</v>
      </c>
      <c r="P1904" t="s">
        <v>260</v>
      </c>
      <c r="Q1904" t="s">
        <v>260</v>
      </c>
      <c r="R1904" t="s">
        <v>261</v>
      </c>
      <c r="S1904" t="s">
        <v>21</v>
      </c>
      <c r="T1904">
        <v>100</v>
      </c>
      <c r="W1904" t="s">
        <v>262</v>
      </c>
      <c r="X1904">
        <v>-37.008299999999998</v>
      </c>
      <c r="Y1904">
        <v>174.87049999999999</v>
      </c>
    </row>
    <row r="1905" spans="1:28" x14ac:dyDescent="0.3">
      <c r="A1905" t="s">
        <v>21</v>
      </c>
      <c r="B1905" t="s">
        <v>5186</v>
      </c>
      <c r="C1905" t="s">
        <v>270</v>
      </c>
      <c r="D1905" t="s">
        <v>5187</v>
      </c>
      <c r="E1905">
        <v>55803</v>
      </c>
      <c r="H1905" t="s">
        <v>2433</v>
      </c>
      <c r="I1905" t="s">
        <v>1343</v>
      </c>
      <c r="J1905" t="s">
        <v>297</v>
      </c>
      <c r="K1905">
        <v>2104</v>
      </c>
      <c r="L1905" t="s">
        <v>276</v>
      </c>
      <c r="M1905" t="s">
        <v>631</v>
      </c>
      <c r="N1905" t="s">
        <v>276</v>
      </c>
      <c r="P1905" t="s">
        <v>260</v>
      </c>
      <c r="Q1905" t="s">
        <v>260</v>
      </c>
      <c r="R1905" t="s">
        <v>261</v>
      </c>
      <c r="S1905" t="s">
        <v>21</v>
      </c>
      <c r="T1905">
        <v>100</v>
      </c>
      <c r="W1905" t="s">
        <v>262</v>
      </c>
      <c r="X1905">
        <v>-37.008299999999998</v>
      </c>
      <c r="Y1905">
        <v>174.87049999999999</v>
      </c>
    </row>
    <row r="1906" spans="1:28" x14ac:dyDescent="0.3">
      <c r="A1906" t="s">
        <v>21</v>
      </c>
      <c r="B1906" t="s">
        <v>5188</v>
      </c>
      <c r="C1906" t="s">
        <v>270</v>
      </c>
      <c r="D1906" t="s">
        <v>1969</v>
      </c>
      <c r="E1906">
        <v>55832</v>
      </c>
      <c r="H1906" t="s">
        <v>2433</v>
      </c>
      <c r="I1906" t="s">
        <v>1343</v>
      </c>
      <c r="J1906" t="s">
        <v>297</v>
      </c>
      <c r="K1906">
        <v>2104</v>
      </c>
      <c r="L1906" t="s">
        <v>276</v>
      </c>
      <c r="M1906" t="s">
        <v>631</v>
      </c>
      <c r="N1906" t="s">
        <v>276</v>
      </c>
      <c r="P1906" t="s">
        <v>260</v>
      </c>
      <c r="Q1906" t="s">
        <v>260</v>
      </c>
      <c r="R1906" t="s">
        <v>261</v>
      </c>
      <c r="S1906" t="s">
        <v>21</v>
      </c>
      <c r="T1906">
        <v>100</v>
      </c>
      <c r="W1906" t="s">
        <v>262</v>
      </c>
      <c r="X1906">
        <v>-37.008299999999998</v>
      </c>
      <c r="Y1906">
        <v>174.87049999999999</v>
      </c>
    </row>
    <row r="1907" spans="1:28" x14ac:dyDescent="0.3">
      <c r="A1907" t="s">
        <v>21</v>
      </c>
      <c r="B1907" t="s">
        <v>5189</v>
      </c>
      <c r="C1907" t="s">
        <v>270</v>
      </c>
      <c r="D1907" t="s">
        <v>5190</v>
      </c>
      <c r="E1907">
        <v>55857</v>
      </c>
      <c r="H1907" t="s">
        <v>2433</v>
      </c>
      <c r="I1907" t="s">
        <v>1343</v>
      </c>
      <c r="J1907" t="s">
        <v>297</v>
      </c>
      <c r="K1907">
        <v>2104</v>
      </c>
      <c r="L1907" t="s">
        <v>276</v>
      </c>
      <c r="M1907" t="s">
        <v>631</v>
      </c>
      <c r="N1907" t="s">
        <v>276</v>
      </c>
      <c r="P1907" t="s">
        <v>260</v>
      </c>
      <c r="Q1907" t="s">
        <v>260</v>
      </c>
      <c r="R1907" t="s">
        <v>261</v>
      </c>
      <c r="S1907" t="s">
        <v>21</v>
      </c>
      <c r="T1907">
        <v>100</v>
      </c>
      <c r="W1907" t="s">
        <v>262</v>
      </c>
      <c r="X1907">
        <v>-37.008299999999998</v>
      </c>
      <c r="Y1907">
        <v>174.87049999999999</v>
      </c>
    </row>
    <row r="1908" spans="1:28" x14ac:dyDescent="0.3">
      <c r="A1908" t="s">
        <v>21</v>
      </c>
      <c r="B1908" t="s">
        <v>5191</v>
      </c>
      <c r="C1908" t="s">
        <v>270</v>
      </c>
      <c r="D1908" t="s">
        <v>1392</v>
      </c>
      <c r="E1908">
        <v>1911</v>
      </c>
      <c r="H1908" t="s">
        <v>2433</v>
      </c>
      <c r="I1908" t="s">
        <v>1343</v>
      </c>
      <c r="J1908" t="s">
        <v>297</v>
      </c>
      <c r="K1908">
        <v>2104</v>
      </c>
      <c r="L1908" t="s">
        <v>276</v>
      </c>
      <c r="M1908" t="s">
        <v>631</v>
      </c>
      <c r="N1908" t="s">
        <v>276</v>
      </c>
      <c r="P1908" t="s">
        <v>260</v>
      </c>
      <c r="Q1908" t="s">
        <v>260</v>
      </c>
      <c r="R1908" t="s">
        <v>261</v>
      </c>
      <c r="S1908" t="s">
        <v>21</v>
      </c>
      <c r="T1908">
        <v>100</v>
      </c>
      <c r="W1908" t="s">
        <v>262</v>
      </c>
      <c r="X1908">
        <v>-37.008299999999998</v>
      </c>
      <c r="Y1908">
        <v>174.87049999999999</v>
      </c>
    </row>
    <row r="1909" spans="1:28" x14ac:dyDescent="0.3">
      <c r="A1909" t="s">
        <v>21</v>
      </c>
      <c r="B1909" t="s">
        <v>5192</v>
      </c>
      <c r="C1909" t="s">
        <v>270</v>
      </c>
      <c r="D1909" t="s">
        <v>5193</v>
      </c>
      <c r="E1909">
        <v>55843</v>
      </c>
      <c r="H1909" t="s">
        <v>2433</v>
      </c>
      <c r="I1909" t="s">
        <v>1343</v>
      </c>
      <c r="J1909" t="s">
        <v>297</v>
      </c>
      <c r="K1909">
        <v>2104</v>
      </c>
      <c r="L1909" t="s">
        <v>276</v>
      </c>
      <c r="M1909" t="s">
        <v>631</v>
      </c>
      <c r="N1909" t="s">
        <v>276</v>
      </c>
      <c r="P1909" t="s">
        <v>260</v>
      </c>
      <c r="Q1909" t="s">
        <v>260</v>
      </c>
      <c r="R1909" t="s">
        <v>261</v>
      </c>
      <c r="S1909" t="s">
        <v>21</v>
      </c>
      <c r="T1909">
        <v>100</v>
      </c>
      <c r="W1909" t="s">
        <v>262</v>
      </c>
      <c r="X1909">
        <v>-37.008299999999998</v>
      </c>
      <c r="Y1909">
        <v>174.87049999999999</v>
      </c>
    </row>
    <row r="1910" spans="1:28" x14ac:dyDescent="0.3">
      <c r="A1910" t="s">
        <v>21</v>
      </c>
      <c r="B1910" t="s">
        <v>5194</v>
      </c>
      <c r="C1910" t="s">
        <v>270</v>
      </c>
      <c r="D1910" t="s">
        <v>5195</v>
      </c>
      <c r="E1910">
        <v>55828</v>
      </c>
      <c r="H1910" t="s">
        <v>2433</v>
      </c>
      <c r="I1910" t="s">
        <v>1343</v>
      </c>
      <c r="J1910" t="s">
        <v>297</v>
      </c>
      <c r="K1910">
        <v>2104</v>
      </c>
      <c r="L1910" t="s">
        <v>276</v>
      </c>
      <c r="M1910" t="s">
        <v>631</v>
      </c>
      <c r="N1910" t="s">
        <v>276</v>
      </c>
      <c r="P1910" t="s">
        <v>260</v>
      </c>
      <c r="Q1910" t="s">
        <v>260</v>
      </c>
      <c r="R1910" t="s">
        <v>261</v>
      </c>
      <c r="S1910" t="s">
        <v>21</v>
      </c>
      <c r="T1910">
        <v>100</v>
      </c>
      <c r="W1910" t="s">
        <v>262</v>
      </c>
      <c r="X1910">
        <v>-37.008299999999998</v>
      </c>
      <c r="Y1910">
        <v>174.87049999999999</v>
      </c>
    </row>
    <row r="1911" spans="1:28" x14ac:dyDescent="0.3">
      <c r="A1911" t="s">
        <v>21</v>
      </c>
      <c r="B1911" t="s">
        <v>5196</v>
      </c>
      <c r="C1911" t="s">
        <v>270</v>
      </c>
      <c r="D1911" t="s">
        <v>5197</v>
      </c>
      <c r="E1911">
        <v>54824</v>
      </c>
      <c r="H1911" t="s">
        <v>2433</v>
      </c>
      <c r="I1911" t="s">
        <v>1343</v>
      </c>
      <c r="J1911" t="s">
        <v>297</v>
      </c>
      <c r="K1911">
        <v>2104</v>
      </c>
      <c r="L1911" t="s">
        <v>276</v>
      </c>
      <c r="M1911" t="s">
        <v>631</v>
      </c>
      <c r="N1911" t="s">
        <v>276</v>
      </c>
      <c r="P1911" t="s">
        <v>260</v>
      </c>
      <c r="Q1911" t="s">
        <v>260</v>
      </c>
      <c r="R1911" t="s">
        <v>261</v>
      </c>
      <c r="S1911" t="s">
        <v>21</v>
      </c>
      <c r="T1911">
        <v>100</v>
      </c>
      <c r="W1911" t="s">
        <v>262</v>
      </c>
      <c r="X1911">
        <v>-37.008299999999998</v>
      </c>
      <c r="Y1911">
        <v>174.87049999999999</v>
      </c>
    </row>
    <row r="1912" spans="1:28" x14ac:dyDescent="0.3">
      <c r="A1912" t="s">
        <v>21</v>
      </c>
      <c r="B1912" t="s">
        <v>5198</v>
      </c>
      <c r="C1912" t="s">
        <v>270</v>
      </c>
      <c r="D1912" t="s">
        <v>5199</v>
      </c>
      <c r="E1912">
        <v>1922</v>
      </c>
      <c r="H1912" t="s">
        <v>2433</v>
      </c>
      <c r="I1912" t="s">
        <v>1343</v>
      </c>
      <c r="J1912" t="s">
        <v>297</v>
      </c>
      <c r="K1912">
        <v>2104</v>
      </c>
      <c r="L1912" t="s">
        <v>276</v>
      </c>
      <c r="M1912" t="s">
        <v>631</v>
      </c>
      <c r="N1912" t="s">
        <v>276</v>
      </c>
      <c r="P1912" t="s">
        <v>260</v>
      </c>
      <c r="Q1912" t="s">
        <v>260</v>
      </c>
      <c r="R1912" t="s">
        <v>261</v>
      </c>
      <c r="S1912" t="s">
        <v>21</v>
      </c>
      <c r="T1912">
        <v>100</v>
      </c>
      <c r="W1912" t="s">
        <v>262</v>
      </c>
      <c r="X1912">
        <v>-37.008299999999998</v>
      </c>
      <c r="Y1912">
        <v>174.87049999999999</v>
      </c>
    </row>
    <row r="1913" spans="1:28" x14ac:dyDescent="0.3">
      <c r="A1913" t="s">
        <v>21</v>
      </c>
      <c r="B1913" t="s">
        <v>5200</v>
      </c>
      <c r="C1913" t="s">
        <v>270</v>
      </c>
      <c r="D1913" t="s">
        <v>5201</v>
      </c>
      <c r="E1913">
        <v>8818</v>
      </c>
      <c r="H1913" t="s">
        <v>2433</v>
      </c>
      <c r="I1913" t="s">
        <v>1343</v>
      </c>
      <c r="J1913" t="s">
        <v>297</v>
      </c>
      <c r="K1913">
        <v>2104</v>
      </c>
      <c r="L1913" t="s">
        <v>276</v>
      </c>
      <c r="M1913" t="s">
        <v>631</v>
      </c>
      <c r="N1913" t="s">
        <v>276</v>
      </c>
      <c r="P1913" t="s">
        <v>260</v>
      </c>
      <c r="Q1913" t="s">
        <v>260</v>
      </c>
      <c r="R1913" t="s">
        <v>261</v>
      </c>
      <c r="S1913" t="s">
        <v>21</v>
      </c>
      <c r="T1913">
        <v>100</v>
      </c>
      <c r="W1913" t="s">
        <v>262</v>
      </c>
      <c r="X1913">
        <v>-37.008299999999998</v>
      </c>
      <c r="Y1913">
        <v>174.87049999999999</v>
      </c>
    </row>
    <row r="1914" spans="1:28" x14ac:dyDescent="0.3">
      <c r="A1914" t="s">
        <v>21</v>
      </c>
      <c r="B1914" t="s">
        <v>5202</v>
      </c>
      <c r="C1914" t="s">
        <v>270</v>
      </c>
      <c r="D1914" t="s">
        <v>5203</v>
      </c>
      <c r="E1914">
        <v>54825</v>
      </c>
      <c r="H1914" t="s">
        <v>2433</v>
      </c>
      <c r="I1914" t="s">
        <v>1343</v>
      </c>
      <c r="J1914" t="s">
        <v>297</v>
      </c>
      <c r="K1914">
        <v>2104</v>
      </c>
      <c r="L1914" t="s">
        <v>276</v>
      </c>
      <c r="M1914" t="s">
        <v>631</v>
      </c>
      <c r="N1914" t="s">
        <v>276</v>
      </c>
      <c r="P1914" t="s">
        <v>260</v>
      </c>
      <c r="Q1914" t="s">
        <v>260</v>
      </c>
      <c r="R1914" t="s">
        <v>261</v>
      </c>
      <c r="S1914" t="s">
        <v>21</v>
      </c>
      <c r="T1914">
        <v>100</v>
      </c>
      <c r="W1914" t="s">
        <v>262</v>
      </c>
      <c r="X1914">
        <v>-37.008299999999998</v>
      </c>
      <c r="Y1914">
        <v>174.87049999999999</v>
      </c>
    </row>
    <row r="1915" spans="1:28" x14ac:dyDescent="0.3">
      <c r="A1915" t="s">
        <v>21</v>
      </c>
      <c r="B1915" t="s">
        <v>5204</v>
      </c>
      <c r="C1915" t="s">
        <v>270</v>
      </c>
      <c r="D1915" t="s">
        <v>5205</v>
      </c>
      <c r="E1915">
        <v>56906</v>
      </c>
      <c r="M1915" t="s">
        <v>297</v>
      </c>
      <c r="N1915" t="s">
        <v>276</v>
      </c>
      <c r="P1915" t="s">
        <v>260</v>
      </c>
      <c r="Q1915" t="s">
        <v>260</v>
      </c>
      <c r="R1915" t="s">
        <v>283</v>
      </c>
      <c r="S1915" t="s">
        <v>21</v>
      </c>
      <c r="T1915">
        <v>100</v>
      </c>
      <c r="W1915" t="s">
        <v>262</v>
      </c>
    </row>
    <row r="1916" spans="1:28" x14ac:dyDescent="0.3">
      <c r="A1916" t="s">
        <v>21</v>
      </c>
      <c r="B1916" t="s">
        <v>5206</v>
      </c>
      <c r="C1916" t="s">
        <v>5207</v>
      </c>
      <c r="D1916" t="s">
        <v>5208</v>
      </c>
      <c r="E1916" t="s">
        <v>5209</v>
      </c>
      <c r="G1916" t="s">
        <v>5210</v>
      </c>
      <c r="M1916" t="s">
        <v>739</v>
      </c>
      <c r="N1916" t="s">
        <v>276</v>
      </c>
      <c r="P1916" t="s">
        <v>260</v>
      </c>
      <c r="Q1916" t="s">
        <v>260</v>
      </c>
      <c r="R1916" t="s">
        <v>261</v>
      </c>
      <c r="S1916" t="s">
        <v>21</v>
      </c>
      <c r="T1916">
        <v>100</v>
      </c>
      <c r="W1916" t="s">
        <v>262</v>
      </c>
    </row>
    <row r="1917" spans="1:28" x14ac:dyDescent="0.3">
      <c r="A1917" t="s">
        <v>21</v>
      </c>
      <c r="B1917" t="s">
        <v>5211</v>
      </c>
      <c r="C1917" t="s">
        <v>5212</v>
      </c>
      <c r="D1917" t="s">
        <v>5213</v>
      </c>
      <c r="E1917">
        <v>558024</v>
      </c>
      <c r="G1917" t="s">
        <v>5214</v>
      </c>
      <c r="M1917" t="s">
        <v>685</v>
      </c>
      <c r="N1917" t="s">
        <v>276</v>
      </c>
      <c r="P1917" t="s">
        <v>260</v>
      </c>
      <c r="Q1917" t="s">
        <v>260</v>
      </c>
      <c r="R1917" t="s">
        <v>261</v>
      </c>
      <c r="S1917" t="s">
        <v>21</v>
      </c>
      <c r="T1917">
        <v>100</v>
      </c>
      <c r="W1917" t="s">
        <v>262</v>
      </c>
    </row>
    <row r="1918" spans="1:28" x14ac:dyDescent="0.3">
      <c r="A1918" t="s">
        <v>21</v>
      </c>
      <c r="B1918" t="s">
        <v>5215</v>
      </c>
      <c r="C1918" t="s">
        <v>270</v>
      </c>
      <c r="D1918" t="s">
        <v>5216</v>
      </c>
      <c r="E1918">
        <v>558007</v>
      </c>
      <c r="F1918">
        <v>558007</v>
      </c>
      <c r="M1918" t="s">
        <v>685</v>
      </c>
      <c r="N1918" t="s">
        <v>276</v>
      </c>
      <c r="P1918" t="s">
        <v>260</v>
      </c>
      <c r="Q1918" t="s">
        <v>260</v>
      </c>
      <c r="R1918" t="s">
        <v>261</v>
      </c>
      <c r="S1918" t="s">
        <v>21</v>
      </c>
      <c r="T1918">
        <v>100</v>
      </c>
      <c r="W1918" t="s">
        <v>262</v>
      </c>
    </row>
    <row r="1919" spans="1:28" x14ac:dyDescent="0.3">
      <c r="A1919" t="s">
        <v>21</v>
      </c>
      <c r="B1919" t="s">
        <v>5217</v>
      </c>
      <c r="C1919" t="s">
        <v>270</v>
      </c>
      <c r="D1919" t="s">
        <v>5218</v>
      </c>
      <c r="E1919" t="s">
        <v>5218</v>
      </c>
      <c r="F1919" t="s">
        <v>5218</v>
      </c>
      <c r="M1919" t="s">
        <v>297</v>
      </c>
      <c r="N1919" t="s">
        <v>276</v>
      </c>
      <c r="P1919" t="s">
        <v>260</v>
      </c>
      <c r="Q1919" t="s">
        <v>260</v>
      </c>
      <c r="R1919" t="s">
        <v>283</v>
      </c>
      <c r="S1919" t="s">
        <v>21</v>
      </c>
      <c r="T1919">
        <v>100</v>
      </c>
      <c r="W1919" t="s">
        <v>262</v>
      </c>
    </row>
    <row r="1920" spans="1:28" x14ac:dyDescent="0.3">
      <c r="A1920" t="s">
        <v>21</v>
      </c>
      <c r="B1920" t="s">
        <v>5219</v>
      </c>
      <c r="C1920" t="s">
        <v>270</v>
      </c>
      <c r="D1920" t="s">
        <v>5220</v>
      </c>
      <c r="E1920">
        <v>91289</v>
      </c>
      <c r="H1920" t="s">
        <v>5221</v>
      </c>
      <c r="I1920" t="s">
        <v>5222</v>
      </c>
      <c r="J1920" t="s">
        <v>822</v>
      </c>
      <c r="K1920">
        <v>5024</v>
      </c>
      <c r="L1920" t="s">
        <v>276</v>
      </c>
      <c r="M1920" t="s">
        <v>822</v>
      </c>
      <c r="N1920" t="s">
        <v>276</v>
      </c>
      <c r="P1920" t="s">
        <v>260</v>
      </c>
      <c r="Q1920" t="s">
        <v>260</v>
      </c>
      <c r="R1920" t="s">
        <v>293</v>
      </c>
      <c r="S1920" t="s">
        <v>21</v>
      </c>
      <c r="T1920">
        <v>100</v>
      </c>
      <c r="W1920" t="s">
        <v>262</v>
      </c>
      <c r="X1920">
        <v>-41.133899999999997</v>
      </c>
      <c r="Y1920">
        <v>174.84729999999999</v>
      </c>
      <c r="AB1920" s="9">
        <v>45473</v>
      </c>
    </row>
    <row r="1921" spans="1:28" x14ac:dyDescent="0.3">
      <c r="A1921" t="s">
        <v>21</v>
      </c>
      <c r="B1921" t="s">
        <v>5223</v>
      </c>
      <c r="C1921" t="s">
        <v>270</v>
      </c>
      <c r="D1921" t="s">
        <v>5224</v>
      </c>
      <c r="E1921">
        <v>91288</v>
      </c>
      <c r="H1921" t="s">
        <v>5225</v>
      </c>
      <c r="I1921" t="s">
        <v>5226</v>
      </c>
      <c r="J1921" t="s">
        <v>822</v>
      </c>
      <c r="K1921">
        <v>5026</v>
      </c>
      <c r="L1921" t="s">
        <v>276</v>
      </c>
      <c r="M1921" t="s">
        <v>822</v>
      </c>
      <c r="N1921" t="s">
        <v>276</v>
      </c>
      <c r="P1921" t="s">
        <v>260</v>
      </c>
      <c r="Q1921" t="s">
        <v>260</v>
      </c>
      <c r="R1921" t="s">
        <v>293</v>
      </c>
      <c r="S1921" t="s">
        <v>21</v>
      </c>
      <c r="T1921">
        <v>100</v>
      </c>
      <c r="W1921" t="s">
        <v>262</v>
      </c>
      <c r="X1921">
        <v>-41.078899999999997</v>
      </c>
      <c r="Y1921">
        <v>174.87010000000001</v>
      </c>
    </row>
    <row r="1922" spans="1:28" x14ac:dyDescent="0.3">
      <c r="A1922" t="s">
        <v>21</v>
      </c>
      <c r="B1922" t="s">
        <v>5227</v>
      </c>
      <c r="C1922" t="s">
        <v>270</v>
      </c>
      <c r="D1922" t="s">
        <v>5228</v>
      </c>
      <c r="E1922">
        <v>91845</v>
      </c>
      <c r="H1922" t="s">
        <v>5229</v>
      </c>
      <c r="I1922" t="s">
        <v>5230</v>
      </c>
      <c r="J1922" t="s">
        <v>822</v>
      </c>
      <c r="K1922">
        <v>5022</v>
      </c>
      <c r="M1922" t="s">
        <v>631</v>
      </c>
      <c r="N1922" t="s">
        <v>276</v>
      </c>
      <c r="P1922" t="s">
        <v>260</v>
      </c>
      <c r="Q1922" t="s">
        <v>260</v>
      </c>
      <c r="R1922" t="s">
        <v>293</v>
      </c>
      <c r="S1922" t="s">
        <v>21</v>
      </c>
      <c r="T1922">
        <v>100</v>
      </c>
      <c r="W1922" t="s">
        <v>262</v>
      </c>
      <c r="AB1922" s="9">
        <v>45473</v>
      </c>
    </row>
    <row r="1923" spans="1:28" x14ac:dyDescent="0.3">
      <c r="A1923" t="s">
        <v>21</v>
      </c>
      <c r="B1923" t="s">
        <v>5231</v>
      </c>
      <c r="C1923" t="s">
        <v>270</v>
      </c>
      <c r="D1923" t="s">
        <v>5232</v>
      </c>
      <c r="E1923" t="s">
        <v>5233</v>
      </c>
      <c r="M1923" t="s">
        <v>631</v>
      </c>
      <c r="N1923" t="s">
        <v>276</v>
      </c>
      <c r="P1923" t="s">
        <v>260</v>
      </c>
      <c r="Q1923" t="s">
        <v>260</v>
      </c>
      <c r="R1923" t="s">
        <v>261</v>
      </c>
      <c r="S1923" t="s">
        <v>21</v>
      </c>
      <c r="T1923">
        <v>100</v>
      </c>
      <c r="W1923" t="s">
        <v>262</v>
      </c>
    </row>
    <row r="1924" spans="1:28" ht="409.5" customHeight="1" x14ac:dyDescent="0.3">
      <c r="A1924" t="s">
        <v>21</v>
      </c>
      <c r="B1924" t="s">
        <v>5234</v>
      </c>
      <c r="C1924" t="s">
        <v>270</v>
      </c>
      <c r="D1924" t="s">
        <v>5235</v>
      </c>
      <c r="E1924" t="s">
        <v>5236</v>
      </c>
      <c r="G1924" s="10" t="s">
        <v>5237</v>
      </c>
      <c r="H1924" t="s">
        <v>5238</v>
      </c>
      <c r="I1924" t="s">
        <v>5239</v>
      </c>
      <c r="J1924" t="s">
        <v>403</v>
      </c>
      <c r="K1924">
        <v>6011</v>
      </c>
      <c r="M1924" t="s">
        <v>822</v>
      </c>
      <c r="N1924" t="s">
        <v>276</v>
      </c>
      <c r="P1924" t="s">
        <v>260</v>
      </c>
      <c r="Q1924" t="s">
        <v>260</v>
      </c>
      <c r="R1924" t="s">
        <v>283</v>
      </c>
      <c r="S1924" t="s">
        <v>21</v>
      </c>
      <c r="T1924">
        <v>100</v>
      </c>
      <c r="W1924" t="s">
        <v>262</v>
      </c>
    </row>
    <row r="1925" spans="1:28" x14ac:dyDescent="0.3">
      <c r="A1925" t="s">
        <v>21</v>
      </c>
      <c r="B1925" t="s">
        <v>5240</v>
      </c>
      <c r="C1925" t="s">
        <v>299</v>
      </c>
      <c r="D1925" t="s">
        <v>5241</v>
      </c>
      <c r="E1925">
        <v>230</v>
      </c>
      <c r="H1925" t="s">
        <v>5242</v>
      </c>
      <c r="I1925" t="s">
        <v>1398</v>
      </c>
      <c r="J1925" t="s">
        <v>305</v>
      </c>
      <c r="K1925">
        <v>5700</v>
      </c>
      <c r="L1925" t="s">
        <v>259</v>
      </c>
      <c r="M1925" t="s">
        <v>307</v>
      </c>
      <c r="N1925" t="s">
        <v>259</v>
      </c>
      <c r="P1925" t="s">
        <v>260</v>
      </c>
      <c r="Q1925" t="s">
        <v>260</v>
      </c>
      <c r="R1925" t="s">
        <v>261</v>
      </c>
      <c r="S1925" t="s">
        <v>21</v>
      </c>
      <c r="T1925">
        <v>100</v>
      </c>
      <c r="W1925" t="s">
        <v>262</v>
      </c>
      <c r="X1925">
        <v>-32.494</v>
      </c>
      <c r="Y1925">
        <v>137.77799999999999</v>
      </c>
      <c r="Z1925">
        <v>310</v>
      </c>
    </row>
    <row r="1926" spans="1:28" x14ac:dyDescent="0.3">
      <c r="A1926" t="s">
        <v>21</v>
      </c>
      <c r="B1926" t="s">
        <v>5243</v>
      </c>
      <c r="C1926" t="s">
        <v>270</v>
      </c>
      <c r="D1926" t="s">
        <v>5244</v>
      </c>
      <c r="E1926" t="s">
        <v>5244</v>
      </c>
      <c r="F1926" t="s">
        <v>5244</v>
      </c>
      <c r="M1926" t="s">
        <v>411</v>
      </c>
      <c r="N1926" t="s">
        <v>259</v>
      </c>
      <c r="P1926" t="s">
        <v>260</v>
      </c>
      <c r="Q1926" t="s">
        <v>260</v>
      </c>
      <c r="R1926" t="s">
        <v>283</v>
      </c>
      <c r="S1926" t="s">
        <v>21</v>
      </c>
      <c r="T1926">
        <v>100</v>
      </c>
      <c r="W1926" t="s">
        <v>262</v>
      </c>
    </row>
    <row r="1927" spans="1:28" x14ac:dyDescent="0.3">
      <c r="A1927" t="s">
        <v>21</v>
      </c>
      <c r="B1927" t="s">
        <v>5245</v>
      </c>
      <c r="C1927" t="s">
        <v>299</v>
      </c>
      <c r="D1927" t="s">
        <v>5246</v>
      </c>
      <c r="E1927">
        <v>17021037</v>
      </c>
      <c r="H1927" t="s">
        <v>5247</v>
      </c>
      <c r="I1927" t="s">
        <v>5245</v>
      </c>
      <c r="J1927" t="s">
        <v>305</v>
      </c>
      <c r="K1927">
        <v>5606</v>
      </c>
      <c r="L1927" t="s">
        <v>259</v>
      </c>
      <c r="M1927" t="s">
        <v>307</v>
      </c>
      <c r="N1927" t="s">
        <v>259</v>
      </c>
      <c r="P1927" t="s">
        <v>260</v>
      </c>
      <c r="Q1927" t="s">
        <v>260</v>
      </c>
      <c r="R1927" t="s">
        <v>261</v>
      </c>
      <c r="S1927" t="s">
        <v>21</v>
      </c>
      <c r="T1927">
        <v>100</v>
      </c>
      <c r="W1927" t="s">
        <v>262</v>
      </c>
      <c r="X1927">
        <v>-34.725000000000001</v>
      </c>
      <c r="Y1927">
        <v>135.86699999999999</v>
      </c>
      <c r="Z1927">
        <v>310</v>
      </c>
    </row>
    <row r="1928" spans="1:28" x14ac:dyDescent="0.3">
      <c r="A1928" t="s">
        <v>21</v>
      </c>
      <c r="B1928" t="s">
        <v>5248</v>
      </c>
      <c r="C1928" t="s">
        <v>299</v>
      </c>
      <c r="D1928" t="s">
        <v>5249</v>
      </c>
      <c r="E1928">
        <v>235</v>
      </c>
      <c r="H1928" t="s">
        <v>5250</v>
      </c>
      <c r="I1928" t="s">
        <v>5248</v>
      </c>
      <c r="J1928" t="s">
        <v>305</v>
      </c>
      <c r="K1928">
        <v>5540</v>
      </c>
      <c r="L1928" t="s">
        <v>259</v>
      </c>
      <c r="M1928" t="s">
        <v>307</v>
      </c>
      <c r="N1928" t="s">
        <v>259</v>
      </c>
      <c r="P1928" t="s">
        <v>260</v>
      </c>
      <c r="Q1928" t="s">
        <v>260</v>
      </c>
      <c r="R1928" t="s">
        <v>261</v>
      </c>
      <c r="S1928" t="s">
        <v>21</v>
      </c>
      <c r="T1928">
        <v>100</v>
      </c>
      <c r="W1928" t="s">
        <v>262</v>
      </c>
      <c r="X1928">
        <v>-33.186</v>
      </c>
      <c r="Y1928">
        <v>138.03200000000001</v>
      </c>
      <c r="Z1928">
        <v>310</v>
      </c>
    </row>
    <row r="1929" spans="1:28" x14ac:dyDescent="0.3">
      <c r="A1929" t="s">
        <v>21</v>
      </c>
      <c r="B1929" t="s">
        <v>5251</v>
      </c>
      <c r="C1929" t="s">
        <v>270</v>
      </c>
      <c r="D1929" t="s">
        <v>5252</v>
      </c>
      <c r="E1929">
        <v>1994</v>
      </c>
      <c r="G1929" t="s">
        <v>2158</v>
      </c>
      <c r="H1929" t="s">
        <v>2433</v>
      </c>
      <c r="I1929" t="s">
        <v>1343</v>
      </c>
      <c r="J1929" t="s">
        <v>297</v>
      </c>
      <c r="K1929">
        <v>2104</v>
      </c>
      <c r="L1929" t="s">
        <v>276</v>
      </c>
      <c r="M1929" t="s">
        <v>631</v>
      </c>
      <c r="N1929" t="s">
        <v>276</v>
      </c>
      <c r="P1929" t="s">
        <v>260</v>
      </c>
      <c r="Q1929" t="s">
        <v>260</v>
      </c>
      <c r="R1929" t="s">
        <v>283</v>
      </c>
      <c r="S1929" t="s">
        <v>21</v>
      </c>
      <c r="T1929">
        <v>100</v>
      </c>
      <c r="W1929" t="s">
        <v>262</v>
      </c>
      <c r="X1929">
        <v>-37.008299999999998</v>
      </c>
      <c r="Y1929">
        <v>174.87049999999999</v>
      </c>
    </row>
    <row r="1930" spans="1:28" x14ac:dyDescent="0.3">
      <c r="A1930" t="s">
        <v>21</v>
      </c>
      <c r="B1930" t="s">
        <v>5253</v>
      </c>
      <c r="C1930" t="s">
        <v>270</v>
      </c>
      <c r="D1930" t="s">
        <v>5254</v>
      </c>
      <c r="E1930" t="s">
        <v>5255</v>
      </c>
      <c r="M1930" t="s">
        <v>297</v>
      </c>
      <c r="N1930" t="s">
        <v>276</v>
      </c>
      <c r="P1930" t="s">
        <v>260</v>
      </c>
      <c r="Q1930" t="s">
        <v>260</v>
      </c>
      <c r="R1930" t="s">
        <v>283</v>
      </c>
      <c r="S1930" t="s">
        <v>21</v>
      </c>
      <c r="T1930">
        <v>100</v>
      </c>
      <c r="W1930" t="s">
        <v>262</v>
      </c>
    </row>
    <row r="1931" spans="1:28" x14ac:dyDescent="0.3">
      <c r="A1931" t="s">
        <v>21</v>
      </c>
      <c r="B1931" t="s">
        <v>5256</v>
      </c>
      <c r="C1931" t="s">
        <v>270</v>
      </c>
      <c r="D1931" t="s">
        <v>2140</v>
      </c>
      <c r="E1931">
        <v>1519</v>
      </c>
      <c r="H1931" t="s">
        <v>2433</v>
      </c>
      <c r="I1931" t="s">
        <v>1343</v>
      </c>
      <c r="J1931" t="s">
        <v>297</v>
      </c>
      <c r="K1931">
        <v>2104</v>
      </c>
      <c r="L1931" t="s">
        <v>276</v>
      </c>
      <c r="M1931" t="s">
        <v>631</v>
      </c>
      <c r="N1931" t="s">
        <v>276</v>
      </c>
      <c r="P1931" t="s">
        <v>260</v>
      </c>
      <c r="Q1931" t="s">
        <v>260</v>
      </c>
      <c r="R1931" t="s">
        <v>283</v>
      </c>
      <c r="S1931" t="s">
        <v>21</v>
      </c>
      <c r="T1931">
        <v>100</v>
      </c>
      <c r="W1931" t="s">
        <v>262</v>
      </c>
      <c r="X1931">
        <v>-37.008299999999998</v>
      </c>
      <c r="Y1931">
        <v>174.87049999999999</v>
      </c>
    </row>
    <row r="1932" spans="1:28" x14ac:dyDescent="0.3">
      <c r="A1932" t="s">
        <v>21</v>
      </c>
      <c r="B1932" t="s">
        <v>5257</v>
      </c>
      <c r="C1932" t="s">
        <v>270</v>
      </c>
      <c r="D1932" t="s">
        <v>5252</v>
      </c>
      <c r="E1932">
        <v>1501</v>
      </c>
      <c r="M1932" t="s">
        <v>631</v>
      </c>
      <c r="N1932" t="s">
        <v>276</v>
      </c>
      <c r="P1932" t="s">
        <v>260</v>
      </c>
      <c r="Q1932" t="s">
        <v>260</v>
      </c>
      <c r="R1932" t="s">
        <v>283</v>
      </c>
      <c r="S1932" t="s">
        <v>21</v>
      </c>
      <c r="T1932">
        <v>100</v>
      </c>
      <c r="W1932" t="s">
        <v>262</v>
      </c>
    </row>
    <row r="1933" spans="1:28" x14ac:dyDescent="0.3">
      <c r="A1933" t="s">
        <v>21</v>
      </c>
      <c r="B1933" t="s">
        <v>5258</v>
      </c>
      <c r="C1933" t="s">
        <v>2898</v>
      </c>
      <c r="D1933" t="s">
        <v>5259</v>
      </c>
      <c r="E1933">
        <v>392122</v>
      </c>
      <c r="G1933" t="s">
        <v>5260</v>
      </c>
      <c r="H1933" t="s">
        <v>5261</v>
      </c>
      <c r="I1933" t="s">
        <v>5262</v>
      </c>
      <c r="J1933" t="s">
        <v>302</v>
      </c>
      <c r="K1933">
        <v>4207</v>
      </c>
      <c r="M1933" t="s">
        <v>302</v>
      </c>
      <c r="N1933" t="s">
        <v>259</v>
      </c>
      <c r="P1933" t="s">
        <v>260</v>
      </c>
      <c r="Q1933" t="s">
        <v>260</v>
      </c>
      <c r="R1933" t="s">
        <v>283</v>
      </c>
      <c r="S1933" t="s">
        <v>21</v>
      </c>
      <c r="T1933">
        <v>100</v>
      </c>
      <c r="W1933" t="s">
        <v>262</v>
      </c>
    </row>
    <row r="1934" spans="1:28" ht="135" customHeight="1" x14ac:dyDescent="0.3">
      <c r="A1934" t="s">
        <v>21</v>
      </c>
      <c r="B1934" t="s">
        <v>5263</v>
      </c>
      <c r="C1934" t="s">
        <v>270</v>
      </c>
      <c r="D1934" t="s">
        <v>5264</v>
      </c>
      <c r="E1934" t="s">
        <v>5265</v>
      </c>
      <c r="G1934" s="10" t="s">
        <v>5266</v>
      </c>
      <c r="M1934" t="s">
        <v>297</v>
      </c>
      <c r="N1934" t="s">
        <v>276</v>
      </c>
      <c r="P1934" t="s">
        <v>260</v>
      </c>
      <c r="Q1934" t="s">
        <v>260</v>
      </c>
      <c r="R1934" t="s">
        <v>283</v>
      </c>
      <c r="S1934" t="s">
        <v>21</v>
      </c>
      <c r="T1934">
        <v>100</v>
      </c>
      <c r="W1934" t="s">
        <v>262</v>
      </c>
    </row>
    <row r="1935" spans="1:28" x14ac:dyDescent="0.3">
      <c r="A1935" t="s">
        <v>21</v>
      </c>
      <c r="B1935" t="s">
        <v>5267</v>
      </c>
      <c r="C1935" t="s">
        <v>270</v>
      </c>
      <c r="D1935" t="s">
        <v>5268</v>
      </c>
      <c r="E1935" t="s">
        <v>5268</v>
      </c>
      <c r="M1935" t="s">
        <v>411</v>
      </c>
      <c r="N1935" t="s">
        <v>259</v>
      </c>
      <c r="P1935" t="s">
        <v>260</v>
      </c>
      <c r="Q1935" t="s">
        <v>260</v>
      </c>
      <c r="R1935" t="s">
        <v>283</v>
      </c>
      <c r="S1935" t="s">
        <v>21</v>
      </c>
      <c r="T1935">
        <v>100</v>
      </c>
      <c r="W1935" t="s">
        <v>262</v>
      </c>
    </row>
    <row r="1936" spans="1:28" x14ac:dyDescent="0.3">
      <c r="A1936" t="s">
        <v>21</v>
      </c>
      <c r="B1936" t="s">
        <v>5269</v>
      </c>
      <c r="C1936" t="s">
        <v>270</v>
      </c>
      <c r="D1936" t="s">
        <v>5270</v>
      </c>
      <c r="E1936">
        <v>55909</v>
      </c>
      <c r="H1936" t="s">
        <v>2433</v>
      </c>
      <c r="I1936" t="s">
        <v>1343</v>
      </c>
      <c r="J1936" t="s">
        <v>297</v>
      </c>
      <c r="K1936">
        <v>2104</v>
      </c>
      <c r="L1936" t="s">
        <v>276</v>
      </c>
      <c r="M1936" t="s">
        <v>631</v>
      </c>
      <c r="N1936" t="s">
        <v>276</v>
      </c>
      <c r="P1936" t="s">
        <v>260</v>
      </c>
      <c r="Q1936" t="s">
        <v>260</v>
      </c>
      <c r="R1936" t="s">
        <v>261</v>
      </c>
      <c r="S1936" t="s">
        <v>21</v>
      </c>
      <c r="T1936">
        <v>100</v>
      </c>
      <c r="W1936" t="s">
        <v>262</v>
      </c>
      <c r="X1936">
        <v>-37.008299999999998</v>
      </c>
      <c r="Y1936">
        <v>174.87049999999999</v>
      </c>
    </row>
    <row r="1937" spans="1:25" x14ac:dyDescent="0.3">
      <c r="A1937" t="s">
        <v>21</v>
      </c>
      <c r="B1937" t="s">
        <v>5271</v>
      </c>
      <c r="C1937" t="s">
        <v>270</v>
      </c>
      <c r="D1937" t="s">
        <v>5272</v>
      </c>
      <c r="E1937" t="s">
        <v>5272</v>
      </c>
      <c r="M1937" t="s">
        <v>411</v>
      </c>
      <c r="N1937" t="s">
        <v>259</v>
      </c>
      <c r="P1937" t="s">
        <v>260</v>
      </c>
      <c r="Q1937" t="s">
        <v>260</v>
      </c>
      <c r="R1937" t="s">
        <v>283</v>
      </c>
      <c r="S1937" t="s">
        <v>21</v>
      </c>
      <c r="T1937">
        <v>100</v>
      </c>
      <c r="W1937" t="s">
        <v>262</v>
      </c>
    </row>
    <row r="1938" spans="1:25" x14ac:dyDescent="0.3">
      <c r="A1938" t="s">
        <v>21</v>
      </c>
      <c r="B1938" t="s">
        <v>5273</v>
      </c>
      <c r="C1938" t="s">
        <v>270</v>
      </c>
      <c r="D1938" t="s">
        <v>5274</v>
      </c>
      <c r="E1938" t="s">
        <v>5275</v>
      </c>
      <c r="F1938" t="s">
        <v>5275</v>
      </c>
      <c r="M1938" t="s">
        <v>297</v>
      </c>
      <c r="N1938" t="s">
        <v>276</v>
      </c>
      <c r="P1938" t="s">
        <v>260</v>
      </c>
      <c r="Q1938" t="s">
        <v>260</v>
      </c>
      <c r="R1938" t="s">
        <v>283</v>
      </c>
      <c r="S1938" t="s">
        <v>21</v>
      </c>
      <c r="T1938">
        <v>100</v>
      </c>
      <c r="W1938" t="s">
        <v>262</v>
      </c>
    </row>
    <row r="1939" spans="1:25" x14ac:dyDescent="0.3">
      <c r="A1939" t="s">
        <v>21</v>
      </c>
      <c r="B1939" t="s">
        <v>5276</v>
      </c>
      <c r="C1939" t="s">
        <v>270</v>
      </c>
      <c r="D1939" t="s">
        <v>1388</v>
      </c>
      <c r="E1939">
        <v>1925</v>
      </c>
      <c r="H1939" t="s">
        <v>2433</v>
      </c>
      <c r="I1939" t="s">
        <v>1343</v>
      </c>
      <c r="J1939" t="s">
        <v>297</v>
      </c>
      <c r="K1939">
        <v>2104</v>
      </c>
      <c r="L1939" t="s">
        <v>276</v>
      </c>
      <c r="M1939" t="s">
        <v>631</v>
      </c>
      <c r="N1939" t="s">
        <v>276</v>
      </c>
      <c r="P1939" t="s">
        <v>260</v>
      </c>
      <c r="Q1939" t="s">
        <v>260</v>
      </c>
      <c r="R1939" t="s">
        <v>261</v>
      </c>
      <c r="S1939" t="s">
        <v>21</v>
      </c>
      <c r="T1939">
        <v>100</v>
      </c>
      <c r="W1939" t="s">
        <v>262</v>
      </c>
      <c r="X1939">
        <v>-37.008299999999998</v>
      </c>
      <c r="Y1939">
        <v>174.87049999999999</v>
      </c>
    </row>
    <row r="1940" spans="1:25" x14ac:dyDescent="0.3">
      <c r="A1940" t="s">
        <v>21</v>
      </c>
      <c r="B1940" t="s">
        <v>5277</v>
      </c>
      <c r="C1940" t="s">
        <v>878</v>
      </c>
      <c r="D1940" t="s">
        <v>5278</v>
      </c>
      <c r="E1940">
        <v>10.127000000000001</v>
      </c>
      <c r="G1940" t="s">
        <v>5279</v>
      </c>
      <c r="M1940" t="s">
        <v>297</v>
      </c>
      <c r="N1940" t="s">
        <v>276</v>
      </c>
      <c r="P1940" t="s">
        <v>260</v>
      </c>
      <c r="Q1940" t="s">
        <v>260</v>
      </c>
      <c r="R1940" t="s">
        <v>268</v>
      </c>
      <c r="S1940" t="s">
        <v>21</v>
      </c>
      <c r="T1940">
        <v>100</v>
      </c>
      <c r="W1940" t="s">
        <v>262</v>
      </c>
    </row>
    <row r="1941" spans="1:25" x14ac:dyDescent="0.3">
      <c r="A1941" t="s">
        <v>21</v>
      </c>
      <c r="B1941" t="s">
        <v>5280</v>
      </c>
      <c r="C1941" t="s">
        <v>270</v>
      </c>
      <c r="D1941" t="s">
        <v>5281</v>
      </c>
      <c r="E1941">
        <v>10197</v>
      </c>
      <c r="G1941">
        <v>10.196999999999999</v>
      </c>
      <c r="H1941" t="s">
        <v>2433</v>
      </c>
      <c r="I1941" t="s">
        <v>1343</v>
      </c>
      <c r="J1941" t="s">
        <v>297</v>
      </c>
      <c r="K1941">
        <v>2104</v>
      </c>
      <c r="L1941" t="s">
        <v>276</v>
      </c>
      <c r="M1941" t="s">
        <v>631</v>
      </c>
      <c r="N1941" t="s">
        <v>276</v>
      </c>
      <c r="P1941" t="s">
        <v>260</v>
      </c>
      <c r="Q1941" t="s">
        <v>260</v>
      </c>
      <c r="R1941" t="s">
        <v>283</v>
      </c>
      <c r="S1941" t="s">
        <v>21</v>
      </c>
      <c r="T1941">
        <v>100</v>
      </c>
      <c r="W1941" t="s">
        <v>262</v>
      </c>
      <c r="X1941">
        <v>-37.008299999999998</v>
      </c>
      <c r="Y1941">
        <v>174.87049999999999</v>
      </c>
    </row>
    <row r="1942" spans="1:25" x14ac:dyDescent="0.3">
      <c r="A1942" t="s">
        <v>21</v>
      </c>
      <c r="B1942" t="s">
        <v>5282</v>
      </c>
      <c r="C1942" t="s">
        <v>270</v>
      </c>
      <c r="D1942" t="s">
        <v>5283</v>
      </c>
      <c r="E1942" t="s">
        <v>5284</v>
      </c>
      <c r="H1942" t="s">
        <v>2433</v>
      </c>
      <c r="I1942" t="s">
        <v>1343</v>
      </c>
      <c r="J1942" t="s">
        <v>297</v>
      </c>
      <c r="K1942">
        <v>2104</v>
      </c>
      <c r="L1942" t="s">
        <v>276</v>
      </c>
      <c r="M1942" t="s">
        <v>631</v>
      </c>
      <c r="N1942" t="s">
        <v>276</v>
      </c>
      <c r="P1942" t="s">
        <v>260</v>
      </c>
      <c r="Q1942" t="s">
        <v>260</v>
      </c>
      <c r="R1942" t="s">
        <v>261</v>
      </c>
      <c r="S1942" t="s">
        <v>21</v>
      </c>
      <c r="T1942">
        <v>100</v>
      </c>
      <c r="W1942" t="s">
        <v>262</v>
      </c>
      <c r="X1942">
        <v>-37.008299999999998</v>
      </c>
      <c r="Y1942">
        <v>174.87049999999999</v>
      </c>
    </row>
    <row r="1943" spans="1:25" x14ac:dyDescent="0.3">
      <c r="A1943" t="s">
        <v>21</v>
      </c>
      <c r="B1943" t="s">
        <v>5285</v>
      </c>
      <c r="C1943" t="s">
        <v>270</v>
      </c>
      <c r="D1943" t="s">
        <v>5286</v>
      </c>
      <c r="E1943">
        <v>10063</v>
      </c>
      <c r="G1943">
        <v>10.063000000000001</v>
      </c>
      <c r="H1943" t="s">
        <v>2433</v>
      </c>
      <c r="I1943" t="s">
        <v>1343</v>
      </c>
      <c r="J1943" t="s">
        <v>297</v>
      </c>
      <c r="K1943">
        <v>2104</v>
      </c>
      <c r="L1943" t="s">
        <v>276</v>
      </c>
      <c r="M1943" t="s">
        <v>631</v>
      </c>
      <c r="N1943" t="s">
        <v>276</v>
      </c>
      <c r="P1943" t="s">
        <v>260</v>
      </c>
      <c r="Q1943" t="s">
        <v>260</v>
      </c>
      <c r="R1943" t="s">
        <v>283</v>
      </c>
      <c r="S1943" t="s">
        <v>21</v>
      </c>
      <c r="T1943">
        <v>100</v>
      </c>
      <c r="W1943" t="s">
        <v>262</v>
      </c>
      <c r="X1943">
        <v>-37.008299999999998</v>
      </c>
      <c r="Y1943">
        <v>174.87049999999999</v>
      </c>
    </row>
    <row r="1944" spans="1:25" x14ac:dyDescent="0.3">
      <c r="A1944" t="s">
        <v>21</v>
      </c>
      <c r="B1944" t="s">
        <v>5287</v>
      </c>
      <c r="C1944" t="s">
        <v>270</v>
      </c>
      <c r="D1944" t="s">
        <v>3025</v>
      </c>
      <c r="E1944">
        <v>10139</v>
      </c>
      <c r="G1944">
        <v>10.138999999999999</v>
      </c>
      <c r="H1944" t="s">
        <v>2433</v>
      </c>
      <c r="I1944" t="s">
        <v>1343</v>
      </c>
      <c r="J1944" t="s">
        <v>297</v>
      </c>
      <c r="K1944">
        <v>2104</v>
      </c>
      <c r="L1944" t="s">
        <v>276</v>
      </c>
      <c r="M1944" t="s">
        <v>631</v>
      </c>
      <c r="N1944" t="s">
        <v>276</v>
      </c>
      <c r="P1944" t="s">
        <v>260</v>
      </c>
      <c r="Q1944" t="s">
        <v>260</v>
      </c>
      <c r="R1944" t="s">
        <v>268</v>
      </c>
      <c r="S1944" t="s">
        <v>21</v>
      </c>
      <c r="T1944">
        <v>100</v>
      </c>
      <c r="W1944" t="s">
        <v>262</v>
      </c>
      <c r="X1944">
        <v>-37.008299999999998</v>
      </c>
      <c r="Y1944">
        <v>174.87049999999999</v>
      </c>
    </row>
    <row r="1945" spans="1:25" x14ac:dyDescent="0.3">
      <c r="A1945" t="s">
        <v>21</v>
      </c>
      <c r="B1945" t="s">
        <v>5288</v>
      </c>
      <c r="C1945" t="s">
        <v>270</v>
      </c>
      <c r="D1945" t="s">
        <v>5289</v>
      </c>
      <c r="E1945">
        <v>56128</v>
      </c>
      <c r="H1945" t="s">
        <v>2433</v>
      </c>
      <c r="I1945" t="s">
        <v>1343</v>
      </c>
      <c r="J1945" t="s">
        <v>297</v>
      </c>
      <c r="K1945">
        <v>2104</v>
      </c>
      <c r="L1945" t="s">
        <v>276</v>
      </c>
      <c r="M1945" t="s">
        <v>631</v>
      </c>
      <c r="N1945" t="s">
        <v>276</v>
      </c>
      <c r="P1945" t="s">
        <v>260</v>
      </c>
      <c r="Q1945" t="s">
        <v>260</v>
      </c>
      <c r="R1945" t="s">
        <v>283</v>
      </c>
      <c r="S1945" t="s">
        <v>21</v>
      </c>
      <c r="T1945">
        <v>100</v>
      </c>
      <c r="W1945" t="s">
        <v>262</v>
      </c>
      <c r="X1945">
        <v>-37.008299999999998</v>
      </c>
      <c r="Y1945">
        <v>174.87049999999999</v>
      </c>
    </row>
    <row r="1946" spans="1:25" x14ac:dyDescent="0.3">
      <c r="A1946" t="s">
        <v>21</v>
      </c>
      <c r="B1946" t="s">
        <v>5290</v>
      </c>
      <c r="C1946" t="s">
        <v>270</v>
      </c>
      <c r="D1946" t="s">
        <v>5291</v>
      </c>
      <c r="E1946" t="s">
        <v>5291</v>
      </c>
      <c r="M1946" t="s">
        <v>394</v>
      </c>
      <c r="N1946" t="s">
        <v>276</v>
      </c>
      <c r="P1946" t="s">
        <v>260</v>
      </c>
      <c r="Q1946" t="s">
        <v>260</v>
      </c>
      <c r="R1946" t="s">
        <v>283</v>
      </c>
      <c r="S1946" t="s">
        <v>21</v>
      </c>
      <c r="T1946">
        <v>100</v>
      </c>
      <c r="W1946" t="s">
        <v>262</v>
      </c>
    </row>
    <row r="1947" spans="1:25" x14ac:dyDescent="0.3">
      <c r="A1947" t="s">
        <v>21</v>
      </c>
      <c r="B1947" t="s">
        <v>5292</v>
      </c>
      <c r="C1947" t="s">
        <v>270</v>
      </c>
      <c r="D1947" t="s">
        <v>5293</v>
      </c>
      <c r="E1947" t="s">
        <v>5293</v>
      </c>
      <c r="M1947" t="s">
        <v>411</v>
      </c>
      <c r="N1947" t="s">
        <v>259</v>
      </c>
      <c r="P1947" t="s">
        <v>260</v>
      </c>
      <c r="Q1947" t="s">
        <v>260</v>
      </c>
      <c r="R1947" t="s">
        <v>283</v>
      </c>
      <c r="S1947" t="s">
        <v>21</v>
      </c>
      <c r="T1947">
        <v>100</v>
      </c>
      <c r="W1947" t="s">
        <v>262</v>
      </c>
    </row>
    <row r="1948" spans="1:25" x14ac:dyDescent="0.3">
      <c r="A1948" t="s">
        <v>21</v>
      </c>
      <c r="B1948" t="s">
        <v>5294</v>
      </c>
      <c r="C1948" t="s">
        <v>270</v>
      </c>
      <c r="D1948" t="s">
        <v>5295</v>
      </c>
      <c r="E1948" t="s">
        <v>5295</v>
      </c>
      <c r="M1948" t="s">
        <v>411</v>
      </c>
      <c r="N1948" t="s">
        <v>259</v>
      </c>
      <c r="P1948" t="s">
        <v>260</v>
      </c>
      <c r="Q1948" t="s">
        <v>260</v>
      </c>
      <c r="R1948" t="s">
        <v>283</v>
      </c>
      <c r="S1948" t="s">
        <v>21</v>
      </c>
      <c r="T1948">
        <v>100</v>
      </c>
      <c r="W1948" t="s">
        <v>262</v>
      </c>
    </row>
    <row r="1949" spans="1:25" x14ac:dyDescent="0.3">
      <c r="A1949" t="s">
        <v>21</v>
      </c>
      <c r="B1949" t="s">
        <v>5296</v>
      </c>
      <c r="C1949" t="s">
        <v>270</v>
      </c>
      <c r="D1949" t="s">
        <v>1345</v>
      </c>
      <c r="E1949">
        <v>91001</v>
      </c>
      <c r="H1949" t="s">
        <v>2433</v>
      </c>
      <c r="I1949" t="s">
        <v>1343</v>
      </c>
      <c r="J1949" t="s">
        <v>297</v>
      </c>
      <c r="K1949">
        <v>2104</v>
      </c>
      <c r="L1949" t="s">
        <v>276</v>
      </c>
      <c r="M1949" t="s">
        <v>631</v>
      </c>
      <c r="N1949" t="s">
        <v>276</v>
      </c>
      <c r="P1949" t="s">
        <v>260</v>
      </c>
      <c r="Q1949" t="s">
        <v>260</v>
      </c>
      <c r="R1949" t="s">
        <v>293</v>
      </c>
      <c r="S1949" t="s">
        <v>21</v>
      </c>
      <c r="T1949">
        <v>100</v>
      </c>
      <c r="W1949" t="s">
        <v>262</v>
      </c>
      <c r="X1949">
        <v>-37.008299999999998</v>
      </c>
      <c r="Y1949">
        <v>174.87049999999999</v>
      </c>
    </row>
    <row r="1950" spans="1:25" x14ac:dyDescent="0.3">
      <c r="A1950" t="s">
        <v>21</v>
      </c>
      <c r="B1950" t="s">
        <v>5297</v>
      </c>
      <c r="C1950" t="s">
        <v>270</v>
      </c>
      <c r="D1950" t="s">
        <v>5298</v>
      </c>
      <c r="E1950">
        <v>2000004623</v>
      </c>
      <c r="M1950" t="s">
        <v>297</v>
      </c>
      <c r="N1950" t="s">
        <v>276</v>
      </c>
      <c r="P1950" t="s">
        <v>260</v>
      </c>
      <c r="Q1950" t="s">
        <v>260</v>
      </c>
      <c r="R1950" t="s">
        <v>268</v>
      </c>
      <c r="S1950" t="s">
        <v>21</v>
      </c>
      <c r="T1950">
        <v>100</v>
      </c>
      <c r="W1950" t="s">
        <v>262</v>
      </c>
    </row>
    <row r="1951" spans="1:25" x14ac:dyDescent="0.3">
      <c r="A1951" t="s">
        <v>21</v>
      </c>
      <c r="B1951" t="s">
        <v>5299</v>
      </c>
      <c r="C1951" t="s">
        <v>270</v>
      </c>
      <c r="D1951" t="s">
        <v>5300</v>
      </c>
      <c r="E1951">
        <v>3036</v>
      </c>
      <c r="M1951" t="s">
        <v>631</v>
      </c>
      <c r="N1951" t="s">
        <v>276</v>
      </c>
      <c r="P1951" t="s">
        <v>260</v>
      </c>
      <c r="Q1951" t="s">
        <v>260</v>
      </c>
      <c r="R1951" t="s">
        <v>261</v>
      </c>
      <c r="S1951" t="s">
        <v>21</v>
      </c>
      <c r="T1951">
        <v>100</v>
      </c>
      <c r="W1951" t="s">
        <v>262</v>
      </c>
    </row>
    <row r="1952" spans="1:25" x14ac:dyDescent="0.3">
      <c r="A1952" t="s">
        <v>21</v>
      </c>
      <c r="B1952" t="s">
        <v>5301</v>
      </c>
      <c r="C1952" t="s">
        <v>270</v>
      </c>
      <c r="D1952" t="s">
        <v>5302</v>
      </c>
      <c r="E1952" t="s">
        <v>5303</v>
      </c>
      <c r="M1952" t="s">
        <v>631</v>
      </c>
      <c r="N1952" t="s">
        <v>276</v>
      </c>
      <c r="P1952" t="s">
        <v>260</v>
      </c>
      <c r="Q1952" t="s">
        <v>260</v>
      </c>
      <c r="R1952" t="s">
        <v>261</v>
      </c>
      <c r="S1952" t="s">
        <v>21</v>
      </c>
      <c r="T1952">
        <v>100</v>
      </c>
      <c r="W1952" t="s">
        <v>262</v>
      </c>
    </row>
    <row r="1953" spans="1:26" x14ac:dyDescent="0.3">
      <c r="A1953" t="s">
        <v>21</v>
      </c>
      <c r="B1953" t="s">
        <v>5304</v>
      </c>
      <c r="C1953" t="s">
        <v>278</v>
      </c>
      <c r="D1953" t="s">
        <v>5305</v>
      </c>
      <c r="E1953" t="s">
        <v>5305</v>
      </c>
      <c r="F1953">
        <v>3000</v>
      </c>
      <c r="M1953" t="s">
        <v>282</v>
      </c>
      <c r="N1953" t="s">
        <v>259</v>
      </c>
      <c r="P1953" t="s">
        <v>260</v>
      </c>
      <c r="Q1953" t="s">
        <v>260</v>
      </c>
      <c r="R1953" t="s">
        <v>283</v>
      </c>
      <c r="S1953" t="s">
        <v>21</v>
      </c>
      <c r="T1953">
        <v>100</v>
      </c>
      <c r="W1953" t="s">
        <v>262</v>
      </c>
    </row>
    <row r="1954" spans="1:26" x14ac:dyDescent="0.3">
      <c r="A1954" t="s">
        <v>21</v>
      </c>
      <c r="B1954" t="s">
        <v>5306</v>
      </c>
      <c r="C1954" t="s">
        <v>2423</v>
      </c>
      <c r="D1954" t="s">
        <v>5307</v>
      </c>
      <c r="E1954">
        <v>1017</v>
      </c>
      <c r="G1954" t="s">
        <v>5308</v>
      </c>
      <c r="H1954" t="s">
        <v>2774</v>
      </c>
      <c r="I1954" t="s">
        <v>2775</v>
      </c>
      <c r="J1954" t="s">
        <v>318</v>
      </c>
      <c r="K1954">
        <v>4008</v>
      </c>
      <c r="L1954" t="s">
        <v>259</v>
      </c>
      <c r="M1954" t="s">
        <v>322</v>
      </c>
      <c r="N1954" t="s">
        <v>259</v>
      </c>
      <c r="P1954" t="s">
        <v>260</v>
      </c>
      <c r="Q1954" t="s">
        <v>260</v>
      </c>
      <c r="R1954" t="s">
        <v>293</v>
      </c>
      <c r="S1954" t="s">
        <v>21</v>
      </c>
      <c r="T1954">
        <v>100</v>
      </c>
      <c r="W1954" t="s">
        <v>262</v>
      </c>
      <c r="X1954">
        <v>-27.414849</v>
      </c>
      <c r="Y1954">
        <v>153.09103400000001</v>
      </c>
      <c r="Z1954">
        <v>729</v>
      </c>
    </row>
    <row r="1955" spans="1:26" x14ac:dyDescent="0.3">
      <c r="A1955" t="s">
        <v>21</v>
      </c>
      <c r="B1955" t="s">
        <v>5309</v>
      </c>
      <c r="C1955" t="s">
        <v>2833</v>
      </c>
      <c r="D1955" t="s">
        <v>5310</v>
      </c>
      <c r="E1955">
        <v>8008</v>
      </c>
      <c r="G1955" t="s">
        <v>5311</v>
      </c>
      <c r="H1955" t="s">
        <v>5312</v>
      </c>
      <c r="I1955" t="s">
        <v>5313</v>
      </c>
      <c r="J1955" t="s">
        <v>318</v>
      </c>
      <c r="K1955">
        <v>4008</v>
      </c>
      <c r="L1955" t="s">
        <v>259</v>
      </c>
      <c r="M1955" t="s">
        <v>302</v>
      </c>
      <c r="N1955" t="s">
        <v>259</v>
      </c>
      <c r="P1955" t="s">
        <v>260</v>
      </c>
      <c r="Q1955" t="s">
        <v>260</v>
      </c>
      <c r="R1955" t="s">
        <v>261</v>
      </c>
      <c r="S1955" t="s">
        <v>21</v>
      </c>
      <c r="T1955">
        <v>100</v>
      </c>
      <c r="W1955" t="s">
        <v>262</v>
      </c>
      <c r="X1955">
        <v>-27.415990000000001</v>
      </c>
      <c r="Y1955">
        <v>153.135943</v>
      </c>
      <c r="Z1955">
        <v>170</v>
      </c>
    </row>
    <row r="1956" spans="1:26" x14ac:dyDescent="0.3">
      <c r="A1956" t="s">
        <v>21</v>
      </c>
      <c r="B1956" t="s">
        <v>5314</v>
      </c>
      <c r="C1956" t="s">
        <v>270</v>
      </c>
      <c r="D1956" t="s">
        <v>5315</v>
      </c>
      <c r="E1956" t="s">
        <v>5315</v>
      </c>
      <c r="M1956" t="s">
        <v>411</v>
      </c>
      <c r="N1956" t="s">
        <v>259</v>
      </c>
      <c r="P1956" t="s">
        <v>260</v>
      </c>
      <c r="Q1956" t="s">
        <v>260</v>
      </c>
      <c r="R1956" t="s">
        <v>283</v>
      </c>
      <c r="S1956" t="s">
        <v>21</v>
      </c>
      <c r="T1956">
        <v>100</v>
      </c>
      <c r="W1956" t="s">
        <v>262</v>
      </c>
    </row>
    <row r="1957" spans="1:26" x14ac:dyDescent="0.3">
      <c r="A1957" t="s">
        <v>21</v>
      </c>
      <c r="B1957" t="s">
        <v>5316</v>
      </c>
      <c r="C1957" t="s">
        <v>270</v>
      </c>
      <c r="D1957" t="s">
        <v>5317</v>
      </c>
      <c r="E1957" t="s">
        <v>5317</v>
      </c>
      <c r="F1957" t="s">
        <v>5317</v>
      </c>
      <c r="M1957" t="s">
        <v>411</v>
      </c>
      <c r="N1957" t="s">
        <v>259</v>
      </c>
      <c r="P1957" t="s">
        <v>260</v>
      </c>
      <c r="Q1957" t="s">
        <v>260</v>
      </c>
      <c r="R1957" t="s">
        <v>283</v>
      </c>
      <c r="S1957" t="s">
        <v>21</v>
      </c>
      <c r="T1957">
        <v>100</v>
      </c>
      <c r="W1957" t="s">
        <v>262</v>
      </c>
    </row>
    <row r="1958" spans="1:26" x14ac:dyDescent="0.3">
      <c r="A1958" t="s">
        <v>21</v>
      </c>
      <c r="B1958" t="s">
        <v>5318</v>
      </c>
      <c r="C1958" t="s">
        <v>270</v>
      </c>
      <c r="D1958" t="s">
        <v>5319</v>
      </c>
      <c r="E1958" t="s">
        <v>5319</v>
      </c>
      <c r="M1958" t="s">
        <v>411</v>
      </c>
      <c r="N1958" t="s">
        <v>259</v>
      </c>
      <c r="P1958" t="s">
        <v>260</v>
      </c>
      <c r="Q1958" t="s">
        <v>260</v>
      </c>
      <c r="R1958" t="s">
        <v>283</v>
      </c>
      <c r="S1958" t="s">
        <v>21</v>
      </c>
      <c r="T1958">
        <v>100</v>
      </c>
      <c r="W1958" t="s">
        <v>262</v>
      </c>
    </row>
    <row r="1959" spans="1:26" x14ac:dyDescent="0.3">
      <c r="A1959" t="s">
        <v>21</v>
      </c>
      <c r="B1959" t="s">
        <v>5320</v>
      </c>
      <c r="C1959" t="s">
        <v>270</v>
      </c>
      <c r="D1959" t="s">
        <v>1445</v>
      </c>
      <c r="E1959">
        <v>55330</v>
      </c>
      <c r="H1959" t="s">
        <v>5321</v>
      </c>
      <c r="I1959" t="s">
        <v>716</v>
      </c>
      <c r="J1959" t="s">
        <v>717</v>
      </c>
      <c r="K1959">
        <v>7081</v>
      </c>
      <c r="L1959" t="s">
        <v>276</v>
      </c>
      <c r="M1959" t="s">
        <v>1450</v>
      </c>
      <c r="N1959" t="s">
        <v>276</v>
      </c>
      <c r="P1959" t="s">
        <v>260</v>
      </c>
      <c r="Q1959" t="s">
        <v>260</v>
      </c>
      <c r="R1959" t="s">
        <v>261</v>
      </c>
      <c r="S1959" t="s">
        <v>21</v>
      </c>
      <c r="T1959">
        <v>100</v>
      </c>
      <c r="W1959" t="s">
        <v>262</v>
      </c>
      <c r="X1959">
        <v>-41.341799999999999</v>
      </c>
      <c r="Y1959">
        <v>173.11850000000001</v>
      </c>
    </row>
    <row r="1960" spans="1:26" x14ac:dyDescent="0.3">
      <c r="A1960" t="s">
        <v>21</v>
      </c>
      <c r="B1960" t="s">
        <v>5322</v>
      </c>
      <c r="C1960" t="s">
        <v>270</v>
      </c>
      <c r="D1960" t="s">
        <v>1456</v>
      </c>
      <c r="E1960">
        <v>55192</v>
      </c>
      <c r="H1960" t="s">
        <v>5323</v>
      </c>
      <c r="I1960" t="s">
        <v>5324</v>
      </c>
      <c r="J1960" t="s">
        <v>5324</v>
      </c>
      <c r="K1960">
        <v>4072</v>
      </c>
      <c r="L1960" t="s">
        <v>276</v>
      </c>
      <c r="M1960" t="s">
        <v>1458</v>
      </c>
      <c r="N1960" t="s">
        <v>276</v>
      </c>
      <c r="P1960" t="s">
        <v>260</v>
      </c>
      <c r="Q1960" t="s">
        <v>260</v>
      </c>
      <c r="R1960" t="s">
        <v>261</v>
      </c>
      <c r="S1960" t="s">
        <v>21</v>
      </c>
      <c r="T1960">
        <v>100</v>
      </c>
      <c r="W1960" t="s">
        <v>262</v>
      </c>
      <c r="X1960">
        <v>-38.691899999999997</v>
      </c>
      <c r="Y1960">
        <v>177.7543</v>
      </c>
    </row>
    <row r="1961" spans="1:26" x14ac:dyDescent="0.3">
      <c r="A1961" t="s">
        <v>21</v>
      </c>
      <c r="B1961" t="s">
        <v>5325</v>
      </c>
      <c r="C1961" t="s">
        <v>2630</v>
      </c>
      <c r="D1961" t="s">
        <v>5326</v>
      </c>
      <c r="E1961">
        <v>91382</v>
      </c>
      <c r="G1961" t="s">
        <v>5327</v>
      </c>
      <c r="H1961" t="s">
        <v>5328</v>
      </c>
      <c r="I1961" t="s">
        <v>749</v>
      </c>
      <c r="K1961">
        <v>9300</v>
      </c>
      <c r="M1961" t="s">
        <v>749</v>
      </c>
      <c r="N1961" t="s">
        <v>276</v>
      </c>
      <c r="P1961" t="s">
        <v>260</v>
      </c>
      <c r="Q1961" t="s">
        <v>260</v>
      </c>
      <c r="R1961" t="s">
        <v>293</v>
      </c>
      <c r="S1961" t="s">
        <v>21</v>
      </c>
      <c r="T1961">
        <v>100</v>
      </c>
      <c r="W1961" t="s">
        <v>262</v>
      </c>
    </row>
    <row r="1962" spans="1:26" x14ac:dyDescent="0.3">
      <c r="A1962" t="s">
        <v>21</v>
      </c>
      <c r="B1962" t="s">
        <v>5329</v>
      </c>
      <c r="C1962" t="s">
        <v>270</v>
      </c>
      <c r="D1962" t="s">
        <v>5330</v>
      </c>
      <c r="E1962">
        <v>55380</v>
      </c>
      <c r="H1962" t="s">
        <v>2433</v>
      </c>
      <c r="I1962" t="s">
        <v>1343</v>
      </c>
      <c r="J1962" t="s">
        <v>297</v>
      </c>
      <c r="K1962">
        <v>2104</v>
      </c>
      <c r="L1962" t="s">
        <v>276</v>
      </c>
      <c r="M1962" t="s">
        <v>631</v>
      </c>
      <c r="N1962" t="s">
        <v>276</v>
      </c>
      <c r="P1962" t="s">
        <v>260</v>
      </c>
      <c r="Q1962" t="s">
        <v>260</v>
      </c>
      <c r="R1962" t="s">
        <v>261</v>
      </c>
      <c r="S1962" t="s">
        <v>21</v>
      </c>
      <c r="T1962">
        <v>100</v>
      </c>
      <c r="W1962" t="s">
        <v>262</v>
      </c>
      <c r="X1962">
        <v>-37.008299999999998</v>
      </c>
      <c r="Y1962">
        <v>174.87049999999999</v>
      </c>
    </row>
    <row r="1963" spans="1:26" x14ac:dyDescent="0.3">
      <c r="A1963" t="s">
        <v>21</v>
      </c>
      <c r="B1963" t="s">
        <v>5331</v>
      </c>
      <c r="C1963" t="s">
        <v>270</v>
      </c>
      <c r="D1963" t="s">
        <v>747</v>
      </c>
      <c r="E1963">
        <v>55680</v>
      </c>
      <c r="H1963" t="s">
        <v>5332</v>
      </c>
      <c r="I1963" t="s">
        <v>3694</v>
      </c>
      <c r="J1963" t="s">
        <v>749</v>
      </c>
      <c r="K1963">
        <v>9300</v>
      </c>
      <c r="L1963" t="s">
        <v>276</v>
      </c>
      <c r="M1963" t="s">
        <v>749</v>
      </c>
      <c r="N1963" t="s">
        <v>276</v>
      </c>
      <c r="P1963" t="s">
        <v>260</v>
      </c>
      <c r="Q1963" t="s">
        <v>260</v>
      </c>
      <c r="R1963" t="s">
        <v>261</v>
      </c>
      <c r="S1963" t="s">
        <v>21</v>
      </c>
      <c r="T1963">
        <v>100</v>
      </c>
      <c r="W1963" t="s">
        <v>262</v>
      </c>
      <c r="X1963">
        <v>-45.006</v>
      </c>
      <c r="Y1963">
        <v>168.7508</v>
      </c>
    </row>
    <row r="1964" spans="1:26" x14ac:dyDescent="0.3">
      <c r="A1964" t="s">
        <v>21</v>
      </c>
      <c r="B1964" t="s">
        <v>5333</v>
      </c>
      <c r="C1964" t="s">
        <v>1845</v>
      </c>
      <c r="D1964" t="s">
        <v>5334</v>
      </c>
      <c r="E1964" t="s">
        <v>5335</v>
      </c>
      <c r="M1964" t="s">
        <v>749</v>
      </c>
      <c r="N1964" t="s">
        <v>276</v>
      </c>
      <c r="P1964" t="s">
        <v>260</v>
      </c>
      <c r="Q1964" t="s">
        <v>260</v>
      </c>
      <c r="R1964" t="s">
        <v>261</v>
      </c>
      <c r="S1964" t="s">
        <v>21</v>
      </c>
      <c r="T1964">
        <v>100</v>
      </c>
      <c r="W1964" t="s">
        <v>262</v>
      </c>
    </row>
    <row r="1965" spans="1:26" x14ac:dyDescent="0.3">
      <c r="A1965" t="s">
        <v>21</v>
      </c>
      <c r="B1965" t="s">
        <v>5336</v>
      </c>
      <c r="C1965" t="s">
        <v>270</v>
      </c>
      <c r="D1965" t="s">
        <v>5337</v>
      </c>
      <c r="E1965">
        <v>3528</v>
      </c>
      <c r="M1965" t="s">
        <v>631</v>
      </c>
      <c r="N1965" t="s">
        <v>276</v>
      </c>
      <c r="P1965" t="s">
        <v>260</v>
      </c>
      <c r="Q1965" t="s">
        <v>260</v>
      </c>
      <c r="R1965" t="s">
        <v>261</v>
      </c>
      <c r="S1965" t="s">
        <v>21</v>
      </c>
      <c r="T1965">
        <v>100</v>
      </c>
      <c r="W1965" t="s">
        <v>262</v>
      </c>
    </row>
    <row r="1966" spans="1:26" x14ac:dyDescent="0.3">
      <c r="A1966" t="s">
        <v>21</v>
      </c>
      <c r="B1966" t="s">
        <v>5338</v>
      </c>
      <c r="C1966" t="s">
        <v>270</v>
      </c>
      <c r="D1966" t="s">
        <v>5339</v>
      </c>
      <c r="E1966" t="s">
        <v>5339</v>
      </c>
      <c r="M1966" t="s">
        <v>411</v>
      </c>
      <c r="N1966" t="s">
        <v>259</v>
      </c>
      <c r="P1966" t="s">
        <v>260</v>
      </c>
      <c r="Q1966" t="s">
        <v>260</v>
      </c>
      <c r="R1966" t="s">
        <v>283</v>
      </c>
      <c r="S1966" t="s">
        <v>21</v>
      </c>
      <c r="T1966">
        <v>100</v>
      </c>
      <c r="W1966" t="s">
        <v>262</v>
      </c>
    </row>
    <row r="1967" spans="1:26" x14ac:dyDescent="0.3">
      <c r="A1967" t="s">
        <v>21</v>
      </c>
      <c r="B1967" t="s">
        <v>5340</v>
      </c>
      <c r="C1967" t="s">
        <v>270</v>
      </c>
      <c r="D1967" t="s">
        <v>751</v>
      </c>
      <c r="E1967">
        <v>55560</v>
      </c>
      <c r="H1967" t="s">
        <v>752</v>
      </c>
      <c r="I1967" t="s">
        <v>753</v>
      </c>
      <c r="J1967" t="s">
        <v>753</v>
      </c>
      <c r="K1967">
        <v>4632</v>
      </c>
      <c r="L1967" t="s">
        <v>276</v>
      </c>
      <c r="M1967" t="s">
        <v>754</v>
      </c>
      <c r="N1967" t="s">
        <v>276</v>
      </c>
      <c r="P1967" t="s">
        <v>260</v>
      </c>
      <c r="Q1967" t="s">
        <v>260</v>
      </c>
      <c r="R1967" t="s">
        <v>261</v>
      </c>
      <c r="S1967" t="s">
        <v>21</v>
      </c>
      <c r="T1967">
        <v>100</v>
      </c>
      <c r="W1967" t="s">
        <v>262</v>
      </c>
      <c r="X1967">
        <v>-39.432200000000002</v>
      </c>
      <c r="Y1967">
        <v>175.2818</v>
      </c>
    </row>
    <row r="1968" spans="1:26" x14ac:dyDescent="0.3">
      <c r="A1968" t="s">
        <v>21</v>
      </c>
      <c r="B1968" t="s">
        <v>5341</v>
      </c>
      <c r="C1968" t="s">
        <v>270</v>
      </c>
      <c r="D1968" t="s">
        <v>5342</v>
      </c>
      <c r="E1968">
        <v>561293</v>
      </c>
      <c r="M1968" t="s">
        <v>297</v>
      </c>
      <c r="N1968" t="s">
        <v>276</v>
      </c>
      <c r="P1968" t="s">
        <v>260</v>
      </c>
      <c r="Q1968" t="s">
        <v>260</v>
      </c>
      <c r="R1968" t="s">
        <v>283</v>
      </c>
      <c r="S1968" t="s">
        <v>21</v>
      </c>
      <c r="T1968">
        <v>100</v>
      </c>
      <c r="W1968" t="s">
        <v>262</v>
      </c>
    </row>
    <row r="1969" spans="1:26" x14ac:dyDescent="0.3">
      <c r="A1969" t="s">
        <v>21</v>
      </c>
      <c r="B1969" t="s">
        <v>5343</v>
      </c>
      <c r="C1969" t="s">
        <v>270</v>
      </c>
      <c r="D1969" t="s">
        <v>5344</v>
      </c>
      <c r="E1969" t="s">
        <v>5344</v>
      </c>
      <c r="M1969" t="s">
        <v>394</v>
      </c>
      <c r="N1969" t="s">
        <v>276</v>
      </c>
      <c r="P1969" t="s">
        <v>260</v>
      </c>
      <c r="Q1969" t="s">
        <v>260</v>
      </c>
      <c r="R1969" t="s">
        <v>283</v>
      </c>
      <c r="S1969" t="s">
        <v>21</v>
      </c>
      <c r="T1969">
        <v>100</v>
      </c>
      <c r="W1969" t="s">
        <v>262</v>
      </c>
    </row>
    <row r="1970" spans="1:26" x14ac:dyDescent="0.3">
      <c r="A1970" t="s">
        <v>21</v>
      </c>
      <c r="B1970" t="s">
        <v>5345</v>
      </c>
      <c r="C1970" t="s">
        <v>270</v>
      </c>
      <c r="D1970" t="s">
        <v>5346</v>
      </c>
      <c r="E1970" t="s">
        <v>5347</v>
      </c>
      <c r="M1970" t="s">
        <v>631</v>
      </c>
      <c r="N1970" t="s">
        <v>276</v>
      </c>
      <c r="P1970" t="s">
        <v>260</v>
      </c>
      <c r="Q1970" t="s">
        <v>260</v>
      </c>
      <c r="R1970" t="s">
        <v>261</v>
      </c>
      <c r="S1970" t="s">
        <v>21</v>
      </c>
      <c r="T1970">
        <v>100</v>
      </c>
      <c r="W1970" t="s">
        <v>262</v>
      </c>
    </row>
    <row r="1971" spans="1:26" x14ac:dyDescent="0.3">
      <c r="A1971" t="s">
        <v>21</v>
      </c>
      <c r="B1971" t="s">
        <v>5348</v>
      </c>
      <c r="C1971" t="s">
        <v>387</v>
      </c>
      <c r="D1971" t="s">
        <v>5349</v>
      </c>
      <c r="E1971">
        <v>9053</v>
      </c>
      <c r="G1971" t="s">
        <v>5350</v>
      </c>
      <c r="H1971" t="s">
        <v>5351</v>
      </c>
      <c r="I1971" t="s">
        <v>5352</v>
      </c>
      <c r="J1971" t="s">
        <v>335</v>
      </c>
      <c r="K1971">
        <v>3067</v>
      </c>
      <c r="M1971" t="s">
        <v>526</v>
      </c>
      <c r="N1971" t="s">
        <v>259</v>
      </c>
      <c r="P1971" t="s">
        <v>260</v>
      </c>
      <c r="Q1971" t="s">
        <v>260</v>
      </c>
      <c r="R1971" t="s">
        <v>293</v>
      </c>
      <c r="S1971" t="s">
        <v>21</v>
      </c>
      <c r="T1971">
        <v>100</v>
      </c>
      <c r="W1971" t="s">
        <v>262</v>
      </c>
      <c r="X1971">
        <v>-37.806455999999997</v>
      </c>
      <c r="Y1971">
        <v>144.998018</v>
      </c>
      <c r="Z1971">
        <v>953</v>
      </c>
    </row>
    <row r="1972" spans="1:26" x14ac:dyDescent="0.3">
      <c r="A1972" t="s">
        <v>21</v>
      </c>
      <c r="B1972" t="s">
        <v>5353</v>
      </c>
      <c r="C1972" t="s">
        <v>270</v>
      </c>
      <c r="D1972" t="s">
        <v>5354</v>
      </c>
      <c r="E1972" t="s">
        <v>5354</v>
      </c>
      <c r="M1972" t="s">
        <v>411</v>
      </c>
      <c r="N1972" t="s">
        <v>259</v>
      </c>
      <c r="P1972" t="s">
        <v>260</v>
      </c>
      <c r="Q1972" t="s">
        <v>260</v>
      </c>
      <c r="R1972" t="s">
        <v>283</v>
      </c>
      <c r="S1972" t="s">
        <v>21</v>
      </c>
      <c r="T1972">
        <v>100</v>
      </c>
      <c r="W1972" t="s">
        <v>262</v>
      </c>
    </row>
    <row r="1973" spans="1:26" x14ac:dyDescent="0.3">
      <c r="A1973" t="s">
        <v>21</v>
      </c>
      <c r="B1973" t="s">
        <v>5355</v>
      </c>
      <c r="C1973" t="s">
        <v>5356</v>
      </c>
      <c r="D1973" t="s">
        <v>5357</v>
      </c>
      <c r="E1973">
        <v>24120142</v>
      </c>
      <c r="G1973" t="s">
        <v>5358</v>
      </c>
      <c r="M1973" t="s">
        <v>267</v>
      </c>
      <c r="N1973" t="s">
        <v>259</v>
      </c>
      <c r="P1973" t="s">
        <v>260</v>
      </c>
      <c r="Q1973" t="s">
        <v>260</v>
      </c>
      <c r="R1973" t="s">
        <v>283</v>
      </c>
      <c r="S1973" t="s">
        <v>21</v>
      </c>
      <c r="T1973">
        <v>100</v>
      </c>
      <c r="W1973" t="s">
        <v>262</v>
      </c>
    </row>
    <row r="1974" spans="1:26" x14ac:dyDescent="0.3">
      <c r="A1974" t="s">
        <v>21</v>
      </c>
      <c r="B1974" t="s">
        <v>5359</v>
      </c>
      <c r="C1974" t="s">
        <v>5356</v>
      </c>
      <c r="D1974" t="s">
        <v>5357</v>
      </c>
      <c r="E1974">
        <v>24120142</v>
      </c>
      <c r="G1974" t="s">
        <v>5358</v>
      </c>
      <c r="M1974" t="s">
        <v>312</v>
      </c>
      <c r="N1974" t="s">
        <v>259</v>
      </c>
      <c r="P1974" t="s">
        <v>260</v>
      </c>
      <c r="Q1974" t="s">
        <v>260</v>
      </c>
      <c r="R1974" t="s">
        <v>283</v>
      </c>
      <c r="S1974" t="s">
        <v>21</v>
      </c>
      <c r="T1974">
        <v>100</v>
      </c>
      <c r="W1974" t="s">
        <v>262</v>
      </c>
    </row>
    <row r="1975" spans="1:26" x14ac:dyDescent="0.3">
      <c r="A1975" t="s">
        <v>21</v>
      </c>
      <c r="B1975" t="s">
        <v>5360</v>
      </c>
      <c r="C1975" t="s">
        <v>5356</v>
      </c>
      <c r="D1975" t="s">
        <v>5357</v>
      </c>
      <c r="E1975">
        <v>24120142</v>
      </c>
      <c r="G1975" t="s">
        <v>5358</v>
      </c>
      <c r="M1975" t="s">
        <v>302</v>
      </c>
      <c r="N1975" t="s">
        <v>259</v>
      </c>
      <c r="P1975" t="s">
        <v>260</v>
      </c>
      <c r="Q1975" t="s">
        <v>260</v>
      </c>
      <c r="R1975" t="s">
        <v>283</v>
      </c>
      <c r="S1975" t="s">
        <v>21</v>
      </c>
      <c r="T1975">
        <v>100</v>
      </c>
      <c r="W1975" t="s">
        <v>262</v>
      </c>
    </row>
    <row r="1976" spans="1:26" ht="330" customHeight="1" x14ac:dyDescent="0.3">
      <c r="A1976" t="s">
        <v>21</v>
      </c>
      <c r="B1976" t="s">
        <v>5361</v>
      </c>
      <c r="C1976" t="s">
        <v>5356</v>
      </c>
      <c r="D1976" t="s">
        <v>5357</v>
      </c>
      <c r="E1976">
        <v>24120142</v>
      </c>
      <c r="G1976" s="10" t="s">
        <v>5362</v>
      </c>
      <c r="M1976" t="s">
        <v>2577</v>
      </c>
      <c r="N1976" t="s">
        <v>259</v>
      </c>
      <c r="P1976" t="s">
        <v>260</v>
      </c>
      <c r="Q1976" t="s">
        <v>260</v>
      </c>
      <c r="R1976" t="s">
        <v>283</v>
      </c>
      <c r="S1976" t="s">
        <v>21</v>
      </c>
      <c r="T1976">
        <v>100</v>
      </c>
      <c r="W1976" t="s">
        <v>262</v>
      </c>
    </row>
    <row r="1977" spans="1:26" x14ac:dyDescent="0.3">
      <c r="A1977" t="s">
        <v>21</v>
      </c>
      <c r="B1977" t="s">
        <v>5363</v>
      </c>
      <c r="C1977" t="s">
        <v>499</v>
      </c>
      <c r="D1977" t="s">
        <v>5364</v>
      </c>
      <c r="E1977" t="s">
        <v>5365</v>
      </c>
      <c r="M1977" t="s">
        <v>411</v>
      </c>
      <c r="N1977" t="s">
        <v>259</v>
      </c>
      <c r="P1977" t="s">
        <v>260</v>
      </c>
      <c r="Q1977" t="s">
        <v>260</v>
      </c>
      <c r="R1977" t="s">
        <v>261</v>
      </c>
      <c r="S1977" t="s">
        <v>21</v>
      </c>
      <c r="T1977">
        <v>100</v>
      </c>
      <c r="W1977" t="s">
        <v>262</v>
      </c>
    </row>
    <row r="1978" spans="1:26" x14ac:dyDescent="0.3">
      <c r="A1978" t="s">
        <v>21</v>
      </c>
      <c r="B1978" t="s">
        <v>5366</v>
      </c>
      <c r="C1978" t="s">
        <v>499</v>
      </c>
      <c r="D1978" t="s">
        <v>5367</v>
      </c>
      <c r="E1978" t="s">
        <v>5368</v>
      </c>
      <c r="M1978" t="s">
        <v>312</v>
      </c>
      <c r="N1978" t="s">
        <v>259</v>
      </c>
      <c r="P1978" t="s">
        <v>260</v>
      </c>
      <c r="Q1978" t="s">
        <v>260</v>
      </c>
      <c r="R1978" t="s">
        <v>313</v>
      </c>
      <c r="S1978" t="s">
        <v>21</v>
      </c>
      <c r="T1978">
        <v>100</v>
      </c>
      <c r="V1978" s="9">
        <v>45107</v>
      </c>
      <c r="W1978" t="s">
        <v>262</v>
      </c>
    </row>
    <row r="1979" spans="1:26" x14ac:dyDescent="0.3">
      <c r="A1979" t="s">
        <v>21</v>
      </c>
      <c r="B1979" t="s">
        <v>5369</v>
      </c>
      <c r="C1979" t="s">
        <v>499</v>
      </c>
      <c r="D1979" t="s">
        <v>2311</v>
      </c>
      <c r="E1979" t="s">
        <v>5370</v>
      </c>
      <c r="M1979" t="s">
        <v>411</v>
      </c>
      <c r="N1979" t="s">
        <v>259</v>
      </c>
      <c r="P1979" t="s">
        <v>260</v>
      </c>
      <c r="Q1979" t="s">
        <v>260</v>
      </c>
      <c r="R1979" t="s">
        <v>261</v>
      </c>
      <c r="S1979" t="s">
        <v>21</v>
      </c>
      <c r="T1979">
        <v>100</v>
      </c>
      <c r="W1979" t="s">
        <v>262</v>
      </c>
    </row>
    <row r="1980" spans="1:26" x14ac:dyDescent="0.3">
      <c r="A1980" t="s">
        <v>21</v>
      </c>
      <c r="B1980" t="s">
        <v>5371</v>
      </c>
      <c r="C1980" t="s">
        <v>499</v>
      </c>
      <c r="D1980" t="s">
        <v>1488</v>
      </c>
      <c r="E1980" t="s">
        <v>5372</v>
      </c>
      <c r="M1980" t="s">
        <v>411</v>
      </c>
      <c r="N1980" t="s">
        <v>259</v>
      </c>
      <c r="P1980" t="s">
        <v>260</v>
      </c>
      <c r="Q1980" t="s">
        <v>260</v>
      </c>
      <c r="R1980" t="s">
        <v>261</v>
      </c>
      <c r="S1980" t="s">
        <v>21</v>
      </c>
      <c r="T1980">
        <v>100</v>
      </c>
      <c r="W1980" t="s">
        <v>262</v>
      </c>
    </row>
    <row r="1981" spans="1:26" x14ac:dyDescent="0.3">
      <c r="A1981" t="s">
        <v>21</v>
      </c>
      <c r="B1981" t="s">
        <v>106</v>
      </c>
      <c r="C1981" t="s">
        <v>499</v>
      </c>
      <c r="D1981" t="s">
        <v>3521</v>
      </c>
      <c r="E1981" t="s">
        <v>107</v>
      </c>
      <c r="M1981" t="s">
        <v>411</v>
      </c>
      <c r="N1981" t="s">
        <v>259</v>
      </c>
      <c r="P1981" t="s">
        <v>260</v>
      </c>
      <c r="Q1981" t="s">
        <v>260</v>
      </c>
      <c r="R1981" t="s">
        <v>268</v>
      </c>
      <c r="S1981" t="s">
        <v>21</v>
      </c>
      <c r="T1981">
        <v>100</v>
      </c>
      <c r="W1981" t="s">
        <v>262</v>
      </c>
    </row>
    <row r="1982" spans="1:26" x14ac:dyDescent="0.3">
      <c r="A1982" t="s">
        <v>21</v>
      </c>
      <c r="B1982" t="s">
        <v>174</v>
      </c>
      <c r="C1982" t="s">
        <v>499</v>
      </c>
      <c r="D1982" t="s">
        <v>5373</v>
      </c>
      <c r="E1982" t="s">
        <v>175</v>
      </c>
      <c r="M1982" t="s">
        <v>411</v>
      </c>
      <c r="N1982" t="s">
        <v>259</v>
      </c>
      <c r="P1982" t="s">
        <v>260</v>
      </c>
      <c r="Q1982" t="s">
        <v>260</v>
      </c>
      <c r="R1982" t="s">
        <v>293</v>
      </c>
      <c r="S1982" t="s">
        <v>21</v>
      </c>
      <c r="T1982">
        <v>100</v>
      </c>
      <c r="W1982" t="s">
        <v>262</v>
      </c>
    </row>
    <row r="1983" spans="1:26" x14ac:dyDescent="0.3">
      <c r="A1983" t="s">
        <v>21</v>
      </c>
      <c r="B1983" t="s">
        <v>102</v>
      </c>
      <c r="C1983" t="s">
        <v>499</v>
      </c>
      <c r="D1983" t="s">
        <v>5374</v>
      </c>
      <c r="E1983" t="s">
        <v>103</v>
      </c>
      <c r="M1983" t="s">
        <v>411</v>
      </c>
      <c r="N1983" t="s">
        <v>259</v>
      </c>
      <c r="P1983" t="s">
        <v>260</v>
      </c>
      <c r="Q1983" t="s">
        <v>260</v>
      </c>
      <c r="R1983" t="s">
        <v>268</v>
      </c>
      <c r="S1983" t="s">
        <v>21</v>
      </c>
      <c r="T1983">
        <v>100</v>
      </c>
      <c r="W1983" t="s">
        <v>262</v>
      </c>
    </row>
    <row r="1984" spans="1:26" x14ac:dyDescent="0.3">
      <c r="A1984" t="s">
        <v>21</v>
      </c>
      <c r="B1984" t="s">
        <v>5375</v>
      </c>
      <c r="C1984" t="s">
        <v>499</v>
      </c>
      <c r="D1984" t="s">
        <v>882</v>
      </c>
      <c r="E1984" t="s">
        <v>882</v>
      </c>
      <c r="M1984" t="s">
        <v>411</v>
      </c>
      <c r="N1984" t="s">
        <v>259</v>
      </c>
      <c r="P1984" t="s">
        <v>260</v>
      </c>
      <c r="Q1984" t="s">
        <v>260</v>
      </c>
      <c r="R1984" t="s">
        <v>293</v>
      </c>
      <c r="S1984" t="s">
        <v>21</v>
      </c>
      <c r="T1984">
        <v>100</v>
      </c>
      <c r="W1984" t="s">
        <v>262</v>
      </c>
    </row>
    <row r="1985" spans="1:23" x14ac:dyDescent="0.3">
      <c r="A1985" t="s">
        <v>21</v>
      </c>
      <c r="B1985" t="s">
        <v>80</v>
      </c>
      <c r="C1985" t="s">
        <v>270</v>
      </c>
      <c r="D1985" t="s">
        <v>81</v>
      </c>
      <c r="E1985" t="s">
        <v>81</v>
      </c>
      <c r="M1985" t="s">
        <v>411</v>
      </c>
      <c r="N1985" t="s">
        <v>259</v>
      </c>
      <c r="P1985" t="s">
        <v>260</v>
      </c>
      <c r="Q1985" t="s">
        <v>260</v>
      </c>
      <c r="R1985" t="s">
        <v>283</v>
      </c>
      <c r="S1985" t="s">
        <v>21</v>
      </c>
      <c r="T1985">
        <v>100</v>
      </c>
      <c r="W1985" t="s">
        <v>262</v>
      </c>
    </row>
    <row r="1986" spans="1:23" x14ac:dyDescent="0.3">
      <c r="A1986" t="s">
        <v>21</v>
      </c>
      <c r="B1986" t="s">
        <v>5376</v>
      </c>
      <c r="C1986" t="s">
        <v>499</v>
      </c>
      <c r="D1986" t="s">
        <v>5377</v>
      </c>
      <c r="E1986" t="s">
        <v>5378</v>
      </c>
      <c r="M1986" t="s">
        <v>411</v>
      </c>
      <c r="N1986" t="s">
        <v>259</v>
      </c>
      <c r="P1986" t="s">
        <v>260</v>
      </c>
      <c r="Q1986" t="s">
        <v>260</v>
      </c>
      <c r="R1986" t="s">
        <v>283</v>
      </c>
      <c r="S1986" t="s">
        <v>21</v>
      </c>
      <c r="T1986">
        <v>100</v>
      </c>
      <c r="W1986" t="s">
        <v>262</v>
      </c>
    </row>
    <row r="1987" spans="1:23" x14ac:dyDescent="0.3">
      <c r="A1987" t="s">
        <v>21</v>
      </c>
      <c r="B1987" t="s">
        <v>5379</v>
      </c>
      <c r="C1987" t="s">
        <v>499</v>
      </c>
      <c r="D1987" t="s">
        <v>5380</v>
      </c>
      <c r="E1987" t="s">
        <v>5381</v>
      </c>
      <c r="M1987" t="s">
        <v>411</v>
      </c>
      <c r="N1987" t="s">
        <v>259</v>
      </c>
      <c r="P1987" t="s">
        <v>260</v>
      </c>
      <c r="Q1987" t="s">
        <v>260</v>
      </c>
      <c r="R1987" t="s">
        <v>283</v>
      </c>
      <c r="S1987" t="s">
        <v>21</v>
      </c>
      <c r="T1987">
        <v>100</v>
      </c>
      <c r="W1987" t="s">
        <v>262</v>
      </c>
    </row>
    <row r="1988" spans="1:23" x14ac:dyDescent="0.3">
      <c r="A1988" t="s">
        <v>21</v>
      </c>
      <c r="B1988" t="s">
        <v>5382</v>
      </c>
      <c r="C1988" t="s">
        <v>270</v>
      </c>
      <c r="D1988" t="s">
        <v>5383</v>
      </c>
      <c r="E1988" t="s">
        <v>5383</v>
      </c>
      <c r="M1988" t="s">
        <v>411</v>
      </c>
      <c r="N1988" t="s">
        <v>259</v>
      </c>
      <c r="P1988" t="s">
        <v>260</v>
      </c>
      <c r="Q1988" t="s">
        <v>260</v>
      </c>
      <c r="R1988" t="s">
        <v>283</v>
      </c>
      <c r="S1988" t="s">
        <v>21</v>
      </c>
      <c r="T1988">
        <v>100</v>
      </c>
      <c r="W1988" t="s">
        <v>262</v>
      </c>
    </row>
    <row r="1989" spans="1:23" x14ac:dyDescent="0.3">
      <c r="A1989" t="s">
        <v>21</v>
      </c>
      <c r="B1989" t="s">
        <v>97</v>
      </c>
      <c r="C1989" t="s">
        <v>270</v>
      </c>
      <c r="D1989" t="s">
        <v>98</v>
      </c>
      <c r="E1989" t="s">
        <v>98</v>
      </c>
      <c r="M1989" t="s">
        <v>411</v>
      </c>
      <c r="N1989" t="s">
        <v>259</v>
      </c>
      <c r="P1989" t="s">
        <v>260</v>
      </c>
      <c r="Q1989" t="s">
        <v>260</v>
      </c>
      <c r="R1989" t="s">
        <v>283</v>
      </c>
      <c r="S1989" t="s">
        <v>21</v>
      </c>
      <c r="T1989">
        <v>100</v>
      </c>
      <c r="W1989" t="s">
        <v>262</v>
      </c>
    </row>
    <row r="1990" spans="1:23" x14ac:dyDescent="0.3">
      <c r="A1990" t="s">
        <v>21</v>
      </c>
      <c r="B1990" t="s">
        <v>48</v>
      </c>
      <c r="C1990" t="s">
        <v>270</v>
      </c>
      <c r="D1990" t="s">
        <v>49</v>
      </c>
      <c r="E1990" t="s">
        <v>49</v>
      </c>
      <c r="M1990" t="s">
        <v>411</v>
      </c>
      <c r="N1990" t="s">
        <v>259</v>
      </c>
      <c r="P1990" t="s">
        <v>260</v>
      </c>
      <c r="Q1990" t="s">
        <v>260</v>
      </c>
      <c r="R1990" t="s">
        <v>261</v>
      </c>
      <c r="S1990" t="s">
        <v>21</v>
      </c>
      <c r="T1990">
        <v>100</v>
      </c>
      <c r="W1990" t="s">
        <v>262</v>
      </c>
    </row>
    <row r="1991" spans="1:23" x14ac:dyDescent="0.3">
      <c r="A1991" t="s">
        <v>21</v>
      </c>
      <c r="B1991" t="s">
        <v>5384</v>
      </c>
      <c r="C1991" t="s">
        <v>499</v>
      </c>
      <c r="D1991" t="s">
        <v>3595</v>
      </c>
      <c r="E1991" t="s">
        <v>5385</v>
      </c>
      <c r="M1991" t="s">
        <v>411</v>
      </c>
      <c r="N1991" t="s">
        <v>259</v>
      </c>
      <c r="P1991" t="s">
        <v>260</v>
      </c>
      <c r="Q1991" t="s">
        <v>260</v>
      </c>
      <c r="R1991" t="s">
        <v>283</v>
      </c>
      <c r="S1991" t="s">
        <v>21</v>
      </c>
      <c r="T1991">
        <v>100</v>
      </c>
      <c r="W1991" t="s">
        <v>262</v>
      </c>
    </row>
    <row r="1992" spans="1:23" x14ac:dyDescent="0.3">
      <c r="A1992" t="s">
        <v>21</v>
      </c>
      <c r="B1992" t="s">
        <v>122</v>
      </c>
      <c r="C1992" t="s">
        <v>499</v>
      </c>
      <c r="D1992" t="s">
        <v>5386</v>
      </c>
      <c r="E1992" t="s">
        <v>123</v>
      </c>
      <c r="M1992" t="s">
        <v>411</v>
      </c>
      <c r="N1992" t="s">
        <v>259</v>
      </c>
      <c r="P1992" t="s">
        <v>260</v>
      </c>
      <c r="Q1992" t="s">
        <v>260</v>
      </c>
      <c r="R1992" t="s">
        <v>268</v>
      </c>
      <c r="S1992" t="s">
        <v>21</v>
      </c>
      <c r="T1992">
        <v>100</v>
      </c>
      <c r="W1992" t="s">
        <v>262</v>
      </c>
    </row>
    <row r="1993" spans="1:23" x14ac:dyDescent="0.3">
      <c r="A1993" t="s">
        <v>21</v>
      </c>
      <c r="B1993" t="s">
        <v>5387</v>
      </c>
      <c r="C1993" t="s">
        <v>499</v>
      </c>
      <c r="D1993" t="s">
        <v>460</v>
      </c>
      <c r="E1993" t="s">
        <v>5388</v>
      </c>
      <c r="M1993" t="s">
        <v>411</v>
      </c>
      <c r="N1993" t="s">
        <v>259</v>
      </c>
      <c r="P1993" t="s">
        <v>260</v>
      </c>
      <c r="Q1993" t="s">
        <v>260</v>
      </c>
      <c r="R1993" t="s">
        <v>261</v>
      </c>
      <c r="S1993" t="s">
        <v>21</v>
      </c>
      <c r="T1993">
        <v>100</v>
      </c>
      <c r="W1993" t="s">
        <v>262</v>
      </c>
    </row>
    <row r="1994" spans="1:23" x14ac:dyDescent="0.3">
      <c r="A1994" t="s">
        <v>21</v>
      </c>
      <c r="B1994" t="s">
        <v>132</v>
      </c>
      <c r="C1994" t="s">
        <v>499</v>
      </c>
      <c r="D1994" t="s">
        <v>5389</v>
      </c>
      <c r="E1994" t="s">
        <v>133</v>
      </c>
      <c r="M1994" t="s">
        <v>411</v>
      </c>
      <c r="N1994" t="s">
        <v>259</v>
      </c>
      <c r="P1994" t="s">
        <v>260</v>
      </c>
      <c r="Q1994" t="s">
        <v>260</v>
      </c>
      <c r="R1994" t="s">
        <v>268</v>
      </c>
      <c r="S1994" t="s">
        <v>21</v>
      </c>
      <c r="T1994">
        <v>100</v>
      </c>
      <c r="W1994" t="s">
        <v>262</v>
      </c>
    </row>
    <row r="1995" spans="1:23" x14ac:dyDescent="0.3">
      <c r="A1995" t="s">
        <v>21</v>
      </c>
      <c r="B1995" t="s">
        <v>5390</v>
      </c>
      <c r="C1995" t="s">
        <v>499</v>
      </c>
      <c r="D1995" t="s">
        <v>5391</v>
      </c>
      <c r="E1995" t="s">
        <v>5392</v>
      </c>
      <c r="M1995" t="s">
        <v>411</v>
      </c>
      <c r="N1995" t="s">
        <v>259</v>
      </c>
      <c r="P1995" t="s">
        <v>260</v>
      </c>
      <c r="Q1995" t="s">
        <v>260</v>
      </c>
      <c r="R1995" t="s">
        <v>283</v>
      </c>
      <c r="S1995" t="s">
        <v>21</v>
      </c>
      <c r="T1995">
        <v>100</v>
      </c>
      <c r="W1995" t="s">
        <v>262</v>
      </c>
    </row>
    <row r="1996" spans="1:23" x14ac:dyDescent="0.3">
      <c r="A1996" t="s">
        <v>21</v>
      </c>
      <c r="B1996" t="s">
        <v>5393</v>
      </c>
      <c r="C1996" t="s">
        <v>499</v>
      </c>
      <c r="D1996" t="s">
        <v>5394</v>
      </c>
      <c r="E1996" t="s">
        <v>5395</v>
      </c>
      <c r="M1996" t="s">
        <v>411</v>
      </c>
      <c r="N1996" t="s">
        <v>259</v>
      </c>
      <c r="P1996" t="s">
        <v>260</v>
      </c>
      <c r="Q1996" t="s">
        <v>260</v>
      </c>
      <c r="R1996" t="s">
        <v>283</v>
      </c>
      <c r="S1996" t="s">
        <v>21</v>
      </c>
      <c r="T1996">
        <v>100</v>
      </c>
      <c r="W1996" t="s">
        <v>262</v>
      </c>
    </row>
    <row r="1997" spans="1:23" x14ac:dyDescent="0.3">
      <c r="A1997" t="s">
        <v>21</v>
      </c>
      <c r="B1997" t="s">
        <v>5396</v>
      </c>
      <c r="C1997" t="s">
        <v>499</v>
      </c>
      <c r="D1997" t="s">
        <v>5397</v>
      </c>
      <c r="E1997" t="s">
        <v>5395</v>
      </c>
      <c r="M1997" t="s">
        <v>411</v>
      </c>
      <c r="N1997" t="s">
        <v>259</v>
      </c>
      <c r="P1997" t="s">
        <v>260</v>
      </c>
      <c r="Q1997" t="s">
        <v>260</v>
      </c>
      <c r="R1997" t="s">
        <v>283</v>
      </c>
      <c r="S1997" t="s">
        <v>21</v>
      </c>
      <c r="T1997">
        <v>100</v>
      </c>
      <c r="W1997" t="s">
        <v>262</v>
      </c>
    </row>
    <row r="1998" spans="1:23" x14ac:dyDescent="0.3">
      <c r="A1998" t="s">
        <v>21</v>
      </c>
      <c r="B1998" t="s">
        <v>5398</v>
      </c>
      <c r="C1998" t="s">
        <v>270</v>
      </c>
      <c r="D1998" t="s">
        <v>5399</v>
      </c>
      <c r="E1998" t="s">
        <v>5399</v>
      </c>
      <c r="M1998" t="s">
        <v>411</v>
      </c>
      <c r="N1998" t="s">
        <v>259</v>
      </c>
      <c r="P1998" t="s">
        <v>260</v>
      </c>
      <c r="Q1998" t="s">
        <v>260</v>
      </c>
      <c r="R1998" t="s">
        <v>283</v>
      </c>
      <c r="S1998" t="s">
        <v>21</v>
      </c>
      <c r="T1998">
        <v>100</v>
      </c>
      <c r="W1998" t="s">
        <v>262</v>
      </c>
    </row>
    <row r="1999" spans="1:23" x14ac:dyDescent="0.3">
      <c r="A1999" t="s">
        <v>21</v>
      </c>
      <c r="B1999" t="s">
        <v>179</v>
      </c>
      <c r="C1999" t="s">
        <v>499</v>
      </c>
      <c r="D1999" t="s">
        <v>3467</v>
      </c>
      <c r="E1999" t="s">
        <v>180</v>
      </c>
      <c r="M1999" t="s">
        <v>411</v>
      </c>
      <c r="N1999" t="s">
        <v>259</v>
      </c>
      <c r="P1999" t="s">
        <v>260</v>
      </c>
      <c r="Q1999" t="s">
        <v>260</v>
      </c>
      <c r="R1999" t="s">
        <v>293</v>
      </c>
      <c r="S1999" t="s">
        <v>21</v>
      </c>
      <c r="T1999">
        <v>100</v>
      </c>
      <c r="W1999" t="s">
        <v>262</v>
      </c>
    </row>
    <row r="2000" spans="1:23" x14ac:dyDescent="0.3">
      <c r="A2000" t="s">
        <v>21</v>
      </c>
      <c r="B2000" t="s">
        <v>5400</v>
      </c>
      <c r="C2000" t="s">
        <v>499</v>
      </c>
      <c r="D2000" t="s">
        <v>5401</v>
      </c>
      <c r="E2000" t="s">
        <v>5402</v>
      </c>
      <c r="M2000" t="s">
        <v>411</v>
      </c>
      <c r="N2000" t="s">
        <v>259</v>
      </c>
      <c r="P2000" t="s">
        <v>260</v>
      </c>
      <c r="Q2000" t="s">
        <v>260</v>
      </c>
      <c r="R2000" t="s">
        <v>283</v>
      </c>
      <c r="S2000" t="s">
        <v>21</v>
      </c>
      <c r="T2000">
        <v>100</v>
      </c>
      <c r="W2000" t="s">
        <v>262</v>
      </c>
    </row>
    <row r="2001" spans="1:23" x14ac:dyDescent="0.3">
      <c r="A2001" t="s">
        <v>21</v>
      </c>
      <c r="B2001" t="s">
        <v>183</v>
      </c>
      <c r="C2001" t="s">
        <v>499</v>
      </c>
      <c r="D2001" t="s">
        <v>5403</v>
      </c>
      <c r="E2001" t="s">
        <v>184</v>
      </c>
      <c r="M2001" t="s">
        <v>411</v>
      </c>
      <c r="N2001" t="s">
        <v>259</v>
      </c>
      <c r="P2001" t="s">
        <v>260</v>
      </c>
      <c r="Q2001" t="s">
        <v>260</v>
      </c>
      <c r="R2001" t="s">
        <v>293</v>
      </c>
      <c r="S2001" t="s">
        <v>21</v>
      </c>
      <c r="T2001">
        <v>100</v>
      </c>
      <c r="W2001" t="s">
        <v>262</v>
      </c>
    </row>
    <row r="2002" spans="1:23" x14ac:dyDescent="0.3">
      <c r="A2002" t="s">
        <v>21</v>
      </c>
      <c r="B2002" t="s">
        <v>116</v>
      </c>
      <c r="C2002" t="s">
        <v>270</v>
      </c>
      <c r="D2002" t="s">
        <v>117</v>
      </c>
      <c r="E2002" t="s">
        <v>117</v>
      </c>
      <c r="M2002" t="s">
        <v>411</v>
      </c>
      <c r="N2002" t="s">
        <v>259</v>
      </c>
      <c r="P2002" t="s">
        <v>260</v>
      </c>
      <c r="Q2002" t="s">
        <v>260</v>
      </c>
      <c r="R2002" t="s">
        <v>268</v>
      </c>
      <c r="S2002" t="s">
        <v>21</v>
      </c>
      <c r="T2002">
        <v>100</v>
      </c>
      <c r="W2002" t="s">
        <v>262</v>
      </c>
    </row>
    <row r="2003" spans="1:23" x14ac:dyDescent="0.3">
      <c r="A2003" t="s">
        <v>21</v>
      </c>
      <c r="B2003" t="s">
        <v>87</v>
      </c>
      <c r="C2003" t="s">
        <v>499</v>
      </c>
      <c r="D2003" t="s">
        <v>1655</v>
      </c>
      <c r="E2003" t="s">
        <v>88</v>
      </c>
      <c r="M2003" t="s">
        <v>411</v>
      </c>
      <c r="N2003" t="s">
        <v>259</v>
      </c>
      <c r="P2003" t="s">
        <v>260</v>
      </c>
      <c r="Q2003" t="s">
        <v>260</v>
      </c>
      <c r="R2003" t="s">
        <v>283</v>
      </c>
      <c r="S2003" t="s">
        <v>21</v>
      </c>
      <c r="T2003">
        <v>100</v>
      </c>
      <c r="W2003" t="s">
        <v>262</v>
      </c>
    </row>
    <row r="2004" spans="1:23" x14ac:dyDescent="0.3">
      <c r="A2004" t="s">
        <v>21</v>
      </c>
      <c r="B2004" t="s">
        <v>5404</v>
      </c>
      <c r="C2004" t="s">
        <v>270</v>
      </c>
      <c r="D2004" t="s">
        <v>5405</v>
      </c>
      <c r="E2004" t="s">
        <v>5405</v>
      </c>
      <c r="M2004" t="s">
        <v>411</v>
      </c>
      <c r="N2004" t="s">
        <v>259</v>
      </c>
      <c r="P2004" t="s">
        <v>260</v>
      </c>
      <c r="Q2004" t="s">
        <v>260</v>
      </c>
      <c r="R2004" t="s">
        <v>293</v>
      </c>
      <c r="S2004" t="s">
        <v>21</v>
      </c>
      <c r="T2004">
        <v>100</v>
      </c>
      <c r="W2004" t="s">
        <v>262</v>
      </c>
    </row>
    <row r="2005" spans="1:23" x14ac:dyDescent="0.3">
      <c r="A2005" t="s">
        <v>21</v>
      </c>
      <c r="B2005" t="s">
        <v>66</v>
      </c>
      <c r="C2005" t="s">
        <v>270</v>
      </c>
      <c r="D2005" t="s">
        <v>67</v>
      </c>
      <c r="E2005" t="s">
        <v>67</v>
      </c>
      <c r="M2005" t="s">
        <v>411</v>
      </c>
      <c r="N2005" t="s">
        <v>259</v>
      </c>
      <c r="P2005" t="s">
        <v>260</v>
      </c>
      <c r="Q2005" t="s">
        <v>260</v>
      </c>
      <c r="R2005" t="s">
        <v>283</v>
      </c>
      <c r="S2005" t="s">
        <v>21</v>
      </c>
      <c r="T2005">
        <v>100</v>
      </c>
      <c r="W2005" t="s">
        <v>262</v>
      </c>
    </row>
    <row r="2006" spans="1:23" x14ac:dyDescent="0.3">
      <c r="A2006" t="s">
        <v>21</v>
      </c>
      <c r="B2006" t="s">
        <v>5406</v>
      </c>
      <c r="C2006" t="s">
        <v>499</v>
      </c>
      <c r="D2006" t="s">
        <v>5407</v>
      </c>
      <c r="E2006" t="s">
        <v>5408</v>
      </c>
      <c r="M2006" t="s">
        <v>411</v>
      </c>
      <c r="N2006" t="s">
        <v>259</v>
      </c>
      <c r="P2006" t="s">
        <v>260</v>
      </c>
      <c r="Q2006" t="s">
        <v>260</v>
      </c>
      <c r="R2006" t="s">
        <v>261</v>
      </c>
      <c r="S2006" t="s">
        <v>21</v>
      </c>
      <c r="T2006">
        <v>100</v>
      </c>
      <c r="W2006" t="s">
        <v>262</v>
      </c>
    </row>
    <row r="2007" spans="1:23" x14ac:dyDescent="0.3">
      <c r="A2007" t="s">
        <v>21</v>
      </c>
      <c r="B2007" t="s">
        <v>5409</v>
      </c>
      <c r="C2007" t="s">
        <v>499</v>
      </c>
      <c r="D2007" t="s">
        <v>5410</v>
      </c>
      <c r="E2007" t="s">
        <v>5411</v>
      </c>
      <c r="M2007" t="s">
        <v>411</v>
      </c>
      <c r="N2007" t="s">
        <v>259</v>
      </c>
      <c r="P2007" t="s">
        <v>260</v>
      </c>
      <c r="Q2007" t="s">
        <v>260</v>
      </c>
      <c r="R2007" t="s">
        <v>293</v>
      </c>
      <c r="S2007" t="s">
        <v>21</v>
      </c>
      <c r="T2007">
        <v>100</v>
      </c>
      <c r="W2007" t="s">
        <v>262</v>
      </c>
    </row>
    <row r="2008" spans="1:23" x14ac:dyDescent="0.3">
      <c r="A2008" t="s">
        <v>21</v>
      </c>
      <c r="B2008" t="s">
        <v>5412</v>
      </c>
      <c r="C2008" t="s">
        <v>299</v>
      </c>
      <c r="D2008" t="s">
        <v>5410</v>
      </c>
      <c r="E2008" t="s">
        <v>5413</v>
      </c>
      <c r="M2008" t="s">
        <v>411</v>
      </c>
      <c r="N2008" t="s">
        <v>259</v>
      </c>
      <c r="P2008" t="s">
        <v>260</v>
      </c>
      <c r="Q2008" t="s">
        <v>260</v>
      </c>
      <c r="R2008" t="s">
        <v>293</v>
      </c>
      <c r="S2008" t="s">
        <v>21</v>
      </c>
      <c r="T2008">
        <v>100</v>
      </c>
      <c r="W2008" t="s">
        <v>262</v>
      </c>
    </row>
    <row r="2009" spans="1:23" x14ac:dyDescent="0.3">
      <c r="A2009" t="s">
        <v>21</v>
      </c>
      <c r="B2009" t="s">
        <v>143</v>
      </c>
      <c r="C2009" t="s">
        <v>270</v>
      </c>
      <c r="D2009" t="s">
        <v>144</v>
      </c>
      <c r="E2009" t="s">
        <v>144</v>
      </c>
      <c r="M2009" t="s">
        <v>411</v>
      </c>
      <c r="N2009" t="s">
        <v>259</v>
      </c>
      <c r="P2009" t="s">
        <v>260</v>
      </c>
      <c r="Q2009" t="s">
        <v>260</v>
      </c>
      <c r="R2009" t="s">
        <v>513</v>
      </c>
      <c r="S2009" t="s">
        <v>21</v>
      </c>
      <c r="T2009">
        <v>100</v>
      </c>
      <c r="W2009" t="s">
        <v>262</v>
      </c>
    </row>
    <row r="2010" spans="1:23" x14ac:dyDescent="0.3">
      <c r="A2010" t="s">
        <v>21</v>
      </c>
      <c r="B2010" t="s">
        <v>148</v>
      </c>
      <c r="C2010" t="s">
        <v>270</v>
      </c>
      <c r="D2010" t="s">
        <v>149</v>
      </c>
      <c r="E2010" t="s">
        <v>149</v>
      </c>
      <c r="M2010" t="s">
        <v>411</v>
      </c>
      <c r="N2010" t="s">
        <v>259</v>
      </c>
      <c r="P2010" t="s">
        <v>260</v>
      </c>
      <c r="Q2010" t="s">
        <v>260</v>
      </c>
      <c r="R2010" t="s">
        <v>513</v>
      </c>
      <c r="S2010" t="s">
        <v>21</v>
      </c>
      <c r="T2010">
        <v>100</v>
      </c>
      <c r="W2010" t="s">
        <v>262</v>
      </c>
    </row>
    <row r="2011" spans="1:23" x14ac:dyDescent="0.3">
      <c r="A2011" t="s">
        <v>21</v>
      </c>
      <c r="B2011" t="s">
        <v>76</v>
      </c>
      <c r="C2011" t="s">
        <v>299</v>
      </c>
      <c r="D2011" t="s">
        <v>1735</v>
      </c>
      <c r="E2011" t="s">
        <v>77</v>
      </c>
      <c r="M2011" t="s">
        <v>411</v>
      </c>
      <c r="N2011" t="s">
        <v>259</v>
      </c>
      <c r="P2011" t="s">
        <v>260</v>
      </c>
      <c r="Q2011" t="s">
        <v>260</v>
      </c>
      <c r="R2011" t="s">
        <v>283</v>
      </c>
      <c r="S2011" t="s">
        <v>21</v>
      </c>
      <c r="T2011">
        <v>100</v>
      </c>
      <c r="W2011" t="s">
        <v>262</v>
      </c>
    </row>
    <row r="2012" spans="1:23" x14ac:dyDescent="0.3">
      <c r="A2012" t="s">
        <v>21</v>
      </c>
      <c r="B2012" t="s">
        <v>5414</v>
      </c>
      <c r="C2012" t="s">
        <v>499</v>
      </c>
      <c r="D2012" t="s">
        <v>5415</v>
      </c>
      <c r="E2012" t="s">
        <v>5416</v>
      </c>
      <c r="M2012" t="s">
        <v>411</v>
      </c>
      <c r="N2012" t="s">
        <v>259</v>
      </c>
      <c r="P2012" t="s">
        <v>260</v>
      </c>
      <c r="Q2012" t="s">
        <v>260</v>
      </c>
      <c r="R2012" t="s">
        <v>268</v>
      </c>
      <c r="S2012" t="s">
        <v>21</v>
      </c>
      <c r="T2012">
        <v>100</v>
      </c>
      <c r="W2012" t="s">
        <v>262</v>
      </c>
    </row>
    <row r="2013" spans="1:23" x14ac:dyDescent="0.3">
      <c r="A2013" t="s">
        <v>21</v>
      </c>
      <c r="B2013" t="s">
        <v>5417</v>
      </c>
      <c r="C2013" t="s">
        <v>499</v>
      </c>
      <c r="D2013" t="s">
        <v>5418</v>
      </c>
      <c r="E2013" t="s">
        <v>5419</v>
      </c>
      <c r="M2013" t="s">
        <v>411</v>
      </c>
      <c r="N2013" t="s">
        <v>259</v>
      </c>
      <c r="P2013" t="s">
        <v>260</v>
      </c>
      <c r="Q2013" t="s">
        <v>260</v>
      </c>
      <c r="R2013" t="s">
        <v>513</v>
      </c>
      <c r="S2013" t="s">
        <v>21</v>
      </c>
      <c r="T2013">
        <v>100</v>
      </c>
      <c r="W2013" t="s">
        <v>262</v>
      </c>
    </row>
    <row r="2014" spans="1:23" x14ac:dyDescent="0.3">
      <c r="A2014" t="s">
        <v>21</v>
      </c>
      <c r="B2014" t="s">
        <v>5420</v>
      </c>
      <c r="C2014" t="s">
        <v>499</v>
      </c>
      <c r="D2014" t="s">
        <v>5421</v>
      </c>
      <c r="E2014" t="s">
        <v>5422</v>
      </c>
      <c r="M2014" t="s">
        <v>411</v>
      </c>
      <c r="N2014" t="s">
        <v>259</v>
      </c>
      <c r="P2014" t="s">
        <v>260</v>
      </c>
      <c r="Q2014" t="s">
        <v>260</v>
      </c>
      <c r="R2014" t="s">
        <v>261</v>
      </c>
      <c r="S2014" t="s">
        <v>21</v>
      </c>
      <c r="T2014">
        <v>100</v>
      </c>
      <c r="W2014" t="s">
        <v>262</v>
      </c>
    </row>
    <row r="2015" spans="1:23" x14ac:dyDescent="0.3">
      <c r="A2015" t="s">
        <v>21</v>
      </c>
      <c r="B2015" t="s">
        <v>154</v>
      </c>
      <c r="C2015" t="s">
        <v>499</v>
      </c>
      <c r="D2015" t="s">
        <v>5423</v>
      </c>
      <c r="E2015" t="s">
        <v>155</v>
      </c>
      <c r="M2015" t="s">
        <v>411</v>
      </c>
      <c r="N2015" t="s">
        <v>259</v>
      </c>
      <c r="P2015" t="s">
        <v>260</v>
      </c>
      <c r="Q2015" t="s">
        <v>260</v>
      </c>
      <c r="R2015" t="s">
        <v>513</v>
      </c>
      <c r="S2015" t="s">
        <v>21</v>
      </c>
      <c r="T2015">
        <v>100</v>
      </c>
      <c r="W2015" t="s">
        <v>262</v>
      </c>
    </row>
    <row r="2016" spans="1:23" x14ac:dyDescent="0.3">
      <c r="A2016" t="s">
        <v>21</v>
      </c>
      <c r="B2016" t="s">
        <v>158</v>
      </c>
      <c r="C2016" t="s">
        <v>499</v>
      </c>
      <c r="D2016" t="s">
        <v>5424</v>
      </c>
      <c r="E2016" t="s">
        <v>159</v>
      </c>
      <c r="M2016" t="s">
        <v>411</v>
      </c>
      <c r="N2016" t="s">
        <v>259</v>
      </c>
      <c r="P2016" t="s">
        <v>260</v>
      </c>
      <c r="Q2016" t="s">
        <v>260</v>
      </c>
      <c r="R2016" t="s">
        <v>513</v>
      </c>
      <c r="S2016" t="s">
        <v>21</v>
      </c>
      <c r="T2016">
        <v>100</v>
      </c>
      <c r="W2016" t="s">
        <v>262</v>
      </c>
    </row>
    <row r="2017" spans="1:23" x14ac:dyDescent="0.3">
      <c r="A2017" t="s">
        <v>21</v>
      </c>
      <c r="B2017" t="s">
        <v>166</v>
      </c>
      <c r="C2017" t="s">
        <v>270</v>
      </c>
      <c r="D2017" t="s">
        <v>167</v>
      </c>
      <c r="E2017" t="s">
        <v>167</v>
      </c>
      <c r="M2017" t="s">
        <v>411</v>
      </c>
      <c r="N2017" t="s">
        <v>259</v>
      </c>
      <c r="P2017" t="s">
        <v>260</v>
      </c>
      <c r="Q2017" t="s">
        <v>260</v>
      </c>
      <c r="R2017" t="s">
        <v>513</v>
      </c>
      <c r="S2017" t="s">
        <v>21</v>
      </c>
      <c r="T2017">
        <v>100</v>
      </c>
      <c r="W2017" t="s">
        <v>262</v>
      </c>
    </row>
    <row r="2018" spans="1:23" x14ac:dyDescent="0.3">
      <c r="A2018" t="s">
        <v>21</v>
      </c>
      <c r="B2018" t="s">
        <v>5425</v>
      </c>
      <c r="C2018" t="s">
        <v>499</v>
      </c>
      <c r="D2018" t="s">
        <v>1102</v>
      </c>
      <c r="E2018" t="s">
        <v>5426</v>
      </c>
      <c r="M2018" t="s">
        <v>411</v>
      </c>
      <c r="N2018" t="s">
        <v>259</v>
      </c>
      <c r="P2018" t="s">
        <v>260</v>
      </c>
      <c r="Q2018" t="s">
        <v>260</v>
      </c>
      <c r="R2018" t="s">
        <v>513</v>
      </c>
      <c r="S2018" t="s">
        <v>21</v>
      </c>
      <c r="T2018">
        <v>100</v>
      </c>
      <c r="W2018" t="s">
        <v>262</v>
      </c>
    </row>
    <row r="2019" spans="1:23" x14ac:dyDescent="0.3">
      <c r="A2019" t="s">
        <v>21</v>
      </c>
      <c r="B2019" t="s">
        <v>162</v>
      </c>
      <c r="C2019" t="s">
        <v>499</v>
      </c>
      <c r="D2019" t="s">
        <v>5427</v>
      </c>
      <c r="E2019" t="s">
        <v>163</v>
      </c>
      <c r="M2019" t="s">
        <v>411</v>
      </c>
      <c r="N2019" t="s">
        <v>259</v>
      </c>
      <c r="P2019" t="s">
        <v>260</v>
      </c>
      <c r="Q2019" t="s">
        <v>260</v>
      </c>
      <c r="R2019" t="s">
        <v>513</v>
      </c>
      <c r="S2019" t="s">
        <v>21</v>
      </c>
      <c r="T2019">
        <v>100</v>
      </c>
      <c r="W2019" t="s">
        <v>262</v>
      </c>
    </row>
    <row r="2020" spans="1:23" x14ac:dyDescent="0.3">
      <c r="A2020" t="s">
        <v>21</v>
      </c>
      <c r="B2020" t="s">
        <v>5428</v>
      </c>
      <c r="C2020" t="s">
        <v>499</v>
      </c>
      <c r="D2020" t="s">
        <v>5429</v>
      </c>
      <c r="E2020" t="s">
        <v>5430</v>
      </c>
      <c r="M2020" t="s">
        <v>411</v>
      </c>
      <c r="N2020" t="s">
        <v>259</v>
      </c>
      <c r="P2020" t="s">
        <v>260</v>
      </c>
      <c r="Q2020" t="s">
        <v>260</v>
      </c>
      <c r="R2020" t="s">
        <v>513</v>
      </c>
      <c r="S2020" t="s">
        <v>21</v>
      </c>
      <c r="T2020">
        <v>100</v>
      </c>
      <c r="W2020" t="s">
        <v>262</v>
      </c>
    </row>
    <row r="2021" spans="1:23" x14ac:dyDescent="0.3">
      <c r="A2021" t="s">
        <v>21</v>
      </c>
      <c r="B2021" t="s">
        <v>5431</v>
      </c>
      <c r="C2021" t="s">
        <v>499</v>
      </c>
      <c r="D2021" t="s">
        <v>4324</v>
      </c>
      <c r="E2021" t="s">
        <v>5432</v>
      </c>
      <c r="M2021" t="s">
        <v>411</v>
      </c>
      <c r="N2021" t="s">
        <v>259</v>
      </c>
      <c r="P2021" t="s">
        <v>260</v>
      </c>
      <c r="Q2021" t="s">
        <v>260</v>
      </c>
      <c r="R2021" t="s">
        <v>513</v>
      </c>
      <c r="S2021" t="s">
        <v>21</v>
      </c>
      <c r="T2021">
        <v>100</v>
      </c>
      <c r="W2021" t="s">
        <v>262</v>
      </c>
    </row>
    <row r="2022" spans="1:23" x14ac:dyDescent="0.3">
      <c r="A2022" t="s">
        <v>21</v>
      </c>
      <c r="B2022" t="s">
        <v>5433</v>
      </c>
      <c r="C2022" t="s">
        <v>499</v>
      </c>
      <c r="D2022" t="s">
        <v>894</v>
      </c>
      <c r="E2022" t="s">
        <v>5419</v>
      </c>
      <c r="M2022" t="s">
        <v>411</v>
      </c>
      <c r="N2022" t="s">
        <v>259</v>
      </c>
      <c r="P2022" t="s">
        <v>260</v>
      </c>
      <c r="Q2022" t="s">
        <v>260</v>
      </c>
      <c r="R2022" t="s">
        <v>513</v>
      </c>
      <c r="S2022" t="s">
        <v>21</v>
      </c>
      <c r="T2022">
        <v>100</v>
      </c>
      <c r="W2022" t="s">
        <v>262</v>
      </c>
    </row>
    <row r="2023" spans="1:23" x14ac:dyDescent="0.3">
      <c r="A2023" t="s">
        <v>21</v>
      </c>
      <c r="B2023" t="s">
        <v>5434</v>
      </c>
      <c r="C2023" t="s">
        <v>499</v>
      </c>
      <c r="D2023" t="s">
        <v>5435</v>
      </c>
      <c r="E2023" t="s">
        <v>5436</v>
      </c>
      <c r="M2023" t="s">
        <v>411</v>
      </c>
      <c r="N2023" t="s">
        <v>259</v>
      </c>
      <c r="P2023" t="s">
        <v>260</v>
      </c>
      <c r="Q2023" t="s">
        <v>260</v>
      </c>
      <c r="R2023" t="s">
        <v>268</v>
      </c>
      <c r="S2023" t="s">
        <v>21</v>
      </c>
      <c r="T2023">
        <v>100</v>
      </c>
      <c r="W2023" t="s">
        <v>262</v>
      </c>
    </row>
    <row r="2024" spans="1:23" x14ac:dyDescent="0.3">
      <c r="A2024" t="s">
        <v>21</v>
      </c>
      <c r="B2024" t="s">
        <v>139</v>
      </c>
      <c r="C2024" t="s">
        <v>299</v>
      </c>
      <c r="D2024" t="s">
        <v>5435</v>
      </c>
      <c r="E2024" t="s">
        <v>140</v>
      </c>
      <c r="M2024" t="s">
        <v>411</v>
      </c>
      <c r="N2024" t="s">
        <v>259</v>
      </c>
      <c r="P2024" t="s">
        <v>260</v>
      </c>
      <c r="Q2024" t="s">
        <v>260</v>
      </c>
      <c r="R2024" t="s">
        <v>268</v>
      </c>
      <c r="S2024" t="s">
        <v>21</v>
      </c>
      <c r="T2024">
        <v>100</v>
      </c>
      <c r="W2024" t="s">
        <v>262</v>
      </c>
    </row>
    <row r="2025" spans="1:23" x14ac:dyDescent="0.3">
      <c r="A2025" t="s">
        <v>21</v>
      </c>
      <c r="B2025" t="s">
        <v>55</v>
      </c>
      <c r="C2025" t="s">
        <v>270</v>
      </c>
      <c r="D2025" t="s">
        <v>56</v>
      </c>
      <c r="E2025" t="s">
        <v>56</v>
      </c>
      <c r="M2025" t="s">
        <v>411</v>
      </c>
      <c r="N2025" t="s">
        <v>259</v>
      </c>
      <c r="P2025" t="s">
        <v>260</v>
      </c>
      <c r="Q2025" t="s">
        <v>260</v>
      </c>
      <c r="R2025" t="s">
        <v>261</v>
      </c>
      <c r="S2025" t="s">
        <v>21</v>
      </c>
      <c r="T2025">
        <v>100</v>
      </c>
      <c r="W2025" t="s">
        <v>262</v>
      </c>
    </row>
    <row r="2026" spans="1:23" x14ac:dyDescent="0.3">
      <c r="A2026" t="s">
        <v>21</v>
      </c>
      <c r="B2026" t="s">
        <v>5437</v>
      </c>
      <c r="C2026" t="s">
        <v>499</v>
      </c>
      <c r="D2026" t="s">
        <v>5438</v>
      </c>
      <c r="E2026" t="s">
        <v>5439</v>
      </c>
      <c r="M2026" t="s">
        <v>411</v>
      </c>
      <c r="N2026" t="s">
        <v>259</v>
      </c>
      <c r="P2026" t="s">
        <v>260</v>
      </c>
      <c r="Q2026" t="s">
        <v>260</v>
      </c>
      <c r="R2026" t="s">
        <v>261</v>
      </c>
      <c r="S2026" t="s">
        <v>21</v>
      </c>
      <c r="T2026">
        <v>100</v>
      </c>
      <c r="W2026" t="s">
        <v>262</v>
      </c>
    </row>
    <row r="2027" spans="1:23" x14ac:dyDescent="0.3">
      <c r="A2027" t="s">
        <v>21</v>
      </c>
      <c r="B2027" t="s">
        <v>5440</v>
      </c>
      <c r="C2027" t="s">
        <v>499</v>
      </c>
      <c r="D2027" t="s">
        <v>5441</v>
      </c>
      <c r="E2027" t="s">
        <v>5442</v>
      </c>
      <c r="M2027" t="s">
        <v>411</v>
      </c>
      <c r="N2027" t="s">
        <v>259</v>
      </c>
      <c r="P2027" t="s">
        <v>260</v>
      </c>
      <c r="Q2027" t="s">
        <v>260</v>
      </c>
      <c r="R2027" t="s">
        <v>283</v>
      </c>
      <c r="S2027" t="s">
        <v>21</v>
      </c>
      <c r="T2027">
        <v>100</v>
      </c>
      <c r="W2027" t="s">
        <v>262</v>
      </c>
    </row>
    <row r="2028" spans="1:23" x14ac:dyDescent="0.3">
      <c r="A2028" t="s">
        <v>21</v>
      </c>
      <c r="B2028" t="s">
        <v>5443</v>
      </c>
      <c r="C2028" t="s">
        <v>499</v>
      </c>
      <c r="D2028" t="s">
        <v>5444</v>
      </c>
      <c r="E2028" t="s">
        <v>5445</v>
      </c>
      <c r="M2028" t="s">
        <v>411</v>
      </c>
      <c r="N2028" t="s">
        <v>259</v>
      </c>
      <c r="P2028" t="s">
        <v>260</v>
      </c>
      <c r="Q2028" t="s">
        <v>260</v>
      </c>
      <c r="R2028" t="s">
        <v>283</v>
      </c>
      <c r="S2028" t="s">
        <v>21</v>
      </c>
      <c r="T2028">
        <v>100</v>
      </c>
      <c r="W2028" t="s">
        <v>262</v>
      </c>
    </row>
    <row r="2029" spans="1:23" x14ac:dyDescent="0.3">
      <c r="A2029" t="s">
        <v>21</v>
      </c>
      <c r="B2029" t="s">
        <v>5446</v>
      </c>
      <c r="C2029" t="s">
        <v>270</v>
      </c>
      <c r="D2029" t="s">
        <v>5447</v>
      </c>
      <c r="E2029" t="s">
        <v>5447</v>
      </c>
      <c r="M2029" t="s">
        <v>411</v>
      </c>
      <c r="N2029" t="s">
        <v>259</v>
      </c>
      <c r="P2029" t="s">
        <v>260</v>
      </c>
      <c r="Q2029" t="s">
        <v>260</v>
      </c>
      <c r="R2029" t="s">
        <v>283</v>
      </c>
      <c r="S2029" t="s">
        <v>21</v>
      </c>
      <c r="T2029">
        <v>100</v>
      </c>
      <c r="W2029" t="s">
        <v>262</v>
      </c>
    </row>
    <row r="2030" spans="1:23" x14ac:dyDescent="0.3">
      <c r="A2030" t="s">
        <v>21</v>
      </c>
      <c r="B2030" t="s">
        <v>60</v>
      </c>
      <c r="C2030" t="s">
        <v>270</v>
      </c>
      <c r="D2030" t="s">
        <v>61</v>
      </c>
      <c r="E2030" t="s">
        <v>61</v>
      </c>
      <c r="M2030" t="s">
        <v>411</v>
      </c>
      <c r="N2030" t="s">
        <v>259</v>
      </c>
      <c r="P2030" t="s">
        <v>260</v>
      </c>
      <c r="Q2030" t="s">
        <v>260</v>
      </c>
      <c r="R2030" t="s">
        <v>283</v>
      </c>
      <c r="S2030" t="s">
        <v>21</v>
      </c>
      <c r="T2030">
        <v>100</v>
      </c>
      <c r="W2030" t="s">
        <v>262</v>
      </c>
    </row>
    <row r="2031" spans="1:23" x14ac:dyDescent="0.3">
      <c r="A2031" t="s">
        <v>21</v>
      </c>
      <c r="B2031" t="s">
        <v>37</v>
      </c>
      <c r="C2031" t="s">
        <v>270</v>
      </c>
      <c r="D2031" t="s">
        <v>38</v>
      </c>
      <c r="E2031" t="s">
        <v>38</v>
      </c>
      <c r="M2031" t="s">
        <v>411</v>
      </c>
      <c r="N2031" t="s">
        <v>259</v>
      </c>
      <c r="P2031" t="s">
        <v>260</v>
      </c>
      <c r="Q2031" t="s">
        <v>260</v>
      </c>
      <c r="R2031" t="s">
        <v>261</v>
      </c>
      <c r="S2031" t="s">
        <v>21</v>
      </c>
      <c r="T2031">
        <v>100</v>
      </c>
      <c r="W2031" t="s">
        <v>262</v>
      </c>
    </row>
    <row r="2032" spans="1:23" x14ac:dyDescent="0.3">
      <c r="A2032" t="s">
        <v>21</v>
      </c>
      <c r="B2032" t="s">
        <v>22</v>
      </c>
      <c r="C2032" t="s">
        <v>270</v>
      </c>
      <c r="D2032" t="s">
        <v>23</v>
      </c>
      <c r="E2032" t="s">
        <v>23</v>
      </c>
      <c r="M2032" t="s">
        <v>411</v>
      </c>
      <c r="N2032" t="s">
        <v>259</v>
      </c>
      <c r="P2032" t="s">
        <v>260</v>
      </c>
      <c r="Q2032" t="s">
        <v>260</v>
      </c>
      <c r="R2032" t="s">
        <v>261</v>
      </c>
      <c r="S2032" t="s">
        <v>21</v>
      </c>
      <c r="T2032">
        <v>100</v>
      </c>
      <c r="W2032" t="s">
        <v>262</v>
      </c>
    </row>
    <row r="2033" spans="1:26" x14ac:dyDescent="0.3">
      <c r="A2033" t="s">
        <v>21</v>
      </c>
      <c r="B2033" t="s">
        <v>5448</v>
      </c>
      <c r="C2033" t="s">
        <v>299</v>
      </c>
      <c r="D2033" t="s">
        <v>5449</v>
      </c>
      <c r="E2033" t="s">
        <v>5450</v>
      </c>
      <c r="M2033" t="s">
        <v>411</v>
      </c>
      <c r="N2033" t="s">
        <v>259</v>
      </c>
      <c r="P2033" t="s">
        <v>260</v>
      </c>
      <c r="Q2033" t="s">
        <v>260</v>
      </c>
      <c r="R2033" t="s">
        <v>283</v>
      </c>
      <c r="S2033" t="s">
        <v>21</v>
      </c>
      <c r="T2033">
        <v>100</v>
      </c>
      <c r="W2033" t="s">
        <v>262</v>
      </c>
    </row>
    <row r="2034" spans="1:26" x14ac:dyDescent="0.3">
      <c r="A2034" t="s">
        <v>21</v>
      </c>
      <c r="B2034" t="s">
        <v>5451</v>
      </c>
      <c r="C2034" t="s">
        <v>499</v>
      </c>
      <c r="D2034" t="s">
        <v>5449</v>
      </c>
      <c r="E2034" t="s">
        <v>5452</v>
      </c>
      <c r="M2034" t="s">
        <v>411</v>
      </c>
      <c r="N2034" t="s">
        <v>259</v>
      </c>
      <c r="P2034" t="s">
        <v>260</v>
      </c>
      <c r="Q2034" t="s">
        <v>260</v>
      </c>
      <c r="R2034" t="s">
        <v>283</v>
      </c>
      <c r="S2034" t="s">
        <v>21</v>
      </c>
      <c r="T2034">
        <v>100</v>
      </c>
      <c r="W2034" t="s">
        <v>262</v>
      </c>
    </row>
    <row r="2035" spans="1:26" x14ac:dyDescent="0.3">
      <c r="A2035" t="s">
        <v>21</v>
      </c>
      <c r="B2035" t="s">
        <v>93</v>
      </c>
      <c r="C2035" t="s">
        <v>499</v>
      </c>
      <c r="D2035" t="s">
        <v>5453</v>
      </c>
      <c r="E2035" t="s">
        <v>94</v>
      </c>
      <c r="M2035" t="s">
        <v>411</v>
      </c>
      <c r="N2035" t="s">
        <v>259</v>
      </c>
      <c r="P2035" t="s">
        <v>260</v>
      </c>
      <c r="Q2035" t="s">
        <v>260</v>
      </c>
      <c r="R2035" t="s">
        <v>283</v>
      </c>
      <c r="S2035" t="s">
        <v>21</v>
      </c>
      <c r="T2035">
        <v>100</v>
      </c>
      <c r="W2035" t="s">
        <v>262</v>
      </c>
    </row>
    <row r="2036" spans="1:26" x14ac:dyDescent="0.3">
      <c r="A2036" t="s">
        <v>21</v>
      </c>
      <c r="B2036" t="s">
        <v>5454</v>
      </c>
      <c r="C2036" t="s">
        <v>299</v>
      </c>
      <c r="D2036" t="s">
        <v>5453</v>
      </c>
      <c r="E2036" t="s">
        <v>5455</v>
      </c>
      <c r="M2036" t="s">
        <v>411</v>
      </c>
      <c r="N2036" t="s">
        <v>259</v>
      </c>
      <c r="P2036" t="s">
        <v>260</v>
      </c>
      <c r="Q2036" t="s">
        <v>260</v>
      </c>
      <c r="R2036" t="s">
        <v>283</v>
      </c>
      <c r="S2036" t="s">
        <v>21</v>
      </c>
      <c r="T2036">
        <v>100</v>
      </c>
      <c r="W2036" t="s">
        <v>262</v>
      </c>
    </row>
    <row r="2037" spans="1:26" x14ac:dyDescent="0.3">
      <c r="A2037" t="s">
        <v>21</v>
      </c>
      <c r="B2037" t="s">
        <v>5456</v>
      </c>
      <c r="C2037" t="s">
        <v>499</v>
      </c>
      <c r="D2037" t="s">
        <v>5457</v>
      </c>
      <c r="E2037" t="s">
        <v>5458</v>
      </c>
      <c r="M2037" t="s">
        <v>411</v>
      </c>
      <c r="N2037" t="s">
        <v>259</v>
      </c>
      <c r="P2037" t="s">
        <v>260</v>
      </c>
      <c r="Q2037" t="s">
        <v>260</v>
      </c>
      <c r="R2037" t="s">
        <v>283</v>
      </c>
      <c r="S2037" t="s">
        <v>21</v>
      </c>
      <c r="T2037">
        <v>100</v>
      </c>
      <c r="W2037" t="s">
        <v>262</v>
      </c>
    </row>
    <row r="2038" spans="1:26" x14ac:dyDescent="0.3">
      <c r="A2038" t="s">
        <v>21</v>
      </c>
      <c r="B2038" t="s">
        <v>5459</v>
      </c>
      <c r="C2038" t="s">
        <v>499</v>
      </c>
      <c r="D2038" t="s">
        <v>1682</v>
      </c>
      <c r="E2038" t="s">
        <v>5460</v>
      </c>
      <c r="M2038" t="s">
        <v>411</v>
      </c>
      <c r="N2038" t="s">
        <v>259</v>
      </c>
      <c r="P2038" t="s">
        <v>260</v>
      </c>
      <c r="Q2038" t="s">
        <v>260</v>
      </c>
      <c r="R2038" t="s">
        <v>283</v>
      </c>
      <c r="S2038" t="s">
        <v>21</v>
      </c>
      <c r="T2038">
        <v>100</v>
      </c>
      <c r="W2038" t="s">
        <v>262</v>
      </c>
    </row>
    <row r="2039" spans="1:26" x14ac:dyDescent="0.3">
      <c r="A2039" t="s">
        <v>21</v>
      </c>
      <c r="B2039" t="s">
        <v>5461</v>
      </c>
      <c r="C2039" t="s">
        <v>499</v>
      </c>
      <c r="D2039" t="s">
        <v>5438</v>
      </c>
      <c r="E2039" t="s">
        <v>5462</v>
      </c>
      <c r="M2039" t="s">
        <v>411</v>
      </c>
      <c r="N2039" t="s">
        <v>259</v>
      </c>
      <c r="P2039" t="s">
        <v>260</v>
      </c>
      <c r="Q2039" t="s">
        <v>260</v>
      </c>
      <c r="R2039" t="s">
        <v>261</v>
      </c>
      <c r="S2039" t="s">
        <v>21</v>
      </c>
      <c r="T2039">
        <v>100</v>
      </c>
      <c r="W2039" t="s">
        <v>262</v>
      </c>
    </row>
    <row r="2040" spans="1:26" x14ac:dyDescent="0.3">
      <c r="A2040" t="s">
        <v>21</v>
      </c>
      <c r="B2040" t="s">
        <v>71</v>
      </c>
      <c r="C2040" t="s">
        <v>270</v>
      </c>
      <c r="D2040" t="s">
        <v>72</v>
      </c>
      <c r="E2040" t="s">
        <v>72</v>
      </c>
      <c r="M2040" t="s">
        <v>411</v>
      </c>
      <c r="N2040" t="s">
        <v>259</v>
      </c>
      <c r="P2040" t="s">
        <v>260</v>
      </c>
      <c r="Q2040" t="s">
        <v>260</v>
      </c>
      <c r="R2040" t="s">
        <v>283</v>
      </c>
      <c r="S2040" t="s">
        <v>21</v>
      </c>
      <c r="T2040">
        <v>100</v>
      </c>
      <c r="W2040" t="s">
        <v>262</v>
      </c>
    </row>
    <row r="2041" spans="1:26" x14ac:dyDescent="0.3">
      <c r="A2041" t="s">
        <v>21</v>
      </c>
      <c r="B2041" t="s">
        <v>5463</v>
      </c>
      <c r="C2041" t="s">
        <v>499</v>
      </c>
      <c r="D2041" t="s">
        <v>5205</v>
      </c>
      <c r="E2041" t="s">
        <v>5464</v>
      </c>
      <c r="M2041" t="s">
        <v>411</v>
      </c>
      <c r="N2041" t="s">
        <v>259</v>
      </c>
      <c r="P2041" t="s">
        <v>260</v>
      </c>
      <c r="Q2041" t="s">
        <v>260</v>
      </c>
      <c r="R2041" t="s">
        <v>283</v>
      </c>
      <c r="S2041" t="s">
        <v>21</v>
      </c>
      <c r="T2041">
        <v>100</v>
      </c>
      <c r="W2041" t="s">
        <v>262</v>
      </c>
    </row>
    <row r="2042" spans="1:26" x14ac:dyDescent="0.3">
      <c r="A2042" t="s">
        <v>21</v>
      </c>
      <c r="B2042" t="s">
        <v>5465</v>
      </c>
      <c r="C2042" t="s">
        <v>499</v>
      </c>
      <c r="D2042" t="s">
        <v>1829</v>
      </c>
      <c r="E2042" t="s">
        <v>5466</v>
      </c>
      <c r="M2042" t="s">
        <v>411</v>
      </c>
      <c r="N2042" t="s">
        <v>259</v>
      </c>
      <c r="P2042" t="s">
        <v>260</v>
      </c>
      <c r="Q2042" t="s">
        <v>260</v>
      </c>
      <c r="R2042" t="s">
        <v>283</v>
      </c>
      <c r="S2042" t="s">
        <v>21</v>
      </c>
      <c r="T2042">
        <v>100</v>
      </c>
      <c r="W2042" t="s">
        <v>262</v>
      </c>
    </row>
    <row r="2043" spans="1:26" x14ac:dyDescent="0.3">
      <c r="A2043" t="s">
        <v>21</v>
      </c>
      <c r="B2043" t="s">
        <v>5467</v>
      </c>
      <c r="C2043" t="s">
        <v>270</v>
      </c>
      <c r="D2043" t="s">
        <v>5468</v>
      </c>
      <c r="E2043" t="s">
        <v>5468</v>
      </c>
      <c r="M2043" t="s">
        <v>411</v>
      </c>
      <c r="N2043" t="s">
        <v>259</v>
      </c>
      <c r="P2043" t="s">
        <v>260</v>
      </c>
      <c r="Q2043" t="s">
        <v>260</v>
      </c>
      <c r="R2043" t="s">
        <v>283</v>
      </c>
      <c r="S2043" t="s">
        <v>21</v>
      </c>
      <c r="T2043">
        <v>100</v>
      </c>
      <c r="W2043" t="s">
        <v>262</v>
      </c>
    </row>
    <row r="2044" spans="1:26" x14ac:dyDescent="0.3">
      <c r="A2044" t="s">
        <v>21</v>
      </c>
      <c r="B2044" t="s">
        <v>5469</v>
      </c>
      <c r="C2044" t="s">
        <v>299</v>
      </c>
      <c r="D2044" t="s">
        <v>5470</v>
      </c>
      <c r="E2044">
        <v>2023</v>
      </c>
      <c r="F2044">
        <v>247</v>
      </c>
      <c r="H2044" t="s">
        <v>5471</v>
      </c>
      <c r="I2044" t="s">
        <v>5469</v>
      </c>
      <c r="J2044" t="s">
        <v>318</v>
      </c>
      <c r="K2044">
        <v>4077</v>
      </c>
      <c r="L2044" t="s">
        <v>259</v>
      </c>
      <c r="M2044" t="s">
        <v>302</v>
      </c>
      <c r="N2044" t="s">
        <v>259</v>
      </c>
      <c r="P2044" t="s">
        <v>260</v>
      </c>
      <c r="Q2044" t="s">
        <v>260</v>
      </c>
      <c r="R2044" t="s">
        <v>283</v>
      </c>
      <c r="S2044" t="s">
        <v>21</v>
      </c>
      <c r="T2044">
        <v>100</v>
      </c>
      <c r="W2044" t="s">
        <v>262</v>
      </c>
      <c r="X2044">
        <v>-27.580069999999999</v>
      </c>
      <c r="Y2044">
        <v>152.956007</v>
      </c>
      <c r="Z2044">
        <v>243</v>
      </c>
    </row>
    <row r="2045" spans="1:26" x14ac:dyDescent="0.3">
      <c r="A2045" t="s">
        <v>21</v>
      </c>
      <c r="B2045" t="s">
        <v>5472</v>
      </c>
      <c r="C2045" t="s">
        <v>270</v>
      </c>
      <c r="D2045" t="s">
        <v>5473</v>
      </c>
      <c r="E2045">
        <v>313250</v>
      </c>
      <c r="H2045" t="s">
        <v>2433</v>
      </c>
      <c r="I2045" t="s">
        <v>1343</v>
      </c>
      <c r="J2045" t="s">
        <v>297</v>
      </c>
      <c r="K2045">
        <v>2104</v>
      </c>
      <c r="L2045" t="s">
        <v>276</v>
      </c>
      <c r="M2045" t="s">
        <v>631</v>
      </c>
      <c r="N2045" t="s">
        <v>276</v>
      </c>
      <c r="P2045" t="s">
        <v>260</v>
      </c>
      <c r="Q2045" t="s">
        <v>260</v>
      </c>
      <c r="R2045" t="s">
        <v>261</v>
      </c>
      <c r="S2045" t="s">
        <v>21</v>
      </c>
      <c r="T2045">
        <v>100</v>
      </c>
      <c r="W2045" t="s">
        <v>262</v>
      </c>
      <c r="X2045">
        <v>-37.008299999999998</v>
      </c>
      <c r="Y2045">
        <v>174.87049999999999</v>
      </c>
    </row>
    <row r="2046" spans="1:26" x14ac:dyDescent="0.3">
      <c r="A2046" t="s">
        <v>21</v>
      </c>
      <c r="B2046" t="s">
        <v>5474</v>
      </c>
      <c r="C2046" t="s">
        <v>270</v>
      </c>
      <c r="D2046" t="s">
        <v>5475</v>
      </c>
      <c r="E2046">
        <v>313450</v>
      </c>
      <c r="M2046" t="s">
        <v>631</v>
      </c>
      <c r="N2046" t="s">
        <v>276</v>
      </c>
      <c r="P2046" t="s">
        <v>260</v>
      </c>
      <c r="Q2046" t="s">
        <v>260</v>
      </c>
      <c r="R2046" t="s">
        <v>261</v>
      </c>
      <c r="S2046" t="s">
        <v>21</v>
      </c>
      <c r="T2046">
        <v>100</v>
      </c>
      <c r="W2046" t="s">
        <v>262</v>
      </c>
    </row>
    <row r="2047" spans="1:26" x14ac:dyDescent="0.3">
      <c r="A2047" t="s">
        <v>21</v>
      </c>
      <c r="B2047" t="s">
        <v>5476</v>
      </c>
      <c r="C2047" t="s">
        <v>270</v>
      </c>
      <c r="D2047" t="s">
        <v>5477</v>
      </c>
      <c r="E2047">
        <v>10128</v>
      </c>
      <c r="F2047">
        <v>10128</v>
      </c>
      <c r="G2047" t="s">
        <v>5478</v>
      </c>
      <c r="M2047" t="s">
        <v>403</v>
      </c>
      <c r="N2047" t="s">
        <v>276</v>
      </c>
      <c r="P2047" t="s">
        <v>260</v>
      </c>
      <c r="Q2047" t="s">
        <v>260</v>
      </c>
      <c r="R2047" t="s">
        <v>268</v>
      </c>
      <c r="S2047" t="s">
        <v>21</v>
      </c>
      <c r="T2047">
        <v>100</v>
      </c>
      <c r="W2047" t="s">
        <v>262</v>
      </c>
    </row>
    <row r="2048" spans="1:26" x14ac:dyDescent="0.3">
      <c r="A2048" t="s">
        <v>21</v>
      </c>
      <c r="B2048" t="s">
        <v>5479</v>
      </c>
      <c r="C2048" t="s">
        <v>264</v>
      </c>
      <c r="D2048" t="s">
        <v>5480</v>
      </c>
      <c r="E2048" t="s">
        <v>5481</v>
      </c>
      <c r="F2048">
        <v>22</v>
      </c>
      <c r="G2048" t="s">
        <v>5482</v>
      </c>
      <c r="H2048" t="s">
        <v>5483</v>
      </c>
      <c r="I2048" t="s">
        <v>964</v>
      </c>
      <c r="J2048" t="s">
        <v>318</v>
      </c>
      <c r="K2048">
        <v>4680</v>
      </c>
      <c r="L2048" t="s">
        <v>259</v>
      </c>
      <c r="M2048" t="s">
        <v>302</v>
      </c>
      <c r="N2048" t="s">
        <v>259</v>
      </c>
      <c r="P2048" t="s">
        <v>260</v>
      </c>
      <c r="Q2048" t="s">
        <v>260</v>
      </c>
      <c r="R2048" t="s">
        <v>283</v>
      </c>
      <c r="S2048" t="s">
        <v>21</v>
      </c>
      <c r="T2048">
        <v>100</v>
      </c>
      <c r="W2048" t="s">
        <v>262</v>
      </c>
      <c r="X2048">
        <v>-23.858000000000001</v>
      </c>
      <c r="Y2048">
        <v>151.227</v>
      </c>
      <c r="Z2048">
        <v>692</v>
      </c>
    </row>
    <row r="2049" spans="1:26" x14ac:dyDescent="0.3">
      <c r="A2049" t="s">
        <v>21</v>
      </c>
      <c r="B2049" t="s">
        <v>5484</v>
      </c>
      <c r="C2049" t="s">
        <v>270</v>
      </c>
      <c r="D2049" t="s">
        <v>5485</v>
      </c>
      <c r="E2049">
        <v>2000004533</v>
      </c>
      <c r="H2049" t="s">
        <v>2433</v>
      </c>
      <c r="I2049" t="s">
        <v>1343</v>
      </c>
      <c r="J2049" t="s">
        <v>297</v>
      </c>
      <c r="K2049">
        <v>2104</v>
      </c>
      <c r="L2049" t="s">
        <v>276</v>
      </c>
      <c r="M2049" t="s">
        <v>631</v>
      </c>
      <c r="N2049" t="s">
        <v>276</v>
      </c>
      <c r="P2049" t="s">
        <v>260</v>
      </c>
      <c r="Q2049" t="s">
        <v>260</v>
      </c>
      <c r="R2049" t="s">
        <v>268</v>
      </c>
      <c r="S2049" t="s">
        <v>21</v>
      </c>
      <c r="T2049">
        <v>100</v>
      </c>
      <c r="W2049" t="s">
        <v>262</v>
      </c>
      <c r="X2049">
        <v>-37.008299999999998</v>
      </c>
      <c r="Y2049">
        <v>174.87049999999999</v>
      </c>
    </row>
    <row r="2050" spans="1:26" x14ac:dyDescent="0.3">
      <c r="A2050" t="s">
        <v>21</v>
      </c>
      <c r="B2050" t="s">
        <v>5486</v>
      </c>
      <c r="C2050" t="s">
        <v>270</v>
      </c>
      <c r="D2050" t="s">
        <v>2293</v>
      </c>
      <c r="E2050" t="s">
        <v>5487</v>
      </c>
      <c r="M2050" t="s">
        <v>631</v>
      </c>
      <c r="N2050" t="s">
        <v>276</v>
      </c>
      <c r="P2050" t="s">
        <v>260</v>
      </c>
      <c r="Q2050" t="s">
        <v>260</v>
      </c>
      <c r="R2050" t="s">
        <v>261</v>
      </c>
      <c r="S2050" t="s">
        <v>21</v>
      </c>
      <c r="T2050">
        <v>100</v>
      </c>
      <c r="W2050" t="s">
        <v>262</v>
      </c>
    </row>
    <row r="2051" spans="1:26" x14ac:dyDescent="0.3">
      <c r="A2051" t="s">
        <v>21</v>
      </c>
      <c r="B2051" t="s">
        <v>5488</v>
      </c>
      <c r="C2051" t="s">
        <v>299</v>
      </c>
      <c r="D2051" t="s">
        <v>2555</v>
      </c>
      <c r="E2051">
        <v>173130</v>
      </c>
      <c r="G2051" t="s">
        <v>5489</v>
      </c>
      <c r="M2051" t="s">
        <v>2558</v>
      </c>
      <c r="N2051" t="s">
        <v>259</v>
      </c>
      <c r="P2051" t="s">
        <v>260</v>
      </c>
      <c r="Q2051" t="s">
        <v>260</v>
      </c>
      <c r="R2051" t="s">
        <v>261</v>
      </c>
      <c r="S2051" t="s">
        <v>21</v>
      </c>
      <c r="T2051">
        <v>100</v>
      </c>
      <c r="W2051" t="s">
        <v>262</v>
      </c>
    </row>
    <row r="2052" spans="1:26" x14ac:dyDescent="0.3">
      <c r="A2052" t="s">
        <v>21</v>
      </c>
      <c r="B2052" t="s">
        <v>5490</v>
      </c>
      <c r="C2052" t="s">
        <v>299</v>
      </c>
      <c r="D2052" t="s">
        <v>4379</v>
      </c>
      <c r="E2052" t="s">
        <v>4379</v>
      </c>
      <c r="G2052" t="s">
        <v>1841</v>
      </c>
      <c r="H2052" t="s">
        <v>5491</v>
      </c>
      <c r="I2052" t="s">
        <v>5492</v>
      </c>
      <c r="J2052" t="s">
        <v>366</v>
      </c>
      <c r="K2052">
        <v>2487</v>
      </c>
      <c r="L2052" t="s">
        <v>259</v>
      </c>
      <c r="M2052" t="s">
        <v>312</v>
      </c>
      <c r="N2052" t="s">
        <v>259</v>
      </c>
      <c r="P2052" t="s">
        <v>260</v>
      </c>
      <c r="Q2052" t="s">
        <v>260</v>
      </c>
      <c r="R2052" t="s">
        <v>261</v>
      </c>
      <c r="S2052" t="s">
        <v>21</v>
      </c>
      <c r="T2052">
        <v>100</v>
      </c>
      <c r="W2052" t="s">
        <v>262</v>
      </c>
      <c r="X2052">
        <v>-29.717987999999998</v>
      </c>
      <c r="Y2052">
        <v>152.94833199999999</v>
      </c>
      <c r="Z2052">
        <v>310</v>
      </c>
    </row>
    <row r="2053" spans="1:26" ht="409.5" customHeight="1" x14ac:dyDescent="0.3">
      <c r="A2053" t="s">
        <v>21</v>
      </c>
      <c r="B2053" t="s">
        <v>5493</v>
      </c>
      <c r="C2053" t="s">
        <v>299</v>
      </c>
      <c r="D2053" t="s">
        <v>5494</v>
      </c>
      <c r="E2053">
        <v>170426</v>
      </c>
      <c r="G2053" s="10" t="s">
        <v>5495</v>
      </c>
      <c r="H2053" t="s">
        <v>5496</v>
      </c>
      <c r="I2053" t="s">
        <v>5497</v>
      </c>
      <c r="K2053">
        <v>2480</v>
      </c>
      <c r="M2053" t="s">
        <v>2553</v>
      </c>
      <c r="N2053" t="s">
        <v>259</v>
      </c>
      <c r="P2053" t="s">
        <v>260</v>
      </c>
      <c r="Q2053" t="s">
        <v>260</v>
      </c>
      <c r="R2053" t="s">
        <v>261</v>
      </c>
      <c r="S2053" t="s">
        <v>21</v>
      </c>
      <c r="T2053">
        <v>100</v>
      </c>
      <c r="W2053" t="s">
        <v>262</v>
      </c>
    </row>
    <row r="2054" spans="1:26" x14ac:dyDescent="0.3">
      <c r="A2054" t="s">
        <v>21</v>
      </c>
      <c r="B2054" t="s">
        <v>5498</v>
      </c>
      <c r="C2054" t="s">
        <v>299</v>
      </c>
      <c r="D2054" t="s">
        <v>5499</v>
      </c>
      <c r="E2054" t="s">
        <v>5499</v>
      </c>
      <c r="G2054" t="s">
        <v>1841</v>
      </c>
      <c r="H2054" t="s">
        <v>5500</v>
      </c>
      <c r="I2054" t="s">
        <v>5501</v>
      </c>
      <c r="J2054" t="s">
        <v>366</v>
      </c>
      <c r="K2054">
        <v>2400</v>
      </c>
      <c r="L2054" t="s">
        <v>259</v>
      </c>
      <c r="M2054" t="s">
        <v>312</v>
      </c>
      <c r="N2054" t="s">
        <v>259</v>
      </c>
      <c r="P2054" t="s">
        <v>260</v>
      </c>
      <c r="Q2054" t="s">
        <v>260</v>
      </c>
      <c r="R2054" t="s">
        <v>261</v>
      </c>
      <c r="S2054" t="s">
        <v>21</v>
      </c>
      <c r="T2054">
        <v>100</v>
      </c>
      <c r="W2054" t="s">
        <v>262</v>
      </c>
      <c r="X2054">
        <v>-29.717987999999998</v>
      </c>
      <c r="Y2054">
        <v>152.94833199999999</v>
      </c>
      <c r="Z2054">
        <v>310</v>
      </c>
    </row>
    <row r="2055" spans="1:26" x14ac:dyDescent="0.3">
      <c r="A2055" t="s">
        <v>21</v>
      </c>
      <c r="B2055" t="s">
        <v>5502</v>
      </c>
      <c r="C2055" t="s">
        <v>299</v>
      </c>
      <c r="D2055" t="s">
        <v>5503</v>
      </c>
      <c r="E2055" t="s">
        <v>5503</v>
      </c>
      <c r="G2055" t="s">
        <v>1841</v>
      </c>
      <c r="H2055" t="s">
        <v>4381</v>
      </c>
      <c r="I2055" t="s">
        <v>4382</v>
      </c>
      <c r="J2055" t="s">
        <v>366</v>
      </c>
      <c r="K2055">
        <v>2460</v>
      </c>
      <c r="L2055" t="s">
        <v>259</v>
      </c>
      <c r="M2055" t="s">
        <v>312</v>
      </c>
      <c r="N2055" t="s">
        <v>259</v>
      </c>
      <c r="P2055" t="s">
        <v>260</v>
      </c>
      <c r="Q2055" t="s">
        <v>260</v>
      </c>
      <c r="R2055" t="s">
        <v>261</v>
      </c>
      <c r="S2055" t="s">
        <v>21</v>
      </c>
      <c r="T2055">
        <v>100</v>
      </c>
      <c r="W2055" t="s">
        <v>262</v>
      </c>
      <c r="X2055">
        <v>-29.717987999999998</v>
      </c>
      <c r="Y2055">
        <v>152.94833199999999</v>
      </c>
      <c r="Z2055">
        <v>310</v>
      </c>
    </row>
    <row r="2056" spans="1:26" x14ac:dyDescent="0.3">
      <c r="A2056" t="s">
        <v>21</v>
      </c>
      <c r="B2056" t="s">
        <v>5504</v>
      </c>
      <c r="C2056" t="s">
        <v>299</v>
      </c>
      <c r="D2056" t="s">
        <v>5505</v>
      </c>
      <c r="E2056">
        <v>171230</v>
      </c>
      <c r="G2056" t="s">
        <v>5506</v>
      </c>
      <c r="H2056" t="s">
        <v>5507</v>
      </c>
      <c r="I2056" t="s">
        <v>5313</v>
      </c>
      <c r="J2056" t="s">
        <v>318</v>
      </c>
      <c r="K2056">
        <v>4008</v>
      </c>
      <c r="L2056" t="s">
        <v>259</v>
      </c>
      <c r="M2056" t="s">
        <v>302</v>
      </c>
      <c r="N2056" t="s">
        <v>259</v>
      </c>
      <c r="P2056" t="s">
        <v>260</v>
      </c>
      <c r="Q2056" t="s">
        <v>260</v>
      </c>
      <c r="R2056" t="s">
        <v>261</v>
      </c>
      <c r="S2056" t="s">
        <v>21</v>
      </c>
      <c r="T2056">
        <v>100</v>
      </c>
      <c r="W2056" t="s">
        <v>262</v>
      </c>
      <c r="X2056">
        <v>-27.427598</v>
      </c>
      <c r="Y2056">
        <v>153.11175399999999</v>
      </c>
      <c r="Z2056">
        <v>310</v>
      </c>
    </row>
    <row r="2057" spans="1:26" x14ac:dyDescent="0.3">
      <c r="A2057" t="s">
        <v>21</v>
      </c>
      <c r="B2057" t="s">
        <v>5508</v>
      </c>
      <c r="C2057" t="s">
        <v>356</v>
      </c>
      <c r="D2057" t="s">
        <v>5509</v>
      </c>
      <c r="E2057">
        <v>171505</v>
      </c>
      <c r="H2057" t="s">
        <v>5510</v>
      </c>
      <c r="I2057" t="s">
        <v>5511</v>
      </c>
      <c r="J2057" t="s">
        <v>318</v>
      </c>
      <c r="K2057">
        <v>4306</v>
      </c>
      <c r="L2057" t="s">
        <v>259</v>
      </c>
      <c r="M2057" t="s">
        <v>302</v>
      </c>
      <c r="N2057" t="s">
        <v>259</v>
      </c>
      <c r="P2057" t="s">
        <v>260</v>
      </c>
      <c r="Q2057" t="s">
        <v>260</v>
      </c>
      <c r="R2057" t="s">
        <v>261</v>
      </c>
      <c r="S2057" t="s">
        <v>21</v>
      </c>
      <c r="T2057">
        <v>100</v>
      </c>
      <c r="W2057" t="s">
        <v>262</v>
      </c>
      <c r="X2057">
        <v>-27.656127000000001</v>
      </c>
      <c r="Y2057">
        <v>152.80587299999999</v>
      </c>
      <c r="Z2057">
        <v>170</v>
      </c>
    </row>
    <row r="2058" spans="1:26" x14ac:dyDescent="0.3">
      <c r="A2058" t="s">
        <v>21</v>
      </c>
      <c r="B2058" t="s">
        <v>5512</v>
      </c>
      <c r="C2058" t="s">
        <v>299</v>
      </c>
      <c r="D2058" t="s">
        <v>5513</v>
      </c>
      <c r="E2058">
        <v>171235</v>
      </c>
      <c r="H2058" t="s">
        <v>5514</v>
      </c>
      <c r="I2058" t="s">
        <v>5515</v>
      </c>
      <c r="J2058" t="s">
        <v>318</v>
      </c>
      <c r="K2058">
        <v>4818</v>
      </c>
      <c r="L2058" t="s">
        <v>259</v>
      </c>
      <c r="M2058" t="s">
        <v>302</v>
      </c>
      <c r="N2058" t="s">
        <v>259</v>
      </c>
      <c r="P2058" t="s">
        <v>260</v>
      </c>
      <c r="Q2058" t="s">
        <v>260</v>
      </c>
      <c r="R2058" t="s">
        <v>261</v>
      </c>
      <c r="S2058" t="s">
        <v>21</v>
      </c>
      <c r="T2058">
        <v>100</v>
      </c>
      <c r="W2058" t="s">
        <v>262</v>
      </c>
      <c r="X2058">
        <v>-19.255020999999999</v>
      </c>
      <c r="Y2058">
        <v>146.72274100000001</v>
      </c>
      <c r="Z2058">
        <v>170</v>
      </c>
    </row>
    <row r="2059" spans="1:26" x14ac:dyDescent="0.3">
      <c r="A2059" t="s">
        <v>21</v>
      </c>
      <c r="B2059" t="s">
        <v>5516</v>
      </c>
      <c r="C2059" t="s">
        <v>270</v>
      </c>
      <c r="D2059" t="s">
        <v>5517</v>
      </c>
      <c r="E2059">
        <v>66208</v>
      </c>
      <c r="H2059" t="s">
        <v>2433</v>
      </c>
      <c r="I2059" t="s">
        <v>1343</v>
      </c>
      <c r="J2059" t="s">
        <v>297</v>
      </c>
      <c r="K2059">
        <v>2104</v>
      </c>
      <c r="L2059" t="s">
        <v>276</v>
      </c>
      <c r="M2059" t="s">
        <v>631</v>
      </c>
      <c r="N2059" t="s">
        <v>276</v>
      </c>
      <c r="P2059" t="s">
        <v>260</v>
      </c>
      <c r="Q2059" t="s">
        <v>260</v>
      </c>
      <c r="R2059" t="s">
        <v>261</v>
      </c>
      <c r="S2059" t="s">
        <v>21</v>
      </c>
      <c r="T2059">
        <v>100</v>
      </c>
      <c r="W2059" t="s">
        <v>262</v>
      </c>
      <c r="X2059">
        <v>-37.008299999999998</v>
      </c>
      <c r="Y2059">
        <v>174.87049999999999</v>
      </c>
    </row>
    <row r="2060" spans="1:26" x14ac:dyDescent="0.3">
      <c r="A2060" t="s">
        <v>21</v>
      </c>
      <c r="B2060" t="s">
        <v>5518</v>
      </c>
      <c r="C2060" t="s">
        <v>270</v>
      </c>
      <c r="D2060" t="s">
        <v>5519</v>
      </c>
      <c r="E2060" t="s">
        <v>5519</v>
      </c>
      <c r="M2060" t="s">
        <v>394</v>
      </c>
      <c r="N2060" t="s">
        <v>276</v>
      </c>
      <c r="P2060" t="s">
        <v>260</v>
      </c>
      <c r="Q2060" t="s">
        <v>260</v>
      </c>
      <c r="R2060" t="s">
        <v>283</v>
      </c>
      <c r="S2060" t="s">
        <v>21</v>
      </c>
      <c r="T2060">
        <v>100</v>
      </c>
      <c r="W2060" t="s">
        <v>262</v>
      </c>
    </row>
    <row r="2061" spans="1:26" x14ac:dyDescent="0.3">
      <c r="A2061" t="s">
        <v>21</v>
      </c>
      <c r="B2061" t="s">
        <v>5520</v>
      </c>
      <c r="C2061" t="s">
        <v>270</v>
      </c>
      <c r="D2061" t="s">
        <v>5521</v>
      </c>
      <c r="E2061" t="s">
        <v>5521</v>
      </c>
      <c r="M2061" t="s">
        <v>411</v>
      </c>
      <c r="N2061" t="s">
        <v>259</v>
      </c>
      <c r="P2061" t="s">
        <v>260</v>
      </c>
      <c r="Q2061" t="s">
        <v>260</v>
      </c>
      <c r="R2061" t="s">
        <v>283</v>
      </c>
      <c r="S2061" t="s">
        <v>21</v>
      </c>
      <c r="T2061">
        <v>100</v>
      </c>
      <c r="W2061" t="s">
        <v>262</v>
      </c>
    </row>
    <row r="2062" spans="1:26" x14ac:dyDescent="0.3">
      <c r="A2062" t="s">
        <v>21</v>
      </c>
      <c r="B2062" t="s">
        <v>5522</v>
      </c>
      <c r="C2062" t="s">
        <v>270</v>
      </c>
      <c r="D2062" t="s">
        <v>5523</v>
      </c>
      <c r="E2062" t="s">
        <v>5524</v>
      </c>
      <c r="H2062" t="s">
        <v>5525</v>
      </c>
      <c r="I2062" t="s">
        <v>716</v>
      </c>
      <c r="J2062" t="s">
        <v>716</v>
      </c>
      <c r="K2062">
        <v>7020</v>
      </c>
      <c r="L2062" t="s">
        <v>276</v>
      </c>
      <c r="M2062" t="s">
        <v>1450</v>
      </c>
      <c r="N2062" t="s">
        <v>276</v>
      </c>
      <c r="P2062" t="s">
        <v>260</v>
      </c>
      <c r="Q2062" t="s">
        <v>260</v>
      </c>
      <c r="R2062" t="s">
        <v>261</v>
      </c>
      <c r="S2062" t="s">
        <v>21</v>
      </c>
      <c r="T2062">
        <v>100</v>
      </c>
      <c r="W2062" t="s">
        <v>262</v>
      </c>
      <c r="X2062">
        <v>-41.341900000000003</v>
      </c>
      <c r="Y2062">
        <v>173.18360000000001</v>
      </c>
    </row>
    <row r="2063" spans="1:26" x14ac:dyDescent="0.3">
      <c r="A2063" t="s">
        <v>21</v>
      </c>
      <c r="B2063" t="s">
        <v>5526</v>
      </c>
      <c r="C2063" t="s">
        <v>499</v>
      </c>
      <c r="D2063" t="s">
        <v>5527</v>
      </c>
      <c r="M2063" t="s">
        <v>411</v>
      </c>
      <c r="N2063" t="s">
        <v>259</v>
      </c>
      <c r="P2063" t="s">
        <v>260</v>
      </c>
      <c r="Q2063" t="s">
        <v>260</v>
      </c>
      <c r="R2063" t="s">
        <v>293</v>
      </c>
      <c r="S2063" t="s">
        <v>21</v>
      </c>
      <c r="T2063">
        <v>100</v>
      </c>
      <c r="W2063" t="s">
        <v>262</v>
      </c>
    </row>
    <row r="2064" spans="1:26" x14ac:dyDescent="0.3">
      <c r="A2064" t="s">
        <v>21</v>
      </c>
      <c r="B2064" t="s">
        <v>5528</v>
      </c>
      <c r="C2064" t="s">
        <v>499</v>
      </c>
      <c r="D2064" t="s">
        <v>5529</v>
      </c>
      <c r="M2064" t="s">
        <v>411</v>
      </c>
      <c r="N2064" t="s">
        <v>259</v>
      </c>
      <c r="P2064" t="s">
        <v>260</v>
      </c>
      <c r="Q2064" t="s">
        <v>260</v>
      </c>
      <c r="R2064" t="s">
        <v>293</v>
      </c>
      <c r="S2064" t="s">
        <v>21</v>
      </c>
      <c r="T2064">
        <v>100</v>
      </c>
      <c r="W2064" t="s">
        <v>262</v>
      </c>
    </row>
    <row r="2065" spans="1:23" x14ac:dyDescent="0.3">
      <c r="A2065" t="s">
        <v>21</v>
      </c>
      <c r="B2065" t="s">
        <v>5530</v>
      </c>
      <c r="C2065" t="s">
        <v>499</v>
      </c>
      <c r="D2065" t="s">
        <v>5531</v>
      </c>
      <c r="M2065" t="s">
        <v>411</v>
      </c>
      <c r="N2065" t="s">
        <v>259</v>
      </c>
      <c r="P2065" t="s">
        <v>260</v>
      </c>
      <c r="Q2065" t="s">
        <v>260</v>
      </c>
      <c r="R2065" t="s">
        <v>293</v>
      </c>
      <c r="S2065" t="s">
        <v>21</v>
      </c>
      <c r="T2065">
        <v>100</v>
      </c>
      <c r="W2065" t="s">
        <v>262</v>
      </c>
    </row>
    <row r="2066" spans="1:23" x14ac:dyDescent="0.3">
      <c r="A2066" t="s">
        <v>21</v>
      </c>
      <c r="B2066" t="s">
        <v>5532</v>
      </c>
      <c r="C2066" t="s">
        <v>499</v>
      </c>
      <c r="D2066" t="s">
        <v>5533</v>
      </c>
      <c r="M2066" t="s">
        <v>411</v>
      </c>
      <c r="N2066" t="s">
        <v>259</v>
      </c>
      <c r="P2066" t="s">
        <v>260</v>
      </c>
      <c r="Q2066" t="s">
        <v>260</v>
      </c>
      <c r="R2066" t="s">
        <v>293</v>
      </c>
      <c r="S2066" t="s">
        <v>21</v>
      </c>
      <c r="T2066">
        <v>100</v>
      </c>
      <c r="W2066" t="s">
        <v>262</v>
      </c>
    </row>
    <row r="2067" spans="1:23" x14ac:dyDescent="0.3">
      <c r="A2067" t="s">
        <v>21</v>
      </c>
      <c r="B2067" t="s">
        <v>5534</v>
      </c>
      <c r="C2067" t="s">
        <v>499</v>
      </c>
      <c r="D2067" t="s">
        <v>5535</v>
      </c>
      <c r="M2067" t="s">
        <v>411</v>
      </c>
      <c r="N2067" t="s">
        <v>259</v>
      </c>
      <c r="P2067" t="s">
        <v>260</v>
      </c>
      <c r="Q2067" t="s">
        <v>260</v>
      </c>
      <c r="R2067" t="s">
        <v>293</v>
      </c>
      <c r="S2067" t="s">
        <v>21</v>
      </c>
      <c r="T2067">
        <v>100</v>
      </c>
      <c r="W2067" t="s">
        <v>262</v>
      </c>
    </row>
    <row r="2068" spans="1:23" x14ac:dyDescent="0.3">
      <c r="A2068" t="s">
        <v>21</v>
      </c>
      <c r="B2068" t="s">
        <v>5536</v>
      </c>
      <c r="C2068" t="s">
        <v>499</v>
      </c>
      <c r="D2068" t="s">
        <v>5537</v>
      </c>
      <c r="M2068" t="s">
        <v>411</v>
      </c>
      <c r="N2068" t="s">
        <v>259</v>
      </c>
      <c r="P2068" t="s">
        <v>260</v>
      </c>
      <c r="Q2068" t="s">
        <v>260</v>
      </c>
      <c r="R2068" t="s">
        <v>293</v>
      </c>
      <c r="S2068" t="s">
        <v>21</v>
      </c>
      <c r="T2068">
        <v>100</v>
      </c>
      <c r="W2068" t="s">
        <v>262</v>
      </c>
    </row>
    <row r="2069" spans="1:23" x14ac:dyDescent="0.3">
      <c r="A2069" t="s">
        <v>21</v>
      </c>
      <c r="B2069" t="s">
        <v>5538</v>
      </c>
      <c r="C2069" t="s">
        <v>499</v>
      </c>
      <c r="D2069" t="s">
        <v>5539</v>
      </c>
      <c r="M2069" t="s">
        <v>411</v>
      </c>
      <c r="N2069" t="s">
        <v>259</v>
      </c>
      <c r="P2069" t="s">
        <v>260</v>
      </c>
      <c r="Q2069" t="s">
        <v>260</v>
      </c>
      <c r="R2069" t="s">
        <v>293</v>
      </c>
      <c r="S2069" t="s">
        <v>21</v>
      </c>
      <c r="T2069">
        <v>100</v>
      </c>
      <c r="W2069" t="s">
        <v>262</v>
      </c>
    </row>
    <row r="2070" spans="1:23" x14ac:dyDescent="0.3">
      <c r="A2070" t="s">
        <v>21</v>
      </c>
      <c r="B2070" t="s">
        <v>5540</v>
      </c>
      <c r="C2070" t="s">
        <v>499</v>
      </c>
      <c r="D2070" t="s">
        <v>5541</v>
      </c>
      <c r="M2070" t="s">
        <v>411</v>
      </c>
      <c r="N2070" t="s">
        <v>259</v>
      </c>
      <c r="P2070" t="s">
        <v>260</v>
      </c>
      <c r="Q2070" t="s">
        <v>260</v>
      </c>
      <c r="R2070" t="s">
        <v>293</v>
      </c>
      <c r="S2070" t="s">
        <v>21</v>
      </c>
      <c r="T2070">
        <v>100</v>
      </c>
      <c r="W2070" t="s">
        <v>262</v>
      </c>
    </row>
    <row r="2071" spans="1:23" x14ac:dyDescent="0.3">
      <c r="A2071" t="s">
        <v>21</v>
      </c>
      <c r="B2071" t="s">
        <v>5542</v>
      </c>
      <c r="C2071" t="s">
        <v>499</v>
      </c>
      <c r="D2071" t="s">
        <v>5543</v>
      </c>
      <c r="M2071" t="s">
        <v>411</v>
      </c>
      <c r="N2071" t="s">
        <v>259</v>
      </c>
      <c r="P2071" t="s">
        <v>260</v>
      </c>
      <c r="Q2071" t="s">
        <v>260</v>
      </c>
      <c r="R2071" t="s">
        <v>293</v>
      </c>
      <c r="S2071" t="s">
        <v>21</v>
      </c>
      <c r="T2071">
        <v>100</v>
      </c>
      <c r="W2071" t="s">
        <v>262</v>
      </c>
    </row>
    <row r="2072" spans="1:23" x14ac:dyDescent="0.3">
      <c r="A2072" t="s">
        <v>21</v>
      </c>
      <c r="B2072" t="s">
        <v>5544</v>
      </c>
      <c r="C2072" t="s">
        <v>499</v>
      </c>
      <c r="D2072" t="s">
        <v>5545</v>
      </c>
      <c r="M2072" t="s">
        <v>411</v>
      </c>
      <c r="N2072" t="s">
        <v>259</v>
      </c>
      <c r="P2072" t="s">
        <v>260</v>
      </c>
      <c r="Q2072" t="s">
        <v>260</v>
      </c>
      <c r="R2072" t="s">
        <v>293</v>
      </c>
      <c r="S2072" t="s">
        <v>21</v>
      </c>
      <c r="T2072">
        <v>100</v>
      </c>
      <c r="W2072" t="s">
        <v>262</v>
      </c>
    </row>
    <row r="2073" spans="1:23" x14ac:dyDescent="0.3">
      <c r="A2073" t="s">
        <v>21</v>
      </c>
      <c r="B2073" t="s">
        <v>5546</v>
      </c>
      <c r="C2073" t="s">
        <v>499</v>
      </c>
      <c r="D2073" t="s">
        <v>5547</v>
      </c>
      <c r="M2073" t="s">
        <v>411</v>
      </c>
      <c r="N2073" t="s">
        <v>259</v>
      </c>
      <c r="P2073" t="s">
        <v>260</v>
      </c>
      <c r="Q2073" t="s">
        <v>260</v>
      </c>
      <c r="R2073" t="s">
        <v>293</v>
      </c>
      <c r="S2073" t="s">
        <v>21</v>
      </c>
      <c r="T2073">
        <v>100</v>
      </c>
      <c r="W2073" t="s">
        <v>262</v>
      </c>
    </row>
    <row r="2074" spans="1:23" x14ac:dyDescent="0.3">
      <c r="A2074" t="s">
        <v>21</v>
      </c>
      <c r="B2074" t="s">
        <v>5548</v>
      </c>
      <c r="C2074" t="s">
        <v>499</v>
      </c>
      <c r="D2074" t="s">
        <v>5549</v>
      </c>
      <c r="M2074" t="s">
        <v>411</v>
      </c>
      <c r="N2074" t="s">
        <v>259</v>
      </c>
      <c r="P2074" t="s">
        <v>260</v>
      </c>
      <c r="Q2074" t="s">
        <v>260</v>
      </c>
      <c r="R2074" t="s">
        <v>293</v>
      </c>
      <c r="S2074" t="s">
        <v>21</v>
      </c>
      <c r="T2074">
        <v>100</v>
      </c>
      <c r="W2074" t="s">
        <v>262</v>
      </c>
    </row>
    <row r="2075" spans="1:23" x14ac:dyDescent="0.3">
      <c r="A2075" t="s">
        <v>21</v>
      </c>
      <c r="B2075" t="s">
        <v>5550</v>
      </c>
      <c r="C2075" t="s">
        <v>499</v>
      </c>
      <c r="D2075" t="s">
        <v>5551</v>
      </c>
      <c r="M2075" t="s">
        <v>411</v>
      </c>
      <c r="N2075" t="s">
        <v>259</v>
      </c>
      <c r="P2075" t="s">
        <v>260</v>
      </c>
      <c r="Q2075" t="s">
        <v>260</v>
      </c>
      <c r="R2075" t="s">
        <v>293</v>
      </c>
      <c r="S2075" t="s">
        <v>21</v>
      </c>
      <c r="T2075">
        <v>100</v>
      </c>
      <c r="W2075" t="s">
        <v>262</v>
      </c>
    </row>
    <row r="2076" spans="1:23" x14ac:dyDescent="0.3">
      <c r="A2076" t="s">
        <v>21</v>
      </c>
      <c r="B2076" t="s">
        <v>5552</v>
      </c>
      <c r="C2076" t="s">
        <v>499</v>
      </c>
      <c r="D2076" t="s">
        <v>5553</v>
      </c>
      <c r="M2076" t="s">
        <v>411</v>
      </c>
      <c r="N2076" t="s">
        <v>259</v>
      </c>
      <c r="P2076" t="s">
        <v>260</v>
      </c>
      <c r="Q2076" t="s">
        <v>260</v>
      </c>
      <c r="R2076" t="s">
        <v>293</v>
      </c>
      <c r="S2076" t="s">
        <v>21</v>
      </c>
      <c r="T2076">
        <v>100</v>
      </c>
      <c r="W2076" t="s">
        <v>262</v>
      </c>
    </row>
    <row r="2077" spans="1:23" x14ac:dyDescent="0.3">
      <c r="A2077" t="s">
        <v>21</v>
      </c>
      <c r="B2077" t="s">
        <v>5554</v>
      </c>
      <c r="C2077" t="s">
        <v>499</v>
      </c>
      <c r="D2077" t="s">
        <v>5555</v>
      </c>
      <c r="M2077" t="s">
        <v>411</v>
      </c>
      <c r="N2077" t="s">
        <v>259</v>
      </c>
      <c r="P2077" t="s">
        <v>260</v>
      </c>
      <c r="Q2077" t="s">
        <v>260</v>
      </c>
      <c r="R2077" t="s">
        <v>293</v>
      </c>
      <c r="S2077" t="s">
        <v>21</v>
      </c>
      <c r="T2077">
        <v>100</v>
      </c>
      <c r="W2077" t="s">
        <v>262</v>
      </c>
    </row>
    <row r="2078" spans="1:23" x14ac:dyDescent="0.3">
      <c r="A2078" t="s">
        <v>21</v>
      </c>
      <c r="B2078" t="s">
        <v>5556</v>
      </c>
      <c r="C2078" t="s">
        <v>499</v>
      </c>
      <c r="D2078" t="s">
        <v>5557</v>
      </c>
      <c r="M2078" t="s">
        <v>411</v>
      </c>
      <c r="N2078" t="s">
        <v>259</v>
      </c>
      <c r="P2078" t="s">
        <v>260</v>
      </c>
      <c r="Q2078" t="s">
        <v>260</v>
      </c>
      <c r="R2078" t="s">
        <v>293</v>
      </c>
      <c r="S2078" t="s">
        <v>21</v>
      </c>
      <c r="T2078">
        <v>100</v>
      </c>
      <c r="W2078" t="s">
        <v>262</v>
      </c>
    </row>
    <row r="2079" spans="1:23" x14ac:dyDescent="0.3">
      <c r="A2079" t="s">
        <v>21</v>
      </c>
      <c r="B2079" t="s">
        <v>5558</v>
      </c>
      <c r="C2079" t="s">
        <v>2464</v>
      </c>
      <c r="D2079" t="s">
        <v>5559</v>
      </c>
      <c r="E2079">
        <v>554166</v>
      </c>
      <c r="G2079" t="s">
        <v>5560</v>
      </c>
      <c r="M2079" t="s">
        <v>425</v>
      </c>
      <c r="N2079" t="s">
        <v>276</v>
      </c>
      <c r="P2079" t="s">
        <v>260</v>
      </c>
      <c r="Q2079" t="s">
        <v>260</v>
      </c>
      <c r="R2079" t="s">
        <v>261</v>
      </c>
      <c r="S2079" t="s">
        <v>21</v>
      </c>
      <c r="T2079">
        <v>100</v>
      </c>
      <c r="W2079" t="s">
        <v>262</v>
      </c>
    </row>
    <row r="2080" spans="1:23" x14ac:dyDescent="0.3">
      <c r="A2080" t="s">
        <v>21</v>
      </c>
      <c r="B2080" t="s">
        <v>5561</v>
      </c>
      <c r="C2080" t="s">
        <v>2464</v>
      </c>
      <c r="D2080" t="s">
        <v>5562</v>
      </c>
      <c r="E2080">
        <v>554168</v>
      </c>
      <c r="G2080" t="s">
        <v>5563</v>
      </c>
      <c r="M2080" t="s">
        <v>425</v>
      </c>
      <c r="N2080" t="s">
        <v>276</v>
      </c>
      <c r="P2080" t="s">
        <v>260</v>
      </c>
      <c r="Q2080" t="s">
        <v>260</v>
      </c>
      <c r="R2080" t="s">
        <v>261</v>
      </c>
      <c r="S2080" t="s">
        <v>21</v>
      </c>
      <c r="T2080">
        <v>100</v>
      </c>
      <c r="W2080" t="s">
        <v>262</v>
      </c>
    </row>
    <row r="2081" spans="1:25" x14ac:dyDescent="0.3">
      <c r="A2081" t="s">
        <v>21</v>
      </c>
      <c r="B2081" t="s">
        <v>5564</v>
      </c>
      <c r="C2081" t="s">
        <v>499</v>
      </c>
      <c r="D2081" t="s">
        <v>4336</v>
      </c>
      <c r="E2081" t="s">
        <v>4336</v>
      </c>
      <c r="M2081" t="s">
        <v>411</v>
      </c>
      <c r="N2081" t="s">
        <v>259</v>
      </c>
      <c r="P2081" t="s">
        <v>260</v>
      </c>
      <c r="Q2081" t="s">
        <v>260</v>
      </c>
      <c r="R2081" t="s">
        <v>293</v>
      </c>
      <c r="S2081" t="s">
        <v>21</v>
      </c>
      <c r="T2081">
        <v>100</v>
      </c>
      <c r="W2081" t="s">
        <v>262</v>
      </c>
    </row>
    <row r="2082" spans="1:25" x14ac:dyDescent="0.3">
      <c r="A2082" t="s">
        <v>21</v>
      </c>
      <c r="B2082" t="s">
        <v>5565</v>
      </c>
      <c r="C2082" t="s">
        <v>270</v>
      </c>
      <c r="D2082" t="s">
        <v>5566</v>
      </c>
      <c r="E2082" t="s">
        <v>5567</v>
      </c>
      <c r="H2082" t="s">
        <v>5568</v>
      </c>
      <c r="I2082" t="s">
        <v>5569</v>
      </c>
      <c r="J2082" t="s">
        <v>297</v>
      </c>
      <c r="K2082">
        <v>618</v>
      </c>
      <c r="L2082" t="s">
        <v>276</v>
      </c>
      <c r="M2082" t="s">
        <v>801</v>
      </c>
      <c r="N2082" t="s">
        <v>276</v>
      </c>
      <c r="P2082" t="s">
        <v>260</v>
      </c>
      <c r="Q2082" t="s">
        <v>260</v>
      </c>
      <c r="R2082" t="s">
        <v>261</v>
      </c>
      <c r="S2082" t="s">
        <v>21</v>
      </c>
      <c r="T2082">
        <v>100</v>
      </c>
      <c r="W2082" t="s">
        <v>262</v>
      </c>
      <c r="X2082">
        <v>-36.802900000000001</v>
      </c>
      <c r="Y2082">
        <v>174.65889999999999</v>
      </c>
    </row>
    <row r="2083" spans="1:25" x14ac:dyDescent="0.3">
      <c r="A2083" t="s">
        <v>21</v>
      </c>
      <c r="B2083" t="s">
        <v>5570</v>
      </c>
      <c r="C2083" t="s">
        <v>270</v>
      </c>
      <c r="D2083" t="s">
        <v>5571</v>
      </c>
      <c r="E2083">
        <v>556612</v>
      </c>
      <c r="M2083" t="s">
        <v>631</v>
      </c>
      <c r="N2083" t="s">
        <v>276</v>
      </c>
      <c r="P2083" t="s">
        <v>260</v>
      </c>
      <c r="Q2083" t="s">
        <v>260</v>
      </c>
      <c r="R2083" t="s">
        <v>261</v>
      </c>
      <c r="S2083" t="s">
        <v>21</v>
      </c>
      <c r="T2083">
        <v>100</v>
      </c>
      <c r="W2083" t="s">
        <v>262</v>
      </c>
    </row>
    <row r="2084" spans="1:25" x14ac:dyDescent="0.3">
      <c r="A2084" t="s">
        <v>21</v>
      </c>
      <c r="B2084" t="s">
        <v>5572</v>
      </c>
      <c r="C2084" t="s">
        <v>270</v>
      </c>
      <c r="D2084" t="s">
        <v>5573</v>
      </c>
      <c r="E2084">
        <v>312032</v>
      </c>
      <c r="M2084" t="s">
        <v>631</v>
      </c>
      <c r="N2084" t="s">
        <v>276</v>
      </c>
      <c r="P2084" t="s">
        <v>260</v>
      </c>
      <c r="Q2084" t="s">
        <v>260</v>
      </c>
      <c r="R2084" t="s">
        <v>261</v>
      </c>
      <c r="S2084" t="s">
        <v>21</v>
      </c>
      <c r="T2084">
        <v>100</v>
      </c>
      <c r="W2084" t="s">
        <v>262</v>
      </c>
    </row>
    <row r="2085" spans="1:25" x14ac:dyDescent="0.3">
      <c r="A2085" t="s">
        <v>21</v>
      </c>
      <c r="B2085" t="s">
        <v>5574</v>
      </c>
      <c r="C2085" t="s">
        <v>270</v>
      </c>
      <c r="D2085" t="s">
        <v>5575</v>
      </c>
      <c r="E2085">
        <v>55392</v>
      </c>
      <c r="H2085" t="s">
        <v>2433</v>
      </c>
      <c r="I2085" t="s">
        <v>1343</v>
      </c>
      <c r="J2085" t="s">
        <v>297</v>
      </c>
      <c r="K2085">
        <v>2104</v>
      </c>
      <c r="L2085" t="s">
        <v>276</v>
      </c>
      <c r="M2085" t="s">
        <v>631</v>
      </c>
      <c r="N2085" t="s">
        <v>276</v>
      </c>
      <c r="P2085" t="s">
        <v>260</v>
      </c>
      <c r="Q2085" t="s">
        <v>260</v>
      </c>
      <c r="R2085" t="s">
        <v>261</v>
      </c>
      <c r="S2085" t="s">
        <v>21</v>
      </c>
      <c r="T2085">
        <v>100</v>
      </c>
      <c r="W2085" t="s">
        <v>262</v>
      </c>
      <c r="X2085">
        <v>-37.008299999999998</v>
      </c>
      <c r="Y2085">
        <v>174.87049999999999</v>
      </c>
    </row>
    <row r="2086" spans="1:25" ht="255" customHeight="1" x14ac:dyDescent="0.3">
      <c r="A2086" t="s">
        <v>21</v>
      </c>
      <c r="B2086" t="s">
        <v>5576</v>
      </c>
      <c r="C2086" t="s">
        <v>1111</v>
      </c>
      <c r="D2086" t="s">
        <v>5577</v>
      </c>
      <c r="E2086" t="s">
        <v>5578</v>
      </c>
      <c r="G2086" s="10" t="s">
        <v>5579</v>
      </c>
      <c r="M2086" t="s">
        <v>380</v>
      </c>
      <c r="N2086" t="s">
        <v>276</v>
      </c>
      <c r="P2086" t="s">
        <v>260</v>
      </c>
      <c r="Q2086" t="s">
        <v>260</v>
      </c>
      <c r="R2086" t="s">
        <v>261</v>
      </c>
      <c r="S2086" t="s">
        <v>21</v>
      </c>
      <c r="T2086">
        <v>100</v>
      </c>
      <c r="W2086" t="s">
        <v>262</v>
      </c>
    </row>
    <row r="2087" spans="1:25" ht="195" customHeight="1" x14ac:dyDescent="0.3">
      <c r="A2087" t="s">
        <v>21</v>
      </c>
      <c r="B2087" t="s">
        <v>5580</v>
      </c>
      <c r="C2087" t="s">
        <v>1111</v>
      </c>
      <c r="D2087" t="s">
        <v>5581</v>
      </c>
      <c r="E2087">
        <v>559620</v>
      </c>
      <c r="G2087" s="10" t="s">
        <v>5582</v>
      </c>
      <c r="M2087" t="s">
        <v>379</v>
      </c>
      <c r="N2087" t="s">
        <v>276</v>
      </c>
      <c r="P2087" t="s">
        <v>260</v>
      </c>
      <c r="Q2087" t="s">
        <v>260</v>
      </c>
      <c r="R2087" t="s">
        <v>261</v>
      </c>
      <c r="S2087" t="s">
        <v>21</v>
      </c>
      <c r="T2087">
        <v>100</v>
      </c>
      <c r="W2087" t="s">
        <v>262</v>
      </c>
    </row>
    <row r="2088" spans="1:25" ht="409.5" customHeight="1" x14ac:dyDescent="0.3">
      <c r="A2088" t="s">
        <v>21</v>
      </c>
      <c r="B2088" t="s">
        <v>5583</v>
      </c>
      <c r="C2088" t="s">
        <v>270</v>
      </c>
      <c r="D2088" t="s">
        <v>2026</v>
      </c>
      <c r="E2088" t="s">
        <v>5584</v>
      </c>
      <c r="G2088" s="10" t="s">
        <v>5585</v>
      </c>
      <c r="M2088" t="s">
        <v>297</v>
      </c>
      <c r="N2088" t="s">
        <v>276</v>
      </c>
      <c r="P2088" t="s">
        <v>260</v>
      </c>
      <c r="Q2088" t="s">
        <v>260</v>
      </c>
      <c r="R2088" t="s">
        <v>261</v>
      </c>
      <c r="S2088" t="s">
        <v>21</v>
      </c>
      <c r="T2088">
        <v>100</v>
      </c>
      <c r="W2088" t="s">
        <v>262</v>
      </c>
    </row>
    <row r="2089" spans="1:25" ht="270" customHeight="1" x14ac:dyDescent="0.3">
      <c r="A2089" t="s">
        <v>21</v>
      </c>
      <c r="B2089" t="s">
        <v>5586</v>
      </c>
      <c r="C2089" t="s">
        <v>1111</v>
      </c>
      <c r="D2089" t="s">
        <v>5587</v>
      </c>
      <c r="E2089">
        <v>559321</v>
      </c>
      <c r="G2089" s="10" t="s">
        <v>5588</v>
      </c>
      <c r="M2089" t="s">
        <v>380</v>
      </c>
      <c r="N2089" t="s">
        <v>276</v>
      </c>
      <c r="P2089" t="s">
        <v>260</v>
      </c>
      <c r="Q2089" t="s">
        <v>260</v>
      </c>
      <c r="R2089" t="s">
        <v>261</v>
      </c>
      <c r="S2089" t="s">
        <v>21</v>
      </c>
      <c r="T2089">
        <v>100</v>
      </c>
      <c r="W2089" t="s">
        <v>262</v>
      </c>
    </row>
    <row r="2090" spans="1:25" x14ac:dyDescent="0.3">
      <c r="A2090" t="s">
        <v>21</v>
      </c>
      <c r="B2090" t="s">
        <v>5589</v>
      </c>
      <c r="C2090" t="s">
        <v>270</v>
      </c>
      <c r="D2090" t="s">
        <v>5590</v>
      </c>
      <c r="E2090">
        <v>552410</v>
      </c>
      <c r="F2090">
        <v>552410</v>
      </c>
      <c r="M2090" t="s">
        <v>399</v>
      </c>
      <c r="N2090" t="s">
        <v>276</v>
      </c>
      <c r="P2090" t="s">
        <v>260</v>
      </c>
      <c r="Q2090" t="s">
        <v>260</v>
      </c>
      <c r="R2090" t="s">
        <v>261</v>
      </c>
      <c r="S2090" t="s">
        <v>21</v>
      </c>
      <c r="T2090">
        <v>100</v>
      </c>
      <c r="W2090" t="s">
        <v>262</v>
      </c>
    </row>
    <row r="2091" spans="1:25" x14ac:dyDescent="0.3">
      <c r="A2091" t="s">
        <v>21</v>
      </c>
      <c r="B2091" t="s">
        <v>5591</v>
      </c>
      <c r="C2091" t="s">
        <v>2464</v>
      </c>
      <c r="D2091" t="s">
        <v>5592</v>
      </c>
      <c r="E2091" t="s">
        <v>5593</v>
      </c>
      <c r="G2091" t="s">
        <v>5594</v>
      </c>
      <c r="H2091" t="s">
        <v>2433</v>
      </c>
      <c r="I2091" t="s">
        <v>1343</v>
      </c>
      <c r="J2091" t="s">
        <v>297</v>
      </c>
      <c r="K2091">
        <v>2104</v>
      </c>
      <c r="L2091" t="s">
        <v>276</v>
      </c>
      <c r="M2091" t="s">
        <v>631</v>
      </c>
      <c r="N2091" t="s">
        <v>276</v>
      </c>
      <c r="P2091" t="s">
        <v>260</v>
      </c>
      <c r="Q2091" t="s">
        <v>260</v>
      </c>
      <c r="R2091" t="s">
        <v>261</v>
      </c>
      <c r="S2091" t="s">
        <v>21</v>
      </c>
      <c r="T2091">
        <v>100</v>
      </c>
      <c r="W2091" t="s">
        <v>262</v>
      </c>
      <c r="X2091">
        <v>-37.008299999999998</v>
      </c>
      <c r="Y2091">
        <v>174.87049999999999</v>
      </c>
    </row>
    <row r="2092" spans="1:25" x14ac:dyDescent="0.3">
      <c r="A2092" t="s">
        <v>21</v>
      </c>
      <c r="B2092" t="s">
        <v>5595</v>
      </c>
      <c r="C2092" t="s">
        <v>2464</v>
      </c>
      <c r="D2092" t="s">
        <v>5596</v>
      </c>
      <c r="E2092" t="s">
        <v>5597</v>
      </c>
      <c r="G2092" t="s">
        <v>5598</v>
      </c>
      <c r="M2092" t="s">
        <v>631</v>
      </c>
      <c r="N2092" t="s">
        <v>276</v>
      </c>
      <c r="P2092" t="s">
        <v>260</v>
      </c>
      <c r="Q2092" t="s">
        <v>260</v>
      </c>
      <c r="R2092" t="s">
        <v>261</v>
      </c>
      <c r="S2092" t="s">
        <v>21</v>
      </c>
      <c r="T2092">
        <v>100</v>
      </c>
      <c r="W2092" t="s">
        <v>262</v>
      </c>
    </row>
    <row r="2093" spans="1:25" x14ac:dyDescent="0.3">
      <c r="A2093" t="s">
        <v>21</v>
      </c>
      <c r="B2093" t="s">
        <v>5599</v>
      </c>
      <c r="C2093" t="s">
        <v>270</v>
      </c>
      <c r="D2093" t="s">
        <v>5600</v>
      </c>
      <c r="E2093" t="s">
        <v>5601</v>
      </c>
      <c r="H2093" t="s">
        <v>5602</v>
      </c>
      <c r="I2093" t="s">
        <v>5603</v>
      </c>
      <c r="J2093" t="s">
        <v>375</v>
      </c>
      <c r="K2093">
        <v>9023</v>
      </c>
      <c r="L2093" t="s">
        <v>276</v>
      </c>
      <c r="M2093" t="s">
        <v>5604</v>
      </c>
      <c r="N2093" t="s">
        <v>276</v>
      </c>
      <c r="P2093" t="s">
        <v>260</v>
      </c>
      <c r="Q2093" t="s">
        <v>260</v>
      </c>
      <c r="R2093" t="s">
        <v>261</v>
      </c>
      <c r="S2093" t="s">
        <v>21</v>
      </c>
      <c r="T2093">
        <v>100</v>
      </c>
      <c r="W2093" t="s">
        <v>262</v>
      </c>
      <c r="X2093">
        <v>-45.823399999999999</v>
      </c>
      <c r="Y2093">
        <v>170.60220000000001</v>
      </c>
    </row>
    <row r="2094" spans="1:25" x14ac:dyDescent="0.3">
      <c r="A2094" t="s">
        <v>21</v>
      </c>
      <c r="B2094" t="s">
        <v>5605</v>
      </c>
      <c r="C2094" t="s">
        <v>270</v>
      </c>
      <c r="D2094" t="s">
        <v>5606</v>
      </c>
      <c r="E2094">
        <v>10150</v>
      </c>
      <c r="G2094">
        <v>10.15</v>
      </c>
      <c r="H2094" t="s">
        <v>5607</v>
      </c>
      <c r="I2094" t="s">
        <v>5608</v>
      </c>
      <c r="J2094" t="s">
        <v>390</v>
      </c>
      <c r="K2094">
        <v>8042</v>
      </c>
      <c r="L2094" t="s">
        <v>276</v>
      </c>
      <c r="M2094" t="s">
        <v>390</v>
      </c>
      <c r="N2094" t="s">
        <v>276</v>
      </c>
      <c r="P2094" t="s">
        <v>260</v>
      </c>
      <c r="Q2094" t="s">
        <v>260</v>
      </c>
      <c r="R2094" t="s">
        <v>283</v>
      </c>
      <c r="S2094" t="s">
        <v>21</v>
      </c>
      <c r="T2094">
        <v>100</v>
      </c>
      <c r="W2094" t="s">
        <v>262</v>
      </c>
      <c r="X2094">
        <v>-43.547800000000002</v>
      </c>
      <c r="Y2094">
        <v>172.52099999999999</v>
      </c>
    </row>
    <row r="2095" spans="1:25" x14ac:dyDescent="0.3">
      <c r="A2095" t="s">
        <v>21</v>
      </c>
      <c r="B2095" t="s">
        <v>5609</v>
      </c>
      <c r="C2095" t="s">
        <v>1845</v>
      </c>
      <c r="D2095" t="s">
        <v>5610</v>
      </c>
      <c r="E2095" t="s">
        <v>5611</v>
      </c>
      <c r="M2095" t="s">
        <v>2017</v>
      </c>
      <c r="N2095" t="s">
        <v>276</v>
      </c>
      <c r="P2095" t="s">
        <v>260</v>
      </c>
      <c r="Q2095" t="s">
        <v>260</v>
      </c>
      <c r="R2095" t="s">
        <v>261</v>
      </c>
      <c r="S2095" t="s">
        <v>21</v>
      </c>
      <c r="T2095">
        <v>100</v>
      </c>
      <c r="W2095" t="s">
        <v>262</v>
      </c>
    </row>
    <row r="2096" spans="1:25" x14ac:dyDescent="0.3">
      <c r="A2096" t="s">
        <v>21</v>
      </c>
      <c r="B2096" t="s">
        <v>5612</v>
      </c>
      <c r="C2096" t="s">
        <v>2807</v>
      </c>
      <c r="D2096" t="s">
        <v>5613</v>
      </c>
      <c r="E2096">
        <v>10920030</v>
      </c>
      <c r="G2096" t="s">
        <v>5614</v>
      </c>
      <c r="H2096" t="s">
        <v>5615</v>
      </c>
      <c r="I2096" t="s">
        <v>5616</v>
      </c>
      <c r="J2096" t="s">
        <v>307</v>
      </c>
      <c r="M2096" t="s">
        <v>307</v>
      </c>
      <c r="N2096" t="s">
        <v>259</v>
      </c>
      <c r="P2096" t="s">
        <v>260</v>
      </c>
      <c r="Q2096" t="s">
        <v>260</v>
      </c>
      <c r="R2096" t="s">
        <v>293</v>
      </c>
      <c r="S2096" t="s">
        <v>21</v>
      </c>
      <c r="T2096">
        <v>100</v>
      </c>
      <c r="W2096" t="s">
        <v>262</v>
      </c>
    </row>
    <row r="2097" spans="1:26" x14ac:dyDescent="0.3">
      <c r="A2097" t="s">
        <v>21</v>
      </c>
      <c r="B2097" t="s">
        <v>5617</v>
      </c>
      <c r="C2097" t="s">
        <v>270</v>
      </c>
      <c r="D2097" t="s">
        <v>5618</v>
      </c>
      <c r="E2097" t="s">
        <v>5619</v>
      </c>
      <c r="H2097" t="s">
        <v>2433</v>
      </c>
      <c r="I2097" t="s">
        <v>1343</v>
      </c>
      <c r="J2097" t="s">
        <v>297</v>
      </c>
      <c r="K2097">
        <v>2104</v>
      </c>
      <c r="L2097" t="s">
        <v>276</v>
      </c>
      <c r="M2097" t="s">
        <v>631</v>
      </c>
      <c r="N2097" t="s">
        <v>276</v>
      </c>
      <c r="P2097" t="s">
        <v>260</v>
      </c>
      <c r="Q2097" t="s">
        <v>260</v>
      </c>
      <c r="R2097" t="s">
        <v>261</v>
      </c>
      <c r="S2097" t="s">
        <v>21</v>
      </c>
      <c r="T2097">
        <v>100</v>
      </c>
      <c r="W2097" t="s">
        <v>262</v>
      </c>
      <c r="X2097">
        <v>-37.008299999999998</v>
      </c>
      <c r="Y2097">
        <v>174.87049999999999</v>
      </c>
    </row>
    <row r="2098" spans="1:26" x14ac:dyDescent="0.3">
      <c r="A2098" t="s">
        <v>21</v>
      </c>
      <c r="B2098" t="s">
        <v>5620</v>
      </c>
      <c r="C2098" t="s">
        <v>1687</v>
      </c>
      <c r="D2098" t="s">
        <v>5621</v>
      </c>
      <c r="E2098" t="s">
        <v>5621</v>
      </c>
      <c r="M2098" t="s">
        <v>394</v>
      </c>
      <c r="N2098" t="s">
        <v>276</v>
      </c>
      <c r="P2098" t="s">
        <v>260</v>
      </c>
      <c r="Q2098" t="s">
        <v>260</v>
      </c>
      <c r="R2098" t="s">
        <v>268</v>
      </c>
      <c r="S2098" t="s">
        <v>21</v>
      </c>
      <c r="T2098">
        <v>100</v>
      </c>
      <c r="W2098" t="s">
        <v>262</v>
      </c>
    </row>
    <row r="2099" spans="1:26" x14ac:dyDescent="0.3">
      <c r="A2099" t="s">
        <v>21</v>
      </c>
      <c r="B2099" t="s">
        <v>5622</v>
      </c>
      <c r="C2099" t="s">
        <v>270</v>
      </c>
      <c r="D2099" t="s">
        <v>5623</v>
      </c>
      <c r="E2099" t="s">
        <v>5624</v>
      </c>
      <c r="H2099" t="s">
        <v>2433</v>
      </c>
      <c r="I2099" t="s">
        <v>1343</v>
      </c>
      <c r="J2099" t="s">
        <v>297</v>
      </c>
      <c r="K2099">
        <v>2104</v>
      </c>
      <c r="L2099" t="s">
        <v>276</v>
      </c>
      <c r="M2099" t="s">
        <v>631</v>
      </c>
      <c r="N2099" t="s">
        <v>276</v>
      </c>
      <c r="P2099" t="s">
        <v>260</v>
      </c>
      <c r="Q2099" t="s">
        <v>260</v>
      </c>
      <c r="R2099" t="s">
        <v>261</v>
      </c>
      <c r="S2099" t="s">
        <v>21</v>
      </c>
      <c r="T2099">
        <v>100</v>
      </c>
      <c r="W2099" t="s">
        <v>262</v>
      </c>
      <c r="X2099">
        <v>-37.008299999999998</v>
      </c>
      <c r="Y2099">
        <v>174.87049999999999</v>
      </c>
    </row>
    <row r="2100" spans="1:26" x14ac:dyDescent="0.3">
      <c r="A2100" t="s">
        <v>21</v>
      </c>
      <c r="B2100" t="s">
        <v>5625</v>
      </c>
      <c r="C2100" t="s">
        <v>2423</v>
      </c>
      <c r="D2100" t="s">
        <v>5626</v>
      </c>
      <c r="E2100" t="s">
        <v>5626</v>
      </c>
      <c r="M2100" t="s">
        <v>282</v>
      </c>
      <c r="N2100" t="s">
        <v>259</v>
      </c>
      <c r="P2100" t="s">
        <v>260</v>
      </c>
      <c r="Q2100" t="s">
        <v>260</v>
      </c>
      <c r="R2100" t="s">
        <v>283</v>
      </c>
      <c r="S2100" t="s">
        <v>21</v>
      </c>
      <c r="T2100">
        <v>100</v>
      </c>
      <c r="W2100" t="s">
        <v>262</v>
      </c>
    </row>
    <row r="2101" spans="1:26" x14ac:dyDescent="0.3">
      <c r="A2101" t="s">
        <v>21</v>
      </c>
      <c r="B2101" t="s">
        <v>5627</v>
      </c>
      <c r="C2101" t="s">
        <v>289</v>
      </c>
      <c r="D2101" t="s">
        <v>5628</v>
      </c>
      <c r="H2101" t="s">
        <v>5629</v>
      </c>
      <c r="I2101" t="s">
        <v>5630</v>
      </c>
      <c r="J2101" t="s">
        <v>2544</v>
      </c>
      <c r="M2101" t="s">
        <v>267</v>
      </c>
      <c r="N2101" t="s">
        <v>259</v>
      </c>
      <c r="P2101" t="s">
        <v>260</v>
      </c>
      <c r="Q2101" t="s">
        <v>260</v>
      </c>
      <c r="R2101" t="s">
        <v>283</v>
      </c>
      <c r="S2101" t="s">
        <v>21</v>
      </c>
      <c r="T2101">
        <v>100</v>
      </c>
      <c r="W2101" t="s">
        <v>262</v>
      </c>
    </row>
    <row r="2102" spans="1:26" x14ac:dyDescent="0.3">
      <c r="A2102" t="s">
        <v>21</v>
      </c>
      <c r="B2102" t="s">
        <v>5631</v>
      </c>
      <c r="C2102" t="s">
        <v>264</v>
      </c>
      <c r="D2102" t="s">
        <v>5632</v>
      </c>
      <c r="H2102" t="s">
        <v>5633</v>
      </c>
      <c r="I2102" t="s">
        <v>1405</v>
      </c>
      <c r="J2102" t="s">
        <v>366</v>
      </c>
      <c r="M2102" t="s">
        <v>312</v>
      </c>
      <c r="N2102" t="s">
        <v>259</v>
      </c>
      <c r="P2102" t="s">
        <v>260</v>
      </c>
      <c r="Q2102" t="s">
        <v>260</v>
      </c>
      <c r="R2102" t="s">
        <v>283</v>
      </c>
      <c r="S2102" t="s">
        <v>21</v>
      </c>
      <c r="T2102">
        <v>100</v>
      </c>
      <c r="W2102" t="s">
        <v>262</v>
      </c>
    </row>
    <row r="2103" spans="1:26" x14ac:dyDescent="0.3">
      <c r="A2103" t="s">
        <v>21</v>
      </c>
      <c r="B2103" t="s">
        <v>5634</v>
      </c>
      <c r="C2103" t="s">
        <v>299</v>
      </c>
      <c r="D2103" t="s">
        <v>2195</v>
      </c>
      <c r="E2103" t="s">
        <v>2195</v>
      </c>
      <c r="H2103" t="s">
        <v>5635</v>
      </c>
      <c r="I2103" t="s">
        <v>5636</v>
      </c>
      <c r="J2103" t="s">
        <v>366</v>
      </c>
      <c r="K2103">
        <v>2116</v>
      </c>
      <c r="M2103" t="s">
        <v>1838</v>
      </c>
      <c r="N2103" t="s">
        <v>259</v>
      </c>
      <c r="P2103" t="s">
        <v>260</v>
      </c>
      <c r="Q2103" t="s">
        <v>260</v>
      </c>
      <c r="R2103" t="s">
        <v>283</v>
      </c>
      <c r="S2103" t="s">
        <v>21</v>
      </c>
      <c r="T2103">
        <v>100</v>
      </c>
      <c r="W2103" t="s">
        <v>262</v>
      </c>
      <c r="Z2103">
        <v>692</v>
      </c>
    </row>
    <row r="2104" spans="1:26" ht="60" customHeight="1" x14ac:dyDescent="0.3">
      <c r="A2104" t="s">
        <v>21</v>
      </c>
      <c r="B2104" t="s">
        <v>5637</v>
      </c>
      <c r="C2104" t="s">
        <v>299</v>
      </c>
      <c r="D2104" t="s">
        <v>5632</v>
      </c>
      <c r="H2104" s="10" t="s">
        <v>5638</v>
      </c>
      <c r="I2104" t="s">
        <v>608</v>
      </c>
      <c r="J2104" t="s">
        <v>2454</v>
      </c>
      <c r="K2104" t="s">
        <v>609</v>
      </c>
      <c r="L2104" t="s">
        <v>259</v>
      </c>
      <c r="M2104" t="s">
        <v>537</v>
      </c>
      <c r="N2104" t="s">
        <v>259</v>
      </c>
      <c r="P2104" t="s">
        <v>260</v>
      </c>
      <c r="Q2104" t="s">
        <v>260</v>
      </c>
      <c r="R2104" t="s">
        <v>283</v>
      </c>
      <c r="S2104" t="s">
        <v>21</v>
      </c>
      <c r="T2104">
        <v>100</v>
      </c>
      <c r="W2104" t="s">
        <v>262</v>
      </c>
    </row>
    <row r="2105" spans="1:26" x14ac:dyDescent="0.3">
      <c r="A2105" t="s">
        <v>21</v>
      </c>
      <c r="B2105" t="s">
        <v>5639</v>
      </c>
      <c r="C2105" t="s">
        <v>270</v>
      </c>
      <c r="D2105" t="s">
        <v>5640</v>
      </c>
      <c r="E2105" t="s">
        <v>5640</v>
      </c>
      <c r="F2105" t="s">
        <v>5640</v>
      </c>
      <c r="M2105" t="s">
        <v>297</v>
      </c>
      <c r="N2105" t="s">
        <v>276</v>
      </c>
      <c r="P2105" t="s">
        <v>260</v>
      </c>
      <c r="Q2105" t="s">
        <v>260</v>
      </c>
      <c r="R2105" t="s">
        <v>283</v>
      </c>
      <c r="S2105" t="s">
        <v>21</v>
      </c>
      <c r="T2105">
        <v>100</v>
      </c>
      <c r="W2105" t="s">
        <v>262</v>
      </c>
    </row>
    <row r="2106" spans="1:26" x14ac:dyDescent="0.3">
      <c r="A2106" t="s">
        <v>21</v>
      </c>
      <c r="B2106" t="s">
        <v>5641</v>
      </c>
      <c r="C2106" t="s">
        <v>270</v>
      </c>
      <c r="D2106" t="s">
        <v>5642</v>
      </c>
      <c r="E2106" t="s">
        <v>5642</v>
      </c>
      <c r="F2106" t="s">
        <v>5642</v>
      </c>
      <c r="M2106" t="s">
        <v>297</v>
      </c>
      <c r="N2106" t="s">
        <v>276</v>
      </c>
      <c r="P2106" t="s">
        <v>260</v>
      </c>
      <c r="Q2106" t="s">
        <v>260</v>
      </c>
      <c r="R2106" t="s">
        <v>283</v>
      </c>
      <c r="S2106" t="s">
        <v>21</v>
      </c>
      <c r="T2106">
        <v>100</v>
      </c>
      <c r="W2106" t="s">
        <v>262</v>
      </c>
    </row>
    <row r="2107" spans="1:26" x14ac:dyDescent="0.3">
      <c r="A2107" t="s">
        <v>21</v>
      </c>
      <c r="B2107" t="s">
        <v>5643</v>
      </c>
      <c r="C2107" t="s">
        <v>270</v>
      </c>
      <c r="D2107" t="s">
        <v>5644</v>
      </c>
      <c r="E2107" t="s">
        <v>5644</v>
      </c>
      <c r="F2107" t="s">
        <v>5644</v>
      </c>
      <c r="M2107" t="s">
        <v>297</v>
      </c>
      <c r="N2107" t="s">
        <v>276</v>
      </c>
      <c r="P2107" t="s">
        <v>260</v>
      </c>
      <c r="Q2107" t="s">
        <v>260</v>
      </c>
      <c r="R2107" t="s">
        <v>283</v>
      </c>
      <c r="S2107" t="s">
        <v>21</v>
      </c>
      <c r="T2107">
        <v>100</v>
      </c>
      <c r="W2107" t="s">
        <v>262</v>
      </c>
    </row>
    <row r="2108" spans="1:26" x14ac:dyDescent="0.3">
      <c r="A2108" t="s">
        <v>21</v>
      </c>
      <c r="B2108" t="s">
        <v>5645</v>
      </c>
      <c r="C2108" t="s">
        <v>270</v>
      </c>
      <c r="D2108" t="s">
        <v>5646</v>
      </c>
      <c r="E2108" t="s">
        <v>5646</v>
      </c>
      <c r="F2108" t="s">
        <v>5646</v>
      </c>
      <c r="M2108" t="s">
        <v>297</v>
      </c>
      <c r="N2108" t="s">
        <v>276</v>
      </c>
      <c r="P2108" t="s">
        <v>260</v>
      </c>
      <c r="Q2108" t="s">
        <v>260</v>
      </c>
      <c r="R2108" t="s">
        <v>283</v>
      </c>
      <c r="S2108" t="s">
        <v>21</v>
      </c>
      <c r="T2108">
        <v>100</v>
      </c>
      <c r="W2108" t="s">
        <v>262</v>
      </c>
    </row>
    <row r="2109" spans="1:26" x14ac:dyDescent="0.3">
      <c r="A2109" t="s">
        <v>21</v>
      </c>
      <c r="B2109" t="s">
        <v>5647</v>
      </c>
      <c r="C2109" t="s">
        <v>270</v>
      </c>
      <c r="D2109" t="s">
        <v>5648</v>
      </c>
      <c r="E2109" t="s">
        <v>5648</v>
      </c>
      <c r="F2109" t="s">
        <v>5648</v>
      </c>
      <c r="M2109" t="s">
        <v>297</v>
      </c>
      <c r="N2109" t="s">
        <v>276</v>
      </c>
      <c r="P2109" t="s">
        <v>260</v>
      </c>
      <c r="Q2109" t="s">
        <v>260</v>
      </c>
      <c r="R2109" t="s">
        <v>283</v>
      </c>
      <c r="S2109" t="s">
        <v>21</v>
      </c>
      <c r="T2109">
        <v>100</v>
      </c>
      <c r="W2109" t="s">
        <v>262</v>
      </c>
    </row>
    <row r="2110" spans="1:26" x14ac:dyDescent="0.3">
      <c r="A2110" t="s">
        <v>21</v>
      </c>
      <c r="B2110" t="s">
        <v>5649</v>
      </c>
      <c r="C2110" t="s">
        <v>270</v>
      </c>
      <c r="D2110" t="s">
        <v>5648</v>
      </c>
      <c r="E2110" t="s">
        <v>5648</v>
      </c>
      <c r="F2110" t="s">
        <v>5648</v>
      </c>
      <c r="M2110" t="s">
        <v>297</v>
      </c>
      <c r="N2110" t="s">
        <v>276</v>
      </c>
      <c r="P2110" t="s">
        <v>260</v>
      </c>
      <c r="Q2110" t="s">
        <v>260</v>
      </c>
      <c r="R2110" t="s">
        <v>283</v>
      </c>
      <c r="S2110" t="s">
        <v>21</v>
      </c>
      <c r="T2110">
        <v>100</v>
      </c>
      <c r="W2110" t="s">
        <v>262</v>
      </c>
    </row>
    <row r="2111" spans="1:26" x14ac:dyDescent="0.3">
      <c r="A2111" t="s">
        <v>21</v>
      </c>
      <c r="B2111" t="s">
        <v>5650</v>
      </c>
      <c r="C2111" t="s">
        <v>270</v>
      </c>
      <c r="D2111" t="s">
        <v>5646</v>
      </c>
      <c r="E2111" t="s">
        <v>5646</v>
      </c>
      <c r="F2111" t="s">
        <v>5646</v>
      </c>
      <c r="M2111" t="s">
        <v>297</v>
      </c>
      <c r="N2111" t="s">
        <v>276</v>
      </c>
      <c r="P2111" t="s">
        <v>260</v>
      </c>
      <c r="Q2111" t="s">
        <v>260</v>
      </c>
      <c r="R2111" t="s">
        <v>283</v>
      </c>
      <c r="S2111" t="s">
        <v>21</v>
      </c>
      <c r="T2111">
        <v>100</v>
      </c>
      <c r="W2111" t="s">
        <v>262</v>
      </c>
    </row>
    <row r="2112" spans="1:26" x14ac:dyDescent="0.3">
      <c r="A2112" t="s">
        <v>21</v>
      </c>
      <c r="B2112" t="s">
        <v>5651</v>
      </c>
      <c r="C2112" t="s">
        <v>270</v>
      </c>
      <c r="D2112" t="s">
        <v>5652</v>
      </c>
      <c r="E2112" t="s">
        <v>5652</v>
      </c>
      <c r="F2112" t="s">
        <v>5652</v>
      </c>
      <c r="M2112" t="s">
        <v>297</v>
      </c>
      <c r="N2112" t="s">
        <v>276</v>
      </c>
      <c r="P2112" t="s">
        <v>260</v>
      </c>
      <c r="Q2112" t="s">
        <v>260</v>
      </c>
      <c r="R2112" t="s">
        <v>283</v>
      </c>
      <c r="S2112" t="s">
        <v>21</v>
      </c>
      <c r="T2112">
        <v>100</v>
      </c>
      <c r="W2112" t="s">
        <v>262</v>
      </c>
    </row>
    <row r="2113" spans="1:27" x14ac:dyDescent="0.3">
      <c r="A2113" t="s">
        <v>21</v>
      </c>
      <c r="B2113" t="s">
        <v>5653</v>
      </c>
      <c r="C2113" t="s">
        <v>270</v>
      </c>
      <c r="D2113" t="s">
        <v>5644</v>
      </c>
      <c r="E2113" t="s">
        <v>5644</v>
      </c>
      <c r="F2113" t="s">
        <v>5644</v>
      </c>
      <c r="M2113" t="s">
        <v>297</v>
      </c>
      <c r="N2113" t="s">
        <v>276</v>
      </c>
      <c r="P2113" t="s">
        <v>260</v>
      </c>
      <c r="Q2113" t="s">
        <v>260</v>
      </c>
      <c r="R2113" t="s">
        <v>283</v>
      </c>
      <c r="S2113" t="s">
        <v>21</v>
      </c>
      <c r="T2113">
        <v>100</v>
      </c>
      <c r="W2113" t="s">
        <v>262</v>
      </c>
    </row>
    <row r="2114" spans="1:27" x14ac:dyDescent="0.3">
      <c r="A2114" t="s">
        <v>21</v>
      </c>
      <c r="B2114" t="s">
        <v>5654</v>
      </c>
      <c r="C2114" t="s">
        <v>270</v>
      </c>
      <c r="D2114" t="s">
        <v>5646</v>
      </c>
      <c r="E2114" t="s">
        <v>5646</v>
      </c>
      <c r="F2114" t="s">
        <v>5646</v>
      </c>
      <c r="M2114" t="s">
        <v>297</v>
      </c>
      <c r="N2114" t="s">
        <v>276</v>
      </c>
      <c r="P2114" t="s">
        <v>260</v>
      </c>
      <c r="Q2114" t="s">
        <v>260</v>
      </c>
      <c r="R2114" t="s">
        <v>283</v>
      </c>
      <c r="S2114" t="s">
        <v>21</v>
      </c>
      <c r="T2114">
        <v>100</v>
      </c>
      <c r="W2114" t="s">
        <v>262</v>
      </c>
    </row>
    <row r="2115" spans="1:27" x14ac:dyDescent="0.3">
      <c r="A2115" t="s">
        <v>21</v>
      </c>
      <c r="B2115" t="s">
        <v>5655</v>
      </c>
      <c r="C2115" t="s">
        <v>270</v>
      </c>
      <c r="D2115" t="s">
        <v>5642</v>
      </c>
      <c r="E2115" t="s">
        <v>5642</v>
      </c>
      <c r="F2115" t="s">
        <v>5642</v>
      </c>
      <c r="M2115" t="s">
        <v>297</v>
      </c>
      <c r="N2115" t="s">
        <v>276</v>
      </c>
      <c r="P2115" t="s">
        <v>260</v>
      </c>
      <c r="Q2115" t="s">
        <v>260</v>
      </c>
      <c r="R2115" t="s">
        <v>283</v>
      </c>
      <c r="S2115" t="s">
        <v>21</v>
      </c>
      <c r="T2115">
        <v>100</v>
      </c>
      <c r="W2115" t="s">
        <v>262</v>
      </c>
    </row>
    <row r="2116" spans="1:27" x14ac:dyDescent="0.3">
      <c r="A2116" t="s">
        <v>21</v>
      </c>
      <c r="B2116" t="s">
        <v>5656</v>
      </c>
      <c r="C2116" t="s">
        <v>270</v>
      </c>
      <c r="D2116" t="s">
        <v>5644</v>
      </c>
      <c r="E2116" t="s">
        <v>5644</v>
      </c>
      <c r="F2116" t="s">
        <v>5644</v>
      </c>
      <c r="M2116" t="s">
        <v>297</v>
      </c>
      <c r="N2116" t="s">
        <v>276</v>
      </c>
      <c r="P2116" t="s">
        <v>260</v>
      </c>
      <c r="Q2116" t="s">
        <v>260</v>
      </c>
      <c r="R2116" t="s">
        <v>283</v>
      </c>
      <c r="S2116" t="s">
        <v>21</v>
      </c>
      <c r="T2116">
        <v>100</v>
      </c>
      <c r="W2116" t="s">
        <v>262</v>
      </c>
    </row>
    <row r="2117" spans="1:27" x14ac:dyDescent="0.3">
      <c r="A2117" t="s">
        <v>21</v>
      </c>
      <c r="B2117" t="s">
        <v>5657</v>
      </c>
      <c r="C2117" t="s">
        <v>270</v>
      </c>
      <c r="D2117" t="s">
        <v>5646</v>
      </c>
      <c r="E2117" t="s">
        <v>5646</v>
      </c>
      <c r="F2117" t="s">
        <v>5646</v>
      </c>
      <c r="M2117" t="s">
        <v>297</v>
      </c>
      <c r="N2117" t="s">
        <v>276</v>
      </c>
      <c r="P2117" t="s">
        <v>260</v>
      </c>
      <c r="Q2117" t="s">
        <v>260</v>
      </c>
      <c r="R2117" t="s">
        <v>283</v>
      </c>
      <c r="S2117" t="s">
        <v>21</v>
      </c>
      <c r="T2117">
        <v>100</v>
      </c>
      <c r="W2117" t="s">
        <v>262</v>
      </c>
    </row>
    <row r="2118" spans="1:27" x14ac:dyDescent="0.3">
      <c r="A2118" t="s">
        <v>21</v>
      </c>
      <c r="B2118" t="s">
        <v>5658</v>
      </c>
      <c r="C2118" t="s">
        <v>270</v>
      </c>
      <c r="D2118" t="s">
        <v>5659</v>
      </c>
      <c r="E2118" t="s">
        <v>5659</v>
      </c>
      <c r="F2118" t="s">
        <v>5659</v>
      </c>
      <c r="M2118" t="s">
        <v>297</v>
      </c>
      <c r="N2118" t="s">
        <v>276</v>
      </c>
      <c r="P2118" t="s">
        <v>260</v>
      </c>
      <c r="Q2118" t="s">
        <v>260</v>
      </c>
      <c r="R2118" t="s">
        <v>283</v>
      </c>
      <c r="S2118" t="s">
        <v>21</v>
      </c>
      <c r="T2118">
        <v>100</v>
      </c>
      <c r="W2118" t="s">
        <v>262</v>
      </c>
    </row>
    <row r="2119" spans="1:27" x14ac:dyDescent="0.3">
      <c r="A2119" t="s">
        <v>21</v>
      </c>
      <c r="B2119" t="s">
        <v>5660</v>
      </c>
      <c r="C2119" t="s">
        <v>270</v>
      </c>
      <c r="D2119" t="s">
        <v>5642</v>
      </c>
      <c r="E2119" t="s">
        <v>5642</v>
      </c>
      <c r="F2119" t="s">
        <v>5642</v>
      </c>
      <c r="M2119" t="s">
        <v>297</v>
      </c>
      <c r="N2119" t="s">
        <v>276</v>
      </c>
      <c r="P2119" t="s">
        <v>260</v>
      </c>
      <c r="Q2119" t="s">
        <v>260</v>
      </c>
      <c r="R2119" t="s">
        <v>283</v>
      </c>
      <c r="S2119" t="s">
        <v>21</v>
      </c>
      <c r="T2119">
        <v>100</v>
      </c>
      <c r="W2119" t="s">
        <v>262</v>
      </c>
    </row>
    <row r="2120" spans="1:27" x14ac:dyDescent="0.3">
      <c r="A2120" t="s">
        <v>21</v>
      </c>
      <c r="B2120" t="s">
        <v>5661</v>
      </c>
      <c r="C2120" t="s">
        <v>270</v>
      </c>
      <c r="D2120" t="s">
        <v>5662</v>
      </c>
      <c r="E2120" t="s">
        <v>5662</v>
      </c>
      <c r="F2120" t="s">
        <v>5662</v>
      </c>
      <c r="M2120" t="s">
        <v>297</v>
      </c>
      <c r="N2120" t="s">
        <v>276</v>
      </c>
      <c r="P2120" t="s">
        <v>260</v>
      </c>
      <c r="Q2120" t="s">
        <v>260</v>
      </c>
      <c r="R2120" t="s">
        <v>283</v>
      </c>
      <c r="S2120" t="s">
        <v>21</v>
      </c>
      <c r="T2120">
        <v>100</v>
      </c>
      <c r="W2120" t="s">
        <v>262</v>
      </c>
    </row>
    <row r="2121" spans="1:27" x14ac:dyDescent="0.3">
      <c r="A2121" t="s">
        <v>21</v>
      </c>
      <c r="B2121" t="s">
        <v>5663</v>
      </c>
      <c r="C2121" t="s">
        <v>270</v>
      </c>
      <c r="D2121" t="s">
        <v>5648</v>
      </c>
      <c r="E2121" t="s">
        <v>5648</v>
      </c>
      <c r="F2121" t="s">
        <v>5648</v>
      </c>
      <c r="M2121" t="s">
        <v>297</v>
      </c>
      <c r="N2121" t="s">
        <v>276</v>
      </c>
      <c r="P2121" t="s">
        <v>260</v>
      </c>
      <c r="Q2121" t="s">
        <v>260</v>
      </c>
      <c r="R2121" t="s">
        <v>283</v>
      </c>
      <c r="S2121" t="s">
        <v>21</v>
      </c>
      <c r="T2121">
        <v>100</v>
      </c>
      <c r="W2121" t="s">
        <v>262</v>
      </c>
    </row>
    <row r="2122" spans="1:27" x14ac:dyDescent="0.3">
      <c r="A2122" t="s">
        <v>21</v>
      </c>
      <c r="B2122" t="s">
        <v>5664</v>
      </c>
      <c r="C2122" t="s">
        <v>270</v>
      </c>
      <c r="D2122" t="s">
        <v>1296</v>
      </c>
      <c r="E2122" t="s">
        <v>5665</v>
      </c>
      <c r="H2122" t="s">
        <v>2433</v>
      </c>
      <c r="I2122" t="s">
        <v>1343</v>
      </c>
      <c r="J2122" t="s">
        <v>297</v>
      </c>
      <c r="K2122">
        <v>2104</v>
      </c>
      <c r="L2122" t="s">
        <v>276</v>
      </c>
      <c r="M2122" t="s">
        <v>631</v>
      </c>
      <c r="N2122" t="s">
        <v>276</v>
      </c>
      <c r="P2122" t="s">
        <v>260</v>
      </c>
      <c r="Q2122" t="s">
        <v>260</v>
      </c>
      <c r="R2122" t="s">
        <v>283</v>
      </c>
      <c r="S2122" t="s">
        <v>21</v>
      </c>
      <c r="T2122">
        <v>100</v>
      </c>
      <c r="W2122" t="s">
        <v>262</v>
      </c>
      <c r="X2122">
        <v>-37.008299999999998</v>
      </c>
      <c r="Y2122">
        <v>174.87049999999999</v>
      </c>
    </row>
    <row r="2123" spans="1:27" x14ac:dyDescent="0.3">
      <c r="A2123" t="s">
        <v>21</v>
      </c>
      <c r="B2123" t="s">
        <v>5666</v>
      </c>
      <c r="C2123" t="s">
        <v>270</v>
      </c>
      <c r="D2123" t="s">
        <v>4931</v>
      </c>
      <c r="E2123" t="s">
        <v>5667</v>
      </c>
      <c r="H2123" t="s">
        <v>2433</v>
      </c>
      <c r="I2123" t="s">
        <v>1343</v>
      </c>
      <c r="J2123" t="s">
        <v>297</v>
      </c>
      <c r="K2123">
        <v>2104</v>
      </c>
      <c r="L2123" t="s">
        <v>276</v>
      </c>
      <c r="M2123" t="s">
        <v>631</v>
      </c>
      <c r="N2123" t="s">
        <v>276</v>
      </c>
      <c r="P2123" t="s">
        <v>260</v>
      </c>
      <c r="Q2123" t="s">
        <v>260</v>
      </c>
      <c r="R2123" t="s">
        <v>283</v>
      </c>
      <c r="S2123" t="s">
        <v>21</v>
      </c>
      <c r="T2123">
        <v>100</v>
      </c>
      <c r="W2123" t="s">
        <v>262</v>
      </c>
      <c r="X2123">
        <v>-37.008299999999998</v>
      </c>
      <c r="Y2123">
        <v>174.87049999999999</v>
      </c>
    </row>
    <row r="2124" spans="1:27" x14ac:dyDescent="0.3">
      <c r="A2124" t="s">
        <v>21</v>
      </c>
      <c r="B2124" t="s">
        <v>5668</v>
      </c>
      <c r="C2124" t="s">
        <v>270</v>
      </c>
      <c r="D2124" t="s">
        <v>5669</v>
      </c>
      <c r="E2124" t="s">
        <v>5670</v>
      </c>
      <c r="H2124" t="s">
        <v>2433</v>
      </c>
      <c r="I2124" t="s">
        <v>1343</v>
      </c>
      <c r="J2124" t="s">
        <v>297</v>
      </c>
      <c r="K2124">
        <v>2104</v>
      </c>
      <c r="L2124" t="s">
        <v>276</v>
      </c>
      <c r="M2124" t="s">
        <v>631</v>
      </c>
      <c r="N2124" t="s">
        <v>276</v>
      </c>
      <c r="P2124" t="s">
        <v>260</v>
      </c>
      <c r="Q2124" t="s">
        <v>260</v>
      </c>
      <c r="R2124" t="s">
        <v>261</v>
      </c>
      <c r="S2124" t="s">
        <v>21</v>
      </c>
      <c r="T2124">
        <v>100</v>
      </c>
      <c r="W2124" t="s">
        <v>262</v>
      </c>
      <c r="X2124">
        <v>-37.008299999999998</v>
      </c>
      <c r="Y2124">
        <v>174.87049999999999</v>
      </c>
    </row>
    <row r="2125" spans="1:27" x14ac:dyDescent="0.3">
      <c r="A2125" t="s">
        <v>21</v>
      </c>
      <c r="B2125" t="s">
        <v>5671</v>
      </c>
      <c r="C2125" t="s">
        <v>2833</v>
      </c>
      <c r="D2125" t="s">
        <v>5672</v>
      </c>
      <c r="E2125">
        <v>8001</v>
      </c>
      <c r="F2125">
        <v>8001</v>
      </c>
      <c r="G2125" t="s">
        <v>5673</v>
      </c>
      <c r="H2125" t="s">
        <v>2580</v>
      </c>
      <c r="I2125" t="s">
        <v>2581</v>
      </c>
      <c r="J2125" t="s">
        <v>335</v>
      </c>
      <c r="K2125">
        <v>3062</v>
      </c>
      <c r="L2125" t="s">
        <v>259</v>
      </c>
      <c r="M2125" t="s">
        <v>282</v>
      </c>
      <c r="N2125" t="s">
        <v>259</v>
      </c>
      <c r="P2125" t="s">
        <v>260</v>
      </c>
      <c r="Q2125" t="s">
        <v>260</v>
      </c>
      <c r="R2125" t="s">
        <v>261</v>
      </c>
      <c r="S2125" t="s">
        <v>21</v>
      </c>
      <c r="T2125">
        <v>100</v>
      </c>
      <c r="W2125" t="s">
        <v>262</v>
      </c>
      <c r="X2125">
        <v>-37.642000000000003</v>
      </c>
      <c r="Y2125">
        <v>144.94200000000001</v>
      </c>
      <c r="Z2125">
        <v>170</v>
      </c>
      <c r="AA2125" s="9">
        <v>42552</v>
      </c>
    </row>
    <row r="2126" spans="1:27" x14ac:dyDescent="0.3">
      <c r="A2126" t="s">
        <v>21</v>
      </c>
      <c r="B2126" t="s">
        <v>5674</v>
      </c>
      <c r="C2126" t="s">
        <v>299</v>
      </c>
      <c r="D2126" t="s">
        <v>5675</v>
      </c>
      <c r="E2126" t="s">
        <v>5675</v>
      </c>
      <c r="H2126" t="s">
        <v>2580</v>
      </c>
      <c r="I2126" t="s">
        <v>2581</v>
      </c>
      <c r="J2126" t="s">
        <v>335</v>
      </c>
      <c r="K2126">
        <v>3062</v>
      </c>
      <c r="L2126" t="s">
        <v>259</v>
      </c>
      <c r="M2126" t="s">
        <v>282</v>
      </c>
      <c r="N2126" t="s">
        <v>259</v>
      </c>
      <c r="P2126" t="s">
        <v>260</v>
      </c>
      <c r="Q2126" t="s">
        <v>260</v>
      </c>
      <c r="R2126" t="s">
        <v>261</v>
      </c>
      <c r="S2126" t="s">
        <v>21</v>
      </c>
      <c r="T2126">
        <v>100</v>
      </c>
      <c r="W2126" t="s">
        <v>262</v>
      </c>
      <c r="X2126">
        <v>-37.642000000000003</v>
      </c>
      <c r="Y2126">
        <v>144.94200000000001</v>
      </c>
      <c r="Z2126">
        <v>310</v>
      </c>
    </row>
    <row r="2127" spans="1:27" x14ac:dyDescent="0.3">
      <c r="A2127" t="s">
        <v>21</v>
      </c>
      <c r="B2127" t="s">
        <v>5676</v>
      </c>
      <c r="C2127" t="s">
        <v>270</v>
      </c>
      <c r="D2127" t="s">
        <v>5677</v>
      </c>
      <c r="E2127">
        <v>552416</v>
      </c>
      <c r="G2127" t="s">
        <v>5678</v>
      </c>
      <c r="M2127" t="s">
        <v>352</v>
      </c>
      <c r="N2127" t="s">
        <v>276</v>
      </c>
      <c r="P2127" t="s">
        <v>260</v>
      </c>
      <c r="Q2127" t="s">
        <v>260</v>
      </c>
      <c r="R2127" t="s">
        <v>261</v>
      </c>
      <c r="S2127" t="s">
        <v>21</v>
      </c>
      <c r="T2127">
        <v>100</v>
      </c>
      <c r="W2127" t="s">
        <v>262</v>
      </c>
    </row>
    <row r="2128" spans="1:27" x14ac:dyDescent="0.3">
      <c r="A2128" t="s">
        <v>21</v>
      </c>
      <c r="B2128" t="s">
        <v>5679</v>
      </c>
      <c r="C2128" t="s">
        <v>270</v>
      </c>
      <c r="D2128" t="s">
        <v>5680</v>
      </c>
      <c r="E2128">
        <v>54946</v>
      </c>
      <c r="G2128" t="s">
        <v>5681</v>
      </c>
      <c r="M2128" t="s">
        <v>385</v>
      </c>
      <c r="N2128" t="s">
        <v>276</v>
      </c>
      <c r="P2128" t="s">
        <v>260</v>
      </c>
      <c r="Q2128" t="s">
        <v>260</v>
      </c>
      <c r="R2128" t="s">
        <v>261</v>
      </c>
      <c r="S2128" t="s">
        <v>21</v>
      </c>
      <c r="T2128">
        <v>100</v>
      </c>
      <c r="W2128" t="s">
        <v>262</v>
      </c>
    </row>
    <row r="2129" spans="1:25" x14ac:dyDescent="0.3">
      <c r="A2129" t="s">
        <v>21</v>
      </c>
      <c r="B2129" t="s">
        <v>5682</v>
      </c>
      <c r="C2129" t="s">
        <v>270</v>
      </c>
      <c r="D2129" t="s">
        <v>5683</v>
      </c>
      <c r="E2129">
        <v>54951</v>
      </c>
      <c r="G2129" t="s">
        <v>5684</v>
      </c>
      <c r="M2129" t="s">
        <v>385</v>
      </c>
      <c r="N2129" t="s">
        <v>276</v>
      </c>
      <c r="P2129" t="s">
        <v>260</v>
      </c>
      <c r="Q2129" t="s">
        <v>260</v>
      </c>
      <c r="R2129" t="s">
        <v>261</v>
      </c>
      <c r="S2129" t="s">
        <v>21</v>
      </c>
      <c r="T2129">
        <v>100</v>
      </c>
      <c r="W2129" t="s">
        <v>262</v>
      </c>
    </row>
    <row r="2130" spans="1:25" x14ac:dyDescent="0.3">
      <c r="A2130" t="s">
        <v>21</v>
      </c>
      <c r="B2130" t="s">
        <v>5685</v>
      </c>
      <c r="C2130" t="s">
        <v>270</v>
      </c>
      <c r="D2130" t="s">
        <v>5686</v>
      </c>
      <c r="E2130">
        <v>10187</v>
      </c>
      <c r="G2130">
        <v>10.186999999999999</v>
      </c>
      <c r="H2130" t="s">
        <v>2433</v>
      </c>
      <c r="I2130" t="s">
        <v>1343</v>
      </c>
      <c r="J2130" t="s">
        <v>297</v>
      </c>
      <c r="K2130">
        <v>2104</v>
      </c>
      <c r="L2130" t="s">
        <v>276</v>
      </c>
      <c r="M2130" t="s">
        <v>631</v>
      </c>
      <c r="N2130" t="s">
        <v>276</v>
      </c>
      <c r="P2130" t="s">
        <v>260</v>
      </c>
      <c r="Q2130" t="s">
        <v>260</v>
      </c>
      <c r="R2130" t="s">
        <v>283</v>
      </c>
      <c r="S2130" t="s">
        <v>21</v>
      </c>
      <c r="T2130">
        <v>100</v>
      </c>
      <c r="W2130" t="s">
        <v>262</v>
      </c>
      <c r="X2130">
        <v>-37.008299999999998</v>
      </c>
      <c r="Y2130">
        <v>174.87049999999999</v>
      </c>
    </row>
    <row r="2131" spans="1:25" x14ac:dyDescent="0.3">
      <c r="A2131" t="s">
        <v>21</v>
      </c>
      <c r="B2131" t="s">
        <v>5687</v>
      </c>
      <c r="C2131" t="s">
        <v>270</v>
      </c>
      <c r="D2131" t="s">
        <v>5688</v>
      </c>
      <c r="E2131" t="s">
        <v>5688</v>
      </c>
      <c r="M2131" t="s">
        <v>411</v>
      </c>
      <c r="N2131" t="s">
        <v>259</v>
      </c>
      <c r="P2131" t="s">
        <v>260</v>
      </c>
      <c r="Q2131" t="s">
        <v>260</v>
      </c>
      <c r="R2131" t="s">
        <v>283</v>
      </c>
      <c r="S2131" t="s">
        <v>21</v>
      </c>
      <c r="T2131">
        <v>100</v>
      </c>
      <c r="W2131" t="s">
        <v>262</v>
      </c>
    </row>
    <row r="2132" spans="1:25" x14ac:dyDescent="0.3">
      <c r="A2132" t="s">
        <v>21</v>
      </c>
      <c r="B2132" t="s">
        <v>5689</v>
      </c>
      <c r="C2132" t="s">
        <v>270</v>
      </c>
      <c r="D2132" t="s">
        <v>5690</v>
      </c>
      <c r="E2132">
        <v>2000004488</v>
      </c>
      <c r="M2132" t="s">
        <v>631</v>
      </c>
      <c r="N2132" t="s">
        <v>276</v>
      </c>
      <c r="P2132" t="s">
        <v>260</v>
      </c>
      <c r="Q2132" t="s">
        <v>260</v>
      </c>
      <c r="R2132" t="s">
        <v>268</v>
      </c>
      <c r="S2132" t="s">
        <v>21</v>
      </c>
      <c r="T2132">
        <v>100</v>
      </c>
      <c r="W2132" t="s">
        <v>262</v>
      </c>
    </row>
    <row r="2133" spans="1:25" x14ac:dyDescent="0.3">
      <c r="A2133" t="s">
        <v>21</v>
      </c>
      <c r="B2133" t="s">
        <v>5691</v>
      </c>
      <c r="C2133" t="s">
        <v>270</v>
      </c>
      <c r="D2133" t="s">
        <v>5692</v>
      </c>
      <c r="E2133">
        <v>10140</v>
      </c>
      <c r="G2133">
        <v>10.14</v>
      </c>
      <c r="H2133" t="s">
        <v>2433</v>
      </c>
      <c r="I2133" t="s">
        <v>1343</v>
      </c>
      <c r="J2133" t="s">
        <v>297</v>
      </c>
      <c r="K2133">
        <v>2104</v>
      </c>
      <c r="L2133" t="s">
        <v>276</v>
      </c>
      <c r="M2133" t="s">
        <v>631</v>
      </c>
      <c r="N2133" t="s">
        <v>276</v>
      </c>
      <c r="P2133" t="s">
        <v>260</v>
      </c>
      <c r="Q2133" t="s">
        <v>260</v>
      </c>
      <c r="R2133" t="s">
        <v>268</v>
      </c>
      <c r="S2133" t="s">
        <v>21</v>
      </c>
      <c r="T2133">
        <v>100</v>
      </c>
      <c r="W2133" t="s">
        <v>262</v>
      </c>
      <c r="X2133">
        <v>-37.008299999999998</v>
      </c>
      <c r="Y2133">
        <v>174.87049999999999</v>
      </c>
    </row>
    <row r="2134" spans="1:25" x14ac:dyDescent="0.3">
      <c r="A2134" t="s">
        <v>21</v>
      </c>
      <c r="B2134" t="s">
        <v>5693</v>
      </c>
      <c r="C2134" t="s">
        <v>270</v>
      </c>
      <c r="D2134" t="s">
        <v>5694</v>
      </c>
      <c r="E2134">
        <v>10137</v>
      </c>
      <c r="G2134">
        <v>10.137</v>
      </c>
      <c r="H2134" t="s">
        <v>2433</v>
      </c>
      <c r="I2134" t="s">
        <v>1343</v>
      </c>
      <c r="J2134" t="s">
        <v>297</v>
      </c>
      <c r="K2134">
        <v>2104</v>
      </c>
      <c r="L2134" t="s">
        <v>276</v>
      </c>
      <c r="M2134" t="s">
        <v>631</v>
      </c>
      <c r="N2134" t="s">
        <v>276</v>
      </c>
      <c r="P2134" t="s">
        <v>260</v>
      </c>
      <c r="Q2134" t="s">
        <v>260</v>
      </c>
      <c r="R2134" t="s">
        <v>268</v>
      </c>
      <c r="S2134" t="s">
        <v>21</v>
      </c>
      <c r="T2134">
        <v>100</v>
      </c>
      <c r="W2134" t="s">
        <v>262</v>
      </c>
      <c r="X2134">
        <v>-37.008299999999998</v>
      </c>
      <c r="Y2134">
        <v>174.87049999999999</v>
      </c>
    </row>
    <row r="2135" spans="1:25" x14ac:dyDescent="0.3">
      <c r="A2135" t="s">
        <v>21</v>
      </c>
      <c r="B2135" t="s">
        <v>5695</v>
      </c>
      <c r="C2135" t="s">
        <v>270</v>
      </c>
      <c r="D2135" t="s">
        <v>5696</v>
      </c>
      <c r="E2135">
        <v>8101</v>
      </c>
      <c r="H2135" t="s">
        <v>2433</v>
      </c>
      <c r="I2135" t="s">
        <v>1343</v>
      </c>
      <c r="J2135" t="s">
        <v>297</v>
      </c>
      <c r="K2135">
        <v>2104</v>
      </c>
      <c r="L2135" t="s">
        <v>276</v>
      </c>
      <c r="M2135" t="s">
        <v>631</v>
      </c>
      <c r="N2135" t="s">
        <v>276</v>
      </c>
      <c r="P2135" t="s">
        <v>260</v>
      </c>
      <c r="Q2135" t="s">
        <v>260</v>
      </c>
      <c r="R2135" t="s">
        <v>261</v>
      </c>
      <c r="S2135" t="s">
        <v>21</v>
      </c>
      <c r="T2135">
        <v>100</v>
      </c>
      <c r="W2135" t="s">
        <v>262</v>
      </c>
      <c r="X2135">
        <v>-37.008299999999998</v>
      </c>
      <c r="Y2135">
        <v>174.87049999999999</v>
      </c>
    </row>
    <row r="2136" spans="1:25" x14ac:dyDescent="0.3">
      <c r="A2136" t="s">
        <v>21</v>
      </c>
      <c r="B2136" t="s">
        <v>5697</v>
      </c>
      <c r="C2136" t="s">
        <v>270</v>
      </c>
      <c r="D2136" t="s">
        <v>5698</v>
      </c>
      <c r="E2136">
        <v>10138</v>
      </c>
      <c r="G2136">
        <v>10.138</v>
      </c>
      <c r="H2136" t="s">
        <v>2433</v>
      </c>
      <c r="I2136" t="s">
        <v>1343</v>
      </c>
      <c r="J2136" t="s">
        <v>297</v>
      </c>
      <c r="K2136">
        <v>2104</v>
      </c>
      <c r="L2136" t="s">
        <v>276</v>
      </c>
      <c r="M2136" t="s">
        <v>631</v>
      </c>
      <c r="N2136" t="s">
        <v>276</v>
      </c>
      <c r="P2136" t="s">
        <v>260</v>
      </c>
      <c r="Q2136" t="s">
        <v>260</v>
      </c>
      <c r="R2136" t="s">
        <v>268</v>
      </c>
      <c r="S2136" t="s">
        <v>21</v>
      </c>
      <c r="T2136">
        <v>100</v>
      </c>
      <c r="W2136" t="s">
        <v>262</v>
      </c>
      <c r="X2136">
        <v>-37.008299999999998</v>
      </c>
      <c r="Y2136">
        <v>174.87049999999999</v>
      </c>
    </row>
    <row r="2137" spans="1:25" x14ac:dyDescent="0.3">
      <c r="A2137" t="s">
        <v>21</v>
      </c>
      <c r="B2137" t="s">
        <v>5699</v>
      </c>
      <c r="C2137" t="s">
        <v>270</v>
      </c>
      <c r="D2137" t="s">
        <v>5700</v>
      </c>
      <c r="E2137">
        <v>2000004655</v>
      </c>
      <c r="H2137" t="s">
        <v>2433</v>
      </c>
      <c r="I2137" t="s">
        <v>1343</v>
      </c>
      <c r="J2137" t="s">
        <v>297</v>
      </c>
      <c r="K2137">
        <v>2104</v>
      </c>
      <c r="L2137" t="s">
        <v>276</v>
      </c>
      <c r="M2137" t="s">
        <v>631</v>
      </c>
      <c r="N2137" t="s">
        <v>276</v>
      </c>
      <c r="P2137" t="s">
        <v>260</v>
      </c>
      <c r="Q2137" t="s">
        <v>260</v>
      </c>
      <c r="R2137" t="s">
        <v>268</v>
      </c>
      <c r="S2137" t="s">
        <v>21</v>
      </c>
      <c r="T2137">
        <v>100</v>
      </c>
      <c r="W2137" t="s">
        <v>262</v>
      </c>
      <c r="X2137">
        <v>-37.008299999999998</v>
      </c>
      <c r="Y2137">
        <v>174.87049999999999</v>
      </c>
    </row>
    <row r="2138" spans="1:25" x14ac:dyDescent="0.3">
      <c r="A2138" t="s">
        <v>21</v>
      </c>
      <c r="B2138" t="s">
        <v>5701</v>
      </c>
      <c r="C2138" t="s">
        <v>270</v>
      </c>
      <c r="D2138" t="s">
        <v>5702</v>
      </c>
      <c r="E2138">
        <v>66211</v>
      </c>
      <c r="H2138" t="s">
        <v>2433</v>
      </c>
      <c r="I2138" t="s">
        <v>1343</v>
      </c>
      <c r="J2138" t="s">
        <v>297</v>
      </c>
      <c r="K2138">
        <v>2104</v>
      </c>
      <c r="L2138" t="s">
        <v>276</v>
      </c>
      <c r="M2138" t="s">
        <v>631</v>
      </c>
      <c r="N2138" t="s">
        <v>276</v>
      </c>
      <c r="P2138" t="s">
        <v>260</v>
      </c>
      <c r="Q2138" t="s">
        <v>260</v>
      </c>
      <c r="R2138" t="s">
        <v>261</v>
      </c>
      <c r="S2138" t="s">
        <v>21</v>
      </c>
      <c r="T2138">
        <v>100</v>
      </c>
      <c r="W2138" t="s">
        <v>262</v>
      </c>
      <c r="X2138">
        <v>-37.008299999999998</v>
      </c>
      <c r="Y2138">
        <v>174.87049999999999</v>
      </c>
    </row>
    <row r="2139" spans="1:25" x14ac:dyDescent="0.3">
      <c r="A2139" t="s">
        <v>21</v>
      </c>
      <c r="B2139" t="s">
        <v>5703</v>
      </c>
      <c r="C2139" t="s">
        <v>270</v>
      </c>
      <c r="D2139" t="s">
        <v>5704</v>
      </c>
      <c r="E2139">
        <v>66221</v>
      </c>
      <c r="M2139" t="s">
        <v>399</v>
      </c>
      <c r="N2139" t="s">
        <v>276</v>
      </c>
      <c r="P2139" t="s">
        <v>260</v>
      </c>
      <c r="Q2139" t="s">
        <v>260</v>
      </c>
      <c r="R2139" t="s">
        <v>261</v>
      </c>
      <c r="S2139" t="s">
        <v>21</v>
      </c>
      <c r="T2139">
        <v>100</v>
      </c>
      <c r="W2139" t="s">
        <v>262</v>
      </c>
    </row>
    <row r="2140" spans="1:25" x14ac:dyDescent="0.3">
      <c r="A2140" t="s">
        <v>21</v>
      </c>
      <c r="B2140" t="s">
        <v>5705</v>
      </c>
      <c r="C2140" t="s">
        <v>270</v>
      </c>
      <c r="D2140" t="s">
        <v>5706</v>
      </c>
      <c r="E2140">
        <v>10260</v>
      </c>
      <c r="G2140">
        <v>10.26</v>
      </c>
      <c r="H2140" t="s">
        <v>2433</v>
      </c>
      <c r="I2140" t="s">
        <v>1343</v>
      </c>
      <c r="J2140" t="s">
        <v>297</v>
      </c>
      <c r="K2140">
        <v>2104</v>
      </c>
      <c r="L2140" t="s">
        <v>276</v>
      </c>
      <c r="M2140" t="s">
        <v>631</v>
      </c>
      <c r="N2140" t="s">
        <v>276</v>
      </c>
      <c r="P2140" t="s">
        <v>260</v>
      </c>
      <c r="Q2140" t="s">
        <v>260</v>
      </c>
      <c r="R2140" t="s">
        <v>283</v>
      </c>
      <c r="S2140" t="s">
        <v>21</v>
      </c>
      <c r="T2140">
        <v>100</v>
      </c>
      <c r="W2140" t="s">
        <v>262</v>
      </c>
      <c r="X2140">
        <v>-37.008299999999998</v>
      </c>
      <c r="Y2140">
        <v>174.87049999999999</v>
      </c>
    </row>
    <row r="2141" spans="1:25" x14ac:dyDescent="0.3">
      <c r="A2141" t="s">
        <v>21</v>
      </c>
      <c r="B2141" t="s">
        <v>5707</v>
      </c>
      <c r="C2141" t="s">
        <v>270</v>
      </c>
      <c r="D2141" t="s">
        <v>5708</v>
      </c>
      <c r="E2141">
        <v>10264</v>
      </c>
      <c r="G2141">
        <v>10.263999999999999</v>
      </c>
      <c r="H2141" t="s">
        <v>2433</v>
      </c>
      <c r="I2141" t="s">
        <v>1343</v>
      </c>
      <c r="J2141" t="s">
        <v>297</v>
      </c>
      <c r="K2141">
        <v>2104</v>
      </c>
      <c r="L2141" t="s">
        <v>276</v>
      </c>
      <c r="M2141" t="s">
        <v>631</v>
      </c>
      <c r="N2141" t="s">
        <v>276</v>
      </c>
      <c r="P2141" t="s">
        <v>260</v>
      </c>
      <c r="Q2141" t="s">
        <v>260</v>
      </c>
      <c r="R2141" t="s">
        <v>283</v>
      </c>
      <c r="S2141" t="s">
        <v>21</v>
      </c>
      <c r="T2141">
        <v>100</v>
      </c>
      <c r="W2141" t="s">
        <v>262</v>
      </c>
      <c r="X2141">
        <v>-37.008299999999998</v>
      </c>
      <c r="Y2141">
        <v>174.87049999999999</v>
      </c>
    </row>
    <row r="2142" spans="1:25" x14ac:dyDescent="0.3">
      <c r="A2142" t="s">
        <v>21</v>
      </c>
      <c r="B2142" t="s">
        <v>5709</v>
      </c>
      <c r="C2142" t="s">
        <v>270</v>
      </c>
      <c r="D2142" t="s">
        <v>5710</v>
      </c>
      <c r="E2142">
        <v>2000004649</v>
      </c>
      <c r="H2142" t="s">
        <v>2433</v>
      </c>
      <c r="I2142" t="s">
        <v>1343</v>
      </c>
      <c r="J2142" t="s">
        <v>297</v>
      </c>
      <c r="K2142">
        <v>2104</v>
      </c>
      <c r="L2142" t="s">
        <v>276</v>
      </c>
      <c r="M2142" t="s">
        <v>631</v>
      </c>
      <c r="N2142" t="s">
        <v>276</v>
      </c>
      <c r="P2142" t="s">
        <v>260</v>
      </c>
      <c r="Q2142" t="s">
        <v>260</v>
      </c>
      <c r="R2142" t="s">
        <v>268</v>
      </c>
      <c r="S2142" t="s">
        <v>21</v>
      </c>
      <c r="T2142">
        <v>100</v>
      </c>
      <c r="W2142" t="s">
        <v>262</v>
      </c>
      <c r="X2142">
        <v>-37.008299999999998</v>
      </c>
      <c r="Y2142">
        <v>174.87049999999999</v>
      </c>
    </row>
    <row r="2143" spans="1:25" x14ac:dyDescent="0.3">
      <c r="A2143" t="s">
        <v>21</v>
      </c>
      <c r="B2143" t="s">
        <v>5711</v>
      </c>
      <c r="C2143" t="s">
        <v>270</v>
      </c>
      <c r="D2143" t="s">
        <v>5712</v>
      </c>
      <c r="E2143" t="s">
        <v>5712</v>
      </c>
      <c r="F2143" t="s">
        <v>5712</v>
      </c>
      <c r="M2143" t="s">
        <v>411</v>
      </c>
      <c r="N2143" t="s">
        <v>259</v>
      </c>
      <c r="P2143" t="s">
        <v>260</v>
      </c>
      <c r="Q2143" t="s">
        <v>260</v>
      </c>
      <c r="R2143" t="s">
        <v>283</v>
      </c>
      <c r="S2143" t="s">
        <v>21</v>
      </c>
      <c r="T2143">
        <v>100</v>
      </c>
      <c r="W2143" t="s">
        <v>262</v>
      </c>
    </row>
    <row r="2144" spans="1:25" x14ac:dyDescent="0.3">
      <c r="A2144" t="s">
        <v>21</v>
      </c>
      <c r="B2144" t="s">
        <v>5713</v>
      </c>
      <c r="C2144" t="s">
        <v>2464</v>
      </c>
      <c r="D2144" t="s">
        <v>5714</v>
      </c>
      <c r="E2144">
        <v>561400</v>
      </c>
      <c r="G2144" t="s">
        <v>5715</v>
      </c>
      <c r="M2144" t="s">
        <v>385</v>
      </c>
      <c r="N2144" t="s">
        <v>276</v>
      </c>
      <c r="P2144" t="s">
        <v>260</v>
      </c>
      <c r="Q2144" t="s">
        <v>260</v>
      </c>
      <c r="R2144" t="s">
        <v>283</v>
      </c>
      <c r="S2144" t="s">
        <v>21</v>
      </c>
      <c r="T2144">
        <v>100</v>
      </c>
      <c r="W2144" t="s">
        <v>262</v>
      </c>
    </row>
    <row r="2145" spans="1:25" x14ac:dyDescent="0.3">
      <c r="A2145" t="s">
        <v>21</v>
      </c>
      <c r="B2145" t="s">
        <v>5716</v>
      </c>
      <c r="C2145" t="s">
        <v>270</v>
      </c>
      <c r="D2145" t="s">
        <v>5717</v>
      </c>
      <c r="E2145" t="s">
        <v>5717</v>
      </c>
      <c r="M2145" t="s">
        <v>394</v>
      </c>
      <c r="N2145" t="s">
        <v>276</v>
      </c>
      <c r="P2145" t="s">
        <v>260</v>
      </c>
      <c r="Q2145" t="s">
        <v>260</v>
      </c>
      <c r="R2145" t="s">
        <v>283</v>
      </c>
      <c r="S2145" t="s">
        <v>21</v>
      </c>
      <c r="T2145">
        <v>100</v>
      </c>
      <c r="W2145" t="s">
        <v>262</v>
      </c>
    </row>
    <row r="2146" spans="1:25" x14ac:dyDescent="0.3">
      <c r="A2146" t="s">
        <v>21</v>
      </c>
      <c r="B2146" t="s">
        <v>5718</v>
      </c>
      <c r="C2146" t="s">
        <v>1111</v>
      </c>
      <c r="D2146" t="s">
        <v>5719</v>
      </c>
      <c r="E2146">
        <v>556374</v>
      </c>
      <c r="G2146" t="s">
        <v>5720</v>
      </c>
      <c r="M2146" t="s">
        <v>275</v>
      </c>
      <c r="N2146" t="s">
        <v>276</v>
      </c>
      <c r="P2146" t="s">
        <v>260</v>
      </c>
      <c r="Q2146" t="s">
        <v>260</v>
      </c>
      <c r="R2146" t="s">
        <v>261</v>
      </c>
      <c r="S2146" t="s">
        <v>21</v>
      </c>
      <c r="T2146">
        <v>100</v>
      </c>
      <c r="W2146" t="s">
        <v>262</v>
      </c>
    </row>
    <row r="2147" spans="1:25" x14ac:dyDescent="0.3">
      <c r="A2147" t="s">
        <v>21</v>
      </c>
      <c r="B2147" t="s">
        <v>5721</v>
      </c>
      <c r="C2147" t="s">
        <v>270</v>
      </c>
      <c r="D2147" t="s">
        <v>5722</v>
      </c>
      <c r="E2147">
        <v>10191</v>
      </c>
      <c r="G2147">
        <v>10.191000000000001</v>
      </c>
      <c r="H2147" t="s">
        <v>2433</v>
      </c>
      <c r="I2147" t="s">
        <v>1343</v>
      </c>
      <c r="J2147" t="s">
        <v>297</v>
      </c>
      <c r="K2147">
        <v>2104</v>
      </c>
      <c r="L2147" t="s">
        <v>276</v>
      </c>
      <c r="M2147" t="s">
        <v>631</v>
      </c>
      <c r="N2147" t="s">
        <v>276</v>
      </c>
      <c r="P2147" t="s">
        <v>260</v>
      </c>
      <c r="Q2147" t="s">
        <v>260</v>
      </c>
      <c r="R2147" t="s">
        <v>283</v>
      </c>
      <c r="S2147" t="s">
        <v>21</v>
      </c>
      <c r="T2147">
        <v>100</v>
      </c>
      <c r="W2147" t="s">
        <v>262</v>
      </c>
      <c r="X2147">
        <v>-37.008299999999998</v>
      </c>
      <c r="Y2147">
        <v>174.87049999999999</v>
      </c>
    </row>
    <row r="2148" spans="1:25" x14ac:dyDescent="0.3">
      <c r="A2148" t="s">
        <v>21</v>
      </c>
      <c r="B2148" t="s">
        <v>5723</v>
      </c>
      <c r="C2148" t="s">
        <v>270</v>
      </c>
      <c r="D2148" t="s">
        <v>5724</v>
      </c>
      <c r="E2148" t="s">
        <v>5724</v>
      </c>
      <c r="M2148" t="s">
        <v>394</v>
      </c>
      <c r="N2148" t="s">
        <v>276</v>
      </c>
      <c r="P2148" t="s">
        <v>260</v>
      </c>
      <c r="Q2148" t="s">
        <v>260</v>
      </c>
      <c r="R2148" t="s">
        <v>283</v>
      </c>
      <c r="S2148" t="s">
        <v>21</v>
      </c>
      <c r="T2148">
        <v>100</v>
      </c>
      <c r="W2148" t="s">
        <v>262</v>
      </c>
    </row>
    <row r="2149" spans="1:25" x14ac:dyDescent="0.3">
      <c r="A2149" t="s">
        <v>21</v>
      </c>
      <c r="B2149" t="s">
        <v>5725</v>
      </c>
      <c r="C2149" t="s">
        <v>270</v>
      </c>
      <c r="D2149" t="s">
        <v>5726</v>
      </c>
      <c r="E2149" t="s">
        <v>5726</v>
      </c>
      <c r="F2149" t="s">
        <v>5726</v>
      </c>
      <c r="M2149" t="s">
        <v>411</v>
      </c>
      <c r="N2149" t="s">
        <v>259</v>
      </c>
      <c r="P2149" t="s">
        <v>260</v>
      </c>
      <c r="Q2149" t="s">
        <v>260</v>
      </c>
      <c r="R2149" t="s">
        <v>283</v>
      </c>
      <c r="S2149" t="s">
        <v>21</v>
      </c>
      <c r="T2149">
        <v>100</v>
      </c>
      <c r="W2149" t="s">
        <v>262</v>
      </c>
    </row>
    <row r="2150" spans="1:25" x14ac:dyDescent="0.3">
      <c r="A2150" t="s">
        <v>21</v>
      </c>
      <c r="B2150" t="s">
        <v>5727</v>
      </c>
      <c r="C2150" t="s">
        <v>270</v>
      </c>
      <c r="D2150" t="s">
        <v>5728</v>
      </c>
      <c r="E2150" t="s">
        <v>5728</v>
      </c>
      <c r="F2150" t="s">
        <v>5728</v>
      </c>
      <c r="M2150" t="s">
        <v>297</v>
      </c>
      <c r="N2150" t="s">
        <v>276</v>
      </c>
      <c r="P2150" t="s">
        <v>260</v>
      </c>
      <c r="Q2150" t="s">
        <v>260</v>
      </c>
      <c r="R2150" t="s">
        <v>283</v>
      </c>
      <c r="S2150" t="s">
        <v>21</v>
      </c>
      <c r="T2150">
        <v>100</v>
      </c>
      <c r="W2150" t="s">
        <v>262</v>
      </c>
    </row>
    <row r="2151" spans="1:25" x14ac:dyDescent="0.3">
      <c r="A2151" t="s">
        <v>21</v>
      </c>
      <c r="B2151" t="s">
        <v>5729</v>
      </c>
      <c r="C2151" t="s">
        <v>270</v>
      </c>
      <c r="D2151" t="s">
        <v>5730</v>
      </c>
      <c r="E2151" t="s">
        <v>5730</v>
      </c>
      <c r="F2151" t="s">
        <v>5730</v>
      </c>
      <c r="M2151" t="s">
        <v>297</v>
      </c>
      <c r="N2151" t="s">
        <v>276</v>
      </c>
      <c r="P2151" t="s">
        <v>260</v>
      </c>
      <c r="Q2151" t="s">
        <v>260</v>
      </c>
      <c r="R2151" t="s">
        <v>283</v>
      </c>
      <c r="S2151" t="s">
        <v>21</v>
      </c>
      <c r="T2151">
        <v>100</v>
      </c>
      <c r="W2151" t="s">
        <v>262</v>
      </c>
    </row>
    <row r="2152" spans="1:25" x14ac:dyDescent="0.3">
      <c r="A2152" t="s">
        <v>21</v>
      </c>
      <c r="B2152" t="s">
        <v>5731</v>
      </c>
      <c r="C2152" t="s">
        <v>270</v>
      </c>
      <c r="D2152" t="s">
        <v>5732</v>
      </c>
      <c r="E2152" t="s">
        <v>5732</v>
      </c>
      <c r="M2152" t="s">
        <v>394</v>
      </c>
      <c r="N2152" t="s">
        <v>276</v>
      </c>
      <c r="P2152" t="s">
        <v>260</v>
      </c>
      <c r="Q2152" t="s">
        <v>260</v>
      </c>
      <c r="R2152" t="s">
        <v>283</v>
      </c>
      <c r="S2152" t="s">
        <v>21</v>
      </c>
      <c r="T2152">
        <v>100</v>
      </c>
      <c r="W2152" t="s">
        <v>262</v>
      </c>
    </row>
    <row r="2153" spans="1:25" x14ac:dyDescent="0.3">
      <c r="A2153" t="s">
        <v>21</v>
      </c>
      <c r="B2153" t="s">
        <v>5733</v>
      </c>
      <c r="C2153" t="s">
        <v>270</v>
      </c>
      <c r="D2153" t="s">
        <v>5734</v>
      </c>
      <c r="E2153" t="s">
        <v>5734</v>
      </c>
      <c r="M2153" t="s">
        <v>394</v>
      </c>
      <c r="N2153" t="s">
        <v>276</v>
      </c>
      <c r="P2153" t="s">
        <v>260</v>
      </c>
      <c r="Q2153" t="s">
        <v>260</v>
      </c>
      <c r="R2153" t="s">
        <v>283</v>
      </c>
      <c r="S2153" t="s">
        <v>21</v>
      </c>
      <c r="T2153">
        <v>100</v>
      </c>
      <c r="W2153" t="s">
        <v>262</v>
      </c>
    </row>
    <row r="2154" spans="1:25" x14ac:dyDescent="0.3">
      <c r="A2154" t="s">
        <v>21</v>
      </c>
      <c r="B2154" t="s">
        <v>5735</v>
      </c>
      <c r="C2154" t="s">
        <v>270</v>
      </c>
      <c r="D2154" t="s">
        <v>5730</v>
      </c>
      <c r="E2154" t="s">
        <v>5730</v>
      </c>
      <c r="M2154" t="s">
        <v>394</v>
      </c>
      <c r="N2154" t="s">
        <v>276</v>
      </c>
      <c r="P2154" t="s">
        <v>260</v>
      </c>
      <c r="Q2154" t="s">
        <v>260</v>
      </c>
      <c r="R2154" t="s">
        <v>283</v>
      </c>
      <c r="S2154" t="s">
        <v>21</v>
      </c>
      <c r="T2154">
        <v>100</v>
      </c>
      <c r="W2154" t="s">
        <v>262</v>
      </c>
    </row>
    <row r="2155" spans="1:25" x14ac:dyDescent="0.3">
      <c r="A2155" t="s">
        <v>21</v>
      </c>
      <c r="B2155" t="s">
        <v>5736</v>
      </c>
      <c r="C2155" t="s">
        <v>270</v>
      </c>
      <c r="D2155" t="s">
        <v>5737</v>
      </c>
      <c r="E2155" t="s">
        <v>5737</v>
      </c>
      <c r="F2155" t="s">
        <v>5737</v>
      </c>
      <c r="M2155" t="s">
        <v>411</v>
      </c>
      <c r="N2155" t="s">
        <v>259</v>
      </c>
      <c r="P2155" t="s">
        <v>260</v>
      </c>
      <c r="Q2155" t="s">
        <v>260</v>
      </c>
      <c r="R2155" t="s">
        <v>283</v>
      </c>
      <c r="S2155" t="s">
        <v>21</v>
      </c>
      <c r="T2155">
        <v>100</v>
      </c>
      <c r="W2155" t="s">
        <v>262</v>
      </c>
    </row>
    <row r="2156" spans="1:25" x14ac:dyDescent="0.3">
      <c r="A2156" t="s">
        <v>21</v>
      </c>
      <c r="B2156" t="s">
        <v>5738</v>
      </c>
      <c r="C2156" t="s">
        <v>270</v>
      </c>
      <c r="D2156" t="s">
        <v>5739</v>
      </c>
      <c r="E2156" t="s">
        <v>5739</v>
      </c>
      <c r="F2156" t="s">
        <v>5739</v>
      </c>
      <c r="M2156" t="s">
        <v>297</v>
      </c>
      <c r="N2156" t="s">
        <v>276</v>
      </c>
      <c r="P2156" t="s">
        <v>260</v>
      </c>
      <c r="Q2156" t="s">
        <v>260</v>
      </c>
      <c r="R2156" t="s">
        <v>283</v>
      </c>
      <c r="S2156" t="s">
        <v>21</v>
      </c>
      <c r="T2156">
        <v>100</v>
      </c>
      <c r="W2156" t="s">
        <v>262</v>
      </c>
    </row>
    <row r="2157" spans="1:25" x14ac:dyDescent="0.3">
      <c r="A2157" t="s">
        <v>21</v>
      </c>
      <c r="B2157" t="s">
        <v>5740</v>
      </c>
      <c r="C2157" t="s">
        <v>270</v>
      </c>
      <c r="D2157" t="s">
        <v>5741</v>
      </c>
      <c r="E2157">
        <v>10220</v>
      </c>
      <c r="G2157">
        <v>10.220000000000001</v>
      </c>
      <c r="H2157" t="s">
        <v>2433</v>
      </c>
      <c r="I2157" t="s">
        <v>1343</v>
      </c>
      <c r="J2157" t="s">
        <v>297</v>
      </c>
      <c r="K2157">
        <v>2104</v>
      </c>
      <c r="L2157" t="s">
        <v>276</v>
      </c>
      <c r="M2157" t="s">
        <v>631</v>
      </c>
      <c r="N2157" t="s">
        <v>276</v>
      </c>
      <c r="P2157" t="s">
        <v>260</v>
      </c>
      <c r="Q2157" t="s">
        <v>260</v>
      </c>
      <c r="R2157" t="s">
        <v>283</v>
      </c>
      <c r="S2157" t="s">
        <v>21</v>
      </c>
      <c r="T2157">
        <v>100</v>
      </c>
      <c r="W2157" t="s">
        <v>262</v>
      </c>
      <c r="X2157">
        <v>-37.008299999999998</v>
      </c>
      <c r="Y2157">
        <v>174.87049999999999</v>
      </c>
    </row>
    <row r="2158" spans="1:25" x14ac:dyDescent="0.3">
      <c r="A2158" t="s">
        <v>21</v>
      </c>
      <c r="B2158" t="s">
        <v>5742</v>
      </c>
      <c r="C2158" t="s">
        <v>270</v>
      </c>
      <c r="D2158" t="s">
        <v>5743</v>
      </c>
      <c r="E2158">
        <v>10196</v>
      </c>
      <c r="G2158">
        <v>10.196</v>
      </c>
      <c r="H2158" t="s">
        <v>2433</v>
      </c>
      <c r="I2158" t="s">
        <v>1343</v>
      </c>
      <c r="J2158" t="s">
        <v>297</v>
      </c>
      <c r="K2158">
        <v>2104</v>
      </c>
      <c r="L2158" t="s">
        <v>276</v>
      </c>
      <c r="M2158" t="s">
        <v>631</v>
      </c>
      <c r="N2158" t="s">
        <v>276</v>
      </c>
      <c r="P2158" t="s">
        <v>260</v>
      </c>
      <c r="Q2158" t="s">
        <v>260</v>
      </c>
      <c r="R2158" t="s">
        <v>283</v>
      </c>
      <c r="S2158" t="s">
        <v>21</v>
      </c>
      <c r="T2158">
        <v>100</v>
      </c>
      <c r="W2158" t="s">
        <v>262</v>
      </c>
      <c r="X2158">
        <v>-37.008299999999998</v>
      </c>
      <c r="Y2158">
        <v>174.87049999999999</v>
      </c>
    </row>
    <row r="2159" spans="1:25" x14ac:dyDescent="0.3">
      <c r="A2159" t="s">
        <v>21</v>
      </c>
      <c r="B2159" t="s">
        <v>5744</v>
      </c>
      <c r="C2159" t="s">
        <v>270</v>
      </c>
      <c r="D2159" t="s">
        <v>3212</v>
      </c>
      <c r="E2159" t="s">
        <v>3212</v>
      </c>
      <c r="M2159" t="s">
        <v>394</v>
      </c>
      <c r="N2159" t="s">
        <v>276</v>
      </c>
      <c r="P2159" t="s">
        <v>260</v>
      </c>
      <c r="Q2159" t="s">
        <v>260</v>
      </c>
      <c r="R2159" t="s">
        <v>283</v>
      </c>
      <c r="S2159" t="s">
        <v>21</v>
      </c>
      <c r="T2159">
        <v>100</v>
      </c>
      <c r="W2159" t="s">
        <v>262</v>
      </c>
    </row>
    <row r="2160" spans="1:25" x14ac:dyDescent="0.3">
      <c r="A2160" t="s">
        <v>21</v>
      </c>
      <c r="B2160" t="s">
        <v>5745</v>
      </c>
      <c r="C2160" t="s">
        <v>270</v>
      </c>
      <c r="D2160" t="s">
        <v>5746</v>
      </c>
      <c r="E2160">
        <v>56134</v>
      </c>
      <c r="M2160" t="s">
        <v>631</v>
      </c>
      <c r="N2160" t="s">
        <v>276</v>
      </c>
      <c r="P2160" t="s">
        <v>260</v>
      </c>
      <c r="Q2160" t="s">
        <v>260</v>
      </c>
      <c r="R2160" t="s">
        <v>283</v>
      </c>
      <c r="S2160" t="s">
        <v>21</v>
      </c>
      <c r="T2160">
        <v>100</v>
      </c>
      <c r="W2160" t="s">
        <v>262</v>
      </c>
    </row>
    <row r="2161" spans="1:26" x14ac:dyDescent="0.3">
      <c r="A2161" t="s">
        <v>21</v>
      </c>
      <c r="B2161" t="s">
        <v>5747</v>
      </c>
      <c r="C2161" t="s">
        <v>270</v>
      </c>
      <c r="D2161" t="s">
        <v>5748</v>
      </c>
      <c r="E2161">
        <v>1998</v>
      </c>
      <c r="G2161" t="s">
        <v>5749</v>
      </c>
      <c r="H2161" t="s">
        <v>2433</v>
      </c>
      <c r="I2161" t="s">
        <v>1343</v>
      </c>
      <c r="J2161" t="s">
        <v>297</v>
      </c>
      <c r="K2161">
        <v>2104</v>
      </c>
      <c r="L2161" t="s">
        <v>276</v>
      </c>
      <c r="M2161" t="s">
        <v>631</v>
      </c>
      <c r="N2161" t="s">
        <v>276</v>
      </c>
      <c r="P2161" t="s">
        <v>260</v>
      </c>
      <c r="Q2161" t="s">
        <v>260</v>
      </c>
      <c r="R2161" t="s">
        <v>261</v>
      </c>
      <c r="S2161" t="s">
        <v>21</v>
      </c>
      <c r="T2161">
        <v>100</v>
      </c>
      <c r="W2161" t="s">
        <v>262</v>
      </c>
      <c r="X2161">
        <v>-37.008299999999998</v>
      </c>
      <c r="Y2161">
        <v>174.87049999999999</v>
      </c>
    </row>
    <row r="2162" spans="1:26" ht="105" customHeight="1" x14ac:dyDescent="0.3">
      <c r="A2162" t="s">
        <v>21</v>
      </c>
      <c r="B2162" t="s">
        <v>5750</v>
      </c>
      <c r="C2162" t="s">
        <v>289</v>
      </c>
      <c r="D2162" t="s">
        <v>5751</v>
      </c>
      <c r="E2162">
        <v>45004989</v>
      </c>
      <c r="G2162" s="10" t="s">
        <v>5752</v>
      </c>
      <c r="H2162" t="s">
        <v>5753</v>
      </c>
      <c r="I2162" t="s">
        <v>306</v>
      </c>
      <c r="J2162" t="s">
        <v>307</v>
      </c>
      <c r="K2162">
        <v>5000</v>
      </c>
      <c r="M2162" t="s">
        <v>306</v>
      </c>
      <c r="N2162" t="s">
        <v>259</v>
      </c>
      <c r="P2162" t="s">
        <v>260</v>
      </c>
      <c r="Q2162" t="s">
        <v>260</v>
      </c>
      <c r="R2162" t="s">
        <v>268</v>
      </c>
      <c r="S2162" t="s">
        <v>21</v>
      </c>
      <c r="T2162">
        <v>100</v>
      </c>
      <c r="W2162" t="s">
        <v>262</v>
      </c>
    </row>
    <row r="2163" spans="1:26" ht="195" customHeight="1" x14ac:dyDescent="0.3">
      <c r="A2163" t="s">
        <v>21</v>
      </c>
      <c r="B2163" t="s">
        <v>5754</v>
      </c>
      <c r="C2163" t="s">
        <v>270</v>
      </c>
      <c r="D2163" t="s">
        <v>5755</v>
      </c>
      <c r="E2163">
        <v>55163</v>
      </c>
      <c r="G2163" s="10" t="s">
        <v>5756</v>
      </c>
      <c r="M2163" t="s">
        <v>297</v>
      </c>
      <c r="N2163" t="s">
        <v>276</v>
      </c>
      <c r="P2163" t="s">
        <v>260</v>
      </c>
      <c r="Q2163" t="s">
        <v>260</v>
      </c>
      <c r="R2163" t="s">
        <v>261</v>
      </c>
      <c r="S2163" t="s">
        <v>21</v>
      </c>
      <c r="T2163">
        <v>100</v>
      </c>
      <c r="W2163" t="s">
        <v>262</v>
      </c>
    </row>
    <row r="2164" spans="1:26" x14ac:dyDescent="0.3">
      <c r="A2164" t="s">
        <v>21</v>
      </c>
      <c r="B2164" t="s">
        <v>5757</v>
      </c>
      <c r="C2164" t="s">
        <v>270</v>
      </c>
      <c r="D2164" t="s">
        <v>5758</v>
      </c>
      <c r="E2164">
        <v>2000004664</v>
      </c>
      <c r="M2164" t="s">
        <v>631</v>
      </c>
      <c r="N2164" t="s">
        <v>276</v>
      </c>
      <c r="P2164" t="s">
        <v>260</v>
      </c>
      <c r="Q2164" t="s">
        <v>260</v>
      </c>
      <c r="R2164" t="s">
        <v>268</v>
      </c>
      <c r="S2164" t="s">
        <v>21</v>
      </c>
      <c r="T2164">
        <v>100</v>
      </c>
      <c r="W2164" t="s">
        <v>262</v>
      </c>
    </row>
    <row r="2165" spans="1:26" x14ac:dyDescent="0.3">
      <c r="A2165" t="s">
        <v>21</v>
      </c>
      <c r="B2165" t="s">
        <v>5759</v>
      </c>
      <c r="C2165" t="s">
        <v>270</v>
      </c>
      <c r="D2165" t="s">
        <v>5760</v>
      </c>
      <c r="E2165">
        <v>10254</v>
      </c>
      <c r="G2165">
        <v>10.254</v>
      </c>
      <c r="H2165" t="s">
        <v>2433</v>
      </c>
      <c r="I2165" t="s">
        <v>1343</v>
      </c>
      <c r="J2165" t="s">
        <v>297</v>
      </c>
      <c r="K2165">
        <v>2104</v>
      </c>
      <c r="L2165" t="s">
        <v>276</v>
      </c>
      <c r="M2165" t="s">
        <v>631</v>
      </c>
      <c r="N2165" t="s">
        <v>276</v>
      </c>
      <c r="P2165" t="s">
        <v>260</v>
      </c>
      <c r="Q2165" t="s">
        <v>260</v>
      </c>
      <c r="R2165" t="s">
        <v>283</v>
      </c>
      <c r="S2165" t="s">
        <v>21</v>
      </c>
      <c r="T2165">
        <v>100</v>
      </c>
      <c r="W2165" t="s">
        <v>262</v>
      </c>
      <c r="X2165">
        <v>-37.008299999999998</v>
      </c>
      <c r="Y2165">
        <v>174.87049999999999</v>
      </c>
    </row>
    <row r="2166" spans="1:26" x14ac:dyDescent="0.3">
      <c r="A2166" t="s">
        <v>21</v>
      </c>
      <c r="B2166" t="s">
        <v>5761</v>
      </c>
      <c r="C2166" t="s">
        <v>270</v>
      </c>
      <c r="D2166" t="s">
        <v>5762</v>
      </c>
      <c r="E2166">
        <v>313200</v>
      </c>
      <c r="M2166" t="s">
        <v>631</v>
      </c>
      <c r="N2166" t="s">
        <v>276</v>
      </c>
      <c r="P2166" t="s">
        <v>260</v>
      </c>
      <c r="Q2166" t="s">
        <v>260</v>
      </c>
      <c r="R2166" t="s">
        <v>261</v>
      </c>
      <c r="S2166" t="s">
        <v>21</v>
      </c>
      <c r="T2166">
        <v>100</v>
      </c>
      <c r="W2166" t="s">
        <v>262</v>
      </c>
    </row>
    <row r="2167" spans="1:26" x14ac:dyDescent="0.3">
      <c r="A2167" t="s">
        <v>21</v>
      </c>
      <c r="B2167" t="s">
        <v>5763</v>
      </c>
      <c r="C2167" t="s">
        <v>270</v>
      </c>
      <c r="D2167" t="s">
        <v>5764</v>
      </c>
      <c r="E2167">
        <v>9043</v>
      </c>
      <c r="H2167" t="s">
        <v>2433</v>
      </c>
      <c r="I2167" t="s">
        <v>1343</v>
      </c>
      <c r="J2167" t="s">
        <v>297</v>
      </c>
      <c r="K2167">
        <v>2104</v>
      </c>
      <c r="L2167" t="s">
        <v>276</v>
      </c>
      <c r="M2167" t="s">
        <v>631</v>
      </c>
      <c r="N2167" t="s">
        <v>276</v>
      </c>
      <c r="P2167" t="s">
        <v>260</v>
      </c>
      <c r="Q2167" t="s">
        <v>260</v>
      </c>
      <c r="R2167" t="s">
        <v>293</v>
      </c>
      <c r="S2167" t="s">
        <v>21</v>
      </c>
      <c r="T2167">
        <v>100</v>
      </c>
      <c r="W2167" t="s">
        <v>262</v>
      </c>
      <c r="X2167">
        <v>-37.008299999999998</v>
      </c>
      <c r="Y2167">
        <v>174.87049999999999</v>
      </c>
    </row>
    <row r="2168" spans="1:26" x14ac:dyDescent="0.3">
      <c r="A2168" t="s">
        <v>21</v>
      </c>
      <c r="B2168" t="s">
        <v>5765</v>
      </c>
      <c r="C2168" t="s">
        <v>270</v>
      </c>
      <c r="D2168" t="s">
        <v>5766</v>
      </c>
      <c r="E2168" t="s">
        <v>5766</v>
      </c>
      <c r="F2168" t="s">
        <v>5766</v>
      </c>
      <c r="M2168" t="s">
        <v>297</v>
      </c>
      <c r="N2168" t="s">
        <v>276</v>
      </c>
      <c r="P2168" t="s">
        <v>260</v>
      </c>
      <c r="Q2168" t="s">
        <v>260</v>
      </c>
      <c r="R2168" t="s">
        <v>283</v>
      </c>
      <c r="S2168" t="s">
        <v>21</v>
      </c>
      <c r="T2168">
        <v>100</v>
      </c>
      <c r="W2168" t="s">
        <v>262</v>
      </c>
    </row>
    <row r="2169" spans="1:26" x14ac:dyDescent="0.3">
      <c r="A2169" t="s">
        <v>21</v>
      </c>
      <c r="B2169" t="s">
        <v>5767</v>
      </c>
      <c r="C2169" t="s">
        <v>270</v>
      </c>
      <c r="D2169" t="s">
        <v>756</v>
      </c>
      <c r="E2169">
        <v>55574</v>
      </c>
      <c r="H2169" t="s">
        <v>757</v>
      </c>
      <c r="I2169" t="s">
        <v>758</v>
      </c>
      <c r="J2169" t="s">
        <v>758</v>
      </c>
      <c r="K2169">
        <v>4332</v>
      </c>
      <c r="L2169" t="s">
        <v>276</v>
      </c>
      <c r="M2169" t="s">
        <v>759</v>
      </c>
      <c r="N2169" t="s">
        <v>276</v>
      </c>
      <c r="P2169" t="s">
        <v>260</v>
      </c>
      <c r="Q2169" t="s">
        <v>260</v>
      </c>
      <c r="R2169" t="s">
        <v>261</v>
      </c>
      <c r="S2169" t="s">
        <v>21</v>
      </c>
      <c r="T2169">
        <v>100</v>
      </c>
      <c r="W2169" t="s">
        <v>262</v>
      </c>
      <c r="X2169">
        <v>-39.349299999999999</v>
      </c>
      <c r="Y2169">
        <v>174.29179999999999</v>
      </c>
    </row>
    <row r="2170" spans="1:26" x14ac:dyDescent="0.3">
      <c r="A2170" t="s">
        <v>21</v>
      </c>
      <c r="B2170" t="s">
        <v>5768</v>
      </c>
      <c r="C2170" t="s">
        <v>270</v>
      </c>
      <c r="D2170" t="s">
        <v>5769</v>
      </c>
      <c r="E2170">
        <v>66203</v>
      </c>
      <c r="H2170" t="s">
        <v>2433</v>
      </c>
      <c r="I2170" t="s">
        <v>1343</v>
      </c>
      <c r="J2170" t="s">
        <v>297</v>
      </c>
      <c r="K2170">
        <v>2104</v>
      </c>
      <c r="L2170" t="s">
        <v>276</v>
      </c>
      <c r="M2170" t="s">
        <v>631</v>
      </c>
      <c r="N2170" t="s">
        <v>276</v>
      </c>
      <c r="P2170" t="s">
        <v>260</v>
      </c>
      <c r="Q2170" t="s">
        <v>260</v>
      </c>
      <c r="R2170" t="s">
        <v>261</v>
      </c>
      <c r="S2170" t="s">
        <v>21</v>
      </c>
      <c r="T2170">
        <v>100</v>
      </c>
      <c r="W2170" t="s">
        <v>262</v>
      </c>
      <c r="X2170">
        <v>-37.008299999999998</v>
      </c>
      <c r="Y2170">
        <v>174.87049999999999</v>
      </c>
    </row>
    <row r="2171" spans="1:26" x14ac:dyDescent="0.3">
      <c r="A2171" t="s">
        <v>21</v>
      </c>
      <c r="B2171" t="s">
        <v>5770</v>
      </c>
      <c r="C2171" t="s">
        <v>270</v>
      </c>
      <c r="D2171" t="s">
        <v>5771</v>
      </c>
      <c r="E2171">
        <v>1516</v>
      </c>
      <c r="H2171" t="s">
        <v>2433</v>
      </c>
      <c r="I2171" t="s">
        <v>1343</v>
      </c>
      <c r="J2171" t="s">
        <v>297</v>
      </c>
      <c r="K2171">
        <v>2104</v>
      </c>
      <c r="L2171" t="s">
        <v>276</v>
      </c>
      <c r="M2171" t="s">
        <v>631</v>
      </c>
      <c r="N2171" t="s">
        <v>276</v>
      </c>
      <c r="P2171" t="s">
        <v>260</v>
      </c>
      <c r="Q2171" t="s">
        <v>260</v>
      </c>
      <c r="R2171" t="s">
        <v>283</v>
      </c>
      <c r="S2171" t="s">
        <v>21</v>
      </c>
      <c r="T2171">
        <v>100</v>
      </c>
      <c r="W2171" t="s">
        <v>262</v>
      </c>
      <c r="X2171">
        <v>-37.008299999999998</v>
      </c>
      <c r="Y2171">
        <v>174.87049999999999</v>
      </c>
    </row>
    <row r="2172" spans="1:26" x14ac:dyDescent="0.3">
      <c r="A2172" t="s">
        <v>21</v>
      </c>
      <c r="B2172" t="s">
        <v>5772</v>
      </c>
      <c r="C2172" t="s">
        <v>278</v>
      </c>
      <c r="D2172" t="s">
        <v>5773</v>
      </c>
      <c r="E2172">
        <v>553712</v>
      </c>
      <c r="M2172" t="s">
        <v>297</v>
      </c>
      <c r="N2172" t="s">
        <v>276</v>
      </c>
      <c r="P2172" t="s">
        <v>260</v>
      </c>
      <c r="Q2172" t="s">
        <v>260</v>
      </c>
      <c r="R2172" t="s">
        <v>261</v>
      </c>
      <c r="S2172" t="s">
        <v>21</v>
      </c>
      <c r="T2172">
        <v>100</v>
      </c>
      <c r="W2172" t="s">
        <v>262</v>
      </c>
    </row>
    <row r="2173" spans="1:26" x14ac:dyDescent="0.3">
      <c r="A2173" t="s">
        <v>21</v>
      </c>
      <c r="B2173" t="s">
        <v>5774</v>
      </c>
      <c r="C2173" t="s">
        <v>299</v>
      </c>
      <c r="D2173" t="s">
        <v>5775</v>
      </c>
      <c r="E2173">
        <v>17021267</v>
      </c>
      <c r="H2173" t="s">
        <v>5776</v>
      </c>
      <c r="I2173" t="s">
        <v>5777</v>
      </c>
      <c r="J2173" t="s">
        <v>307</v>
      </c>
      <c r="M2173" t="s">
        <v>5777</v>
      </c>
      <c r="N2173" t="s">
        <v>259</v>
      </c>
      <c r="P2173" t="s">
        <v>260</v>
      </c>
      <c r="Q2173" t="s">
        <v>260</v>
      </c>
      <c r="R2173" t="s">
        <v>261</v>
      </c>
      <c r="S2173" t="s">
        <v>21</v>
      </c>
      <c r="T2173">
        <v>100</v>
      </c>
      <c r="W2173" t="s">
        <v>262</v>
      </c>
    </row>
    <row r="2174" spans="1:26" ht="409.5" customHeight="1" x14ac:dyDescent="0.3">
      <c r="A2174" t="s">
        <v>21</v>
      </c>
      <c r="B2174" t="s">
        <v>5778</v>
      </c>
      <c r="C2174" t="s">
        <v>439</v>
      </c>
      <c r="D2174" t="s">
        <v>5779</v>
      </c>
      <c r="E2174" t="s">
        <v>5780</v>
      </c>
      <c r="G2174" s="10" t="s">
        <v>5781</v>
      </c>
      <c r="H2174" t="s">
        <v>318</v>
      </c>
      <c r="I2174" t="s">
        <v>318</v>
      </c>
      <c r="J2174" t="s">
        <v>318</v>
      </c>
      <c r="M2174" t="s">
        <v>302</v>
      </c>
      <c r="N2174" t="s">
        <v>259</v>
      </c>
      <c r="P2174" t="s">
        <v>260</v>
      </c>
      <c r="Q2174" t="s">
        <v>260</v>
      </c>
      <c r="R2174" t="s">
        <v>283</v>
      </c>
      <c r="S2174" t="s">
        <v>21</v>
      </c>
      <c r="T2174">
        <v>100</v>
      </c>
      <c r="W2174" t="s">
        <v>262</v>
      </c>
      <c r="X2174">
        <v>-27.494706999999998</v>
      </c>
      <c r="Y2174">
        <v>153.003986</v>
      </c>
      <c r="Z2174">
        <v>310</v>
      </c>
    </row>
    <row r="2175" spans="1:26" x14ac:dyDescent="0.3">
      <c r="A2175" t="s">
        <v>21</v>
      </c>
      <c r="B2175" t="s">
        <v>5782</v>
      </c>
      <c r="C2175" t="s">
        <v>270</v>
      </c>
      <c r="D2175" t="s">
        <v>5783</v>
      </c>
      <c r="E2175" t="s">
        <v>5783</v>
      </c>
      <c r="M2175" t="s">
        <v>411</v>
      </c>
      <c r="N2175" t="s">
        <v>259</v>
      </c>
      <c r="P2175" t="s">
        <v>260</v>
      </c>
      <c r="Q2175" t="s">
        <v>260</v>
      </c>
      <c r="R2175" t="s">
        <v>283</v>
      </c>
      <c r="S2175" t="s">
        <v>21</v>
      </c>
      <c r="T2175">
        <v>100</v>
      </c>
      <c r="W2175" t="s">
        <v>262</v>
      </c>
    </row>
    <row r="2176" spans="1:26" x14ac:dyDescent="0.3">
      <c r="A2176" t="s">
        <v>21</v>
      </c>
      <c r="B2176" t="s">
        <v>5784</v>
      </c>
      <c r="C2176" t="s">
        <v>299</v>
      </c>
      <c r="D2176" t="s">
        <v>5785</v>
      </c>
      <c r="E2176">
        <v>7008</v>
      </c>
      <c r="G2176" t="s">
        <v>5786</v>
      </c>
      <c r="H2176" t="s">
        <v>5787</v>
      </c>
      <c r="I2176" t="s">
        <v>5786</v>
      </c>
      <c r="J2176" t="s">
        <v>335</v>
      </c>
      <c r="K2176">
        <v>3429</v>
      </c>
      <c r="L2176" t="s">
        <v>259</v>
      </c>
      <c r="M2176" t="s">
        <v>5786</v>
      </c>
      <c r="N2176" t="s">
        <v>259</v>
      </c>
      <c r="P2176" t="s">
        <v>260</v>
      </c>
      <c r="Q2176" t="s">
        <v>260</v>
      </c>
      <c r="R2176" t="s">
        <v>283</v>
      </c>
      <c r="S2176" t="s">
        <v>21</v>
      </c>
      <c r="T2176">
        <v>100</v>
      </c>
      <c r="W2176" t="s">
        <v>262</v>
      </c>
      <c r="X2176">
        <v>-37.595543999999997</v>
      </c>
      <c r="Y2176">
        <v>144.738472</v>
      </c>
      <c r="Z2176">
        <v>281</v>
      </c>
    </row>
    <row r="2177" spans="1:25" x14ac:dyDescent="0.3">
      <c r="A2177" t="s">
        <v>21</v>
      </c>
      <c r="B2177" t="s">
        <v>5788</v>
      </c>
      <c r="C2177" t="s">
        <v>270</v>
      </c>
      <c r="M2177" t="s">
        <v>297</v>
      </c>
      <c r="N2177" t="s">
        <v>276</v>
      </c>
      <c r="P2177" t="s">
        <v>260</v>
      </c>
      <c r="Q2177" t="s">
        <v>260</v>
      </c>
      <c r="R2177" t="s">
        <v>313</v>
      </c>
      <c r="S2177" t="s">
        <v>21</v>
      </c>
      <c r="T2177">
        <v>100</v>
      </c>
      <c r="W2177" t="s">
        <v>262</v>
      </c>
    </row>
    <row r="2178" spans="1:25" x14ac:dyDescent="0.3">
      <c r="A2178" t="s">
        <v>21</v>
      </c>
      <c r="B2178" t="s">
        <v>5789</v>
      </c>
      <c r="C2178" t="s">
        <v>2464</v>
      </c>
      <c r="D2178" t="s">
        <v>5790</v>
      </c>
      <c r="E2178">
        <v>3776003101</v>
      </c>
      <c r="G2178" t="s">
        <v>5791</v>
      </c>
      <c r="M2178" t="s">
        <v>302</v>
      </c>
      <c r="N2178" t="s">
        <v>259</v>
      </c>
      <c r="P2178" t="s">
        <v>260</v>
      </c>
      <c r="Q2178" t="s">
        <v>260</v>
      </c>
      <c r="R2178" t="s">
        <v>283</v>
      </c>
      <c r="S2178" t="s">
        <v>21</v>
      </c>
      <c r="T2178">
        <v>100</v>
      </c>
      <c r="W2178" t="s">
        <v>262</v>
      </c>
    </row>
    <row r="2179" spans="1:25" x14ac:dyDescent="0.3">
      <c r="A2179" t="s">
        <v>21</v>
      </c>
      <c r="B2179" t="s">
        <v>5792</v>
      </c>
      <c r="C2179" t="s">
        <v>270</v>
      </c>
      <c r="D2179" t="s">
        <v>5793</v>
      </c>
      <c r="E2179">
        <v>2000005158</v>
      </c>
      <c r="H2179" t="s">
        <v>2433</v>
      </c>
      <c r="I2179" t="s">
        <v>1343</v>
      </c>
      <c r="J2179" t="s">
        <v>297</v>
      </c>
      <c r="K2179">
        <v>2104</v>
      </c>
      <c r="L2179" t="s">
        <v>276</v>
      </c>
      <c r="M2179" t="s">
        <v>631</v>
      </c>
      <c r="N2179" t="s">
        <v>276</v>
      </c>
      <c r="P2179" t="s">
        <v>260</v>
      </c>
      <c r="Q2179" t="s">
        <v>260</v>
      </c>
      <c r="R2179" t="s">
        <v>268</v>
      </c>
      <c r="S2179" t="s">
        <v>21</v>
      </c>
      <c r="T2179">
        <v>100</v>
      </c>
      <c r="W2179" t="s">
        <v>262</v>
      </c>
      <c r="X2179">
        <v>-37.008299999999998</v>
      </c>
      <c r="Y2179">
        <v>174.87049999999999</v>
      </c>
    </row>
    <row r="2180" spans="1:25" x14ac:dyDescent="0.3">
      <c r="A2180" t="s">
        <v>21</v>
      </c>
      <c r="B2180" t="s">
        <v>5794</v>
      </c>
      <c r="C2180" t="s">
        <v>270</v>
      </c>
      <c r="D2180" t="s">
        <v>5795</v>
      </c>
      <c r="E2180">
        <v>2000005156</v>
      </c>
      <c r="H2180" t="s">
        <v>2433</v>
      </c>
      <c r="I2180" t="s">
        <v>1343</v>
      </c>
      <c r="J2180" t="s">
        <v>297</v>
      </c>
      <c r="K2180">
        <v>2104</v>
      </c>
      <c r="L2180" t="s">
        <v>276</v>
      </c>
      <c r="M2180" t="s">
        <v>631</v>
      </c>
      <c r="N2180" t="s">
        <v>276</v>
      </c>
      <c r="P2180" t="s">
        <v>260</v>
      </c>
      <c r="Q2180" t="s">
        <v>260</v>
      </c>
      <c r="R2180" t="s">
        <v>268</v>
      </c>
      <c r="S2180" t="s">
        <v>21</v>
      </c>
      <c r="T2180">
        <v>100</v>
      </c>
      <c r="W2180" t="s">
        <v>262</v>
      </c>
      <c r="X2180">
        <v>-37.008299999999998</v>
      </c>
      <c r="Y2180">
        <v>174.87049999999999</v>
      </c>
    </row>
    <row r="2181" spans="1:25" x14ac:dyDescent="0.3">
      <c r="A2181" t="s">
        <v>21</v>
      </c>
      <c r="B2181" t="s">
        <v>5796</v>
      </c>
      <c r="C2181" t="s">
        <v>270</v>
      </c>
      <c r="D2181" t="s">
        <v>5797</v>
      </c>
      <c r="E2181">
        <v>559614</v>
      </c>
      <c r="M2181" t="s">
        <v>297</v>
      </c>
      <c r="N2181" t="s">
        <v>276</v>
      </c>
      <c r="P2181" t="s">
        <v>260</v>
      </c>
      <c r="Q2181" t="s">
        <v>260</v>
      </c>
      <c r="R2181" t="s">
        <v>261</v>
      </c>
      <c r="S2181" t="s">
        <v>21</v>
      </c>
      <c r="T2181">
        <v>100</v>
      </c>
      <c r="W2181" t="s">
        <v>262</v>
      </c>
    </row>
    <row r="2182" spans="1:25" x14ac:dyDescent="0.3">
      <c r="A2182" t="s">
        <v>21</v>
      </c>
      <c r="B2182" t="s">
        <v>5798</v>
      </c>
      <c r="C2182" t="s">
        <v>270</v>
      </c>
      <c r="D2182" t="s">
        <v>5799</v>
      </c>
      <c r="E2182" t="s">
        <v>5799</v>
      </c>
      <c r="M2182" t="s">
        <v>411</v>
      </c>
      <c r="N2182" t="s">
        <v>259</v>
      </c>
      <c r="P2182" t="s">
        <v>260</v>
      </c>
      <c r="Q2182" t="s">
        <v>260</v>
      </c>
      <c r="R2182" t="s">
        <v>283</v>
      </c>
      <c r="S2182" t="s">
        <v>21</v>
      </c>
      <c r="T2182">
        <v>100</v>
      </c>
      <c r="W2182" t="s">
        <v>262</v>
      </c>
    </row>
    <row r="2183" spans="1:25" x14ac:dyDescent="0.3">
      <c r="A2183" t="s">
        <v>21</v>
      </c>
      <c r="B2183" t="s">
        <v>5800</v>
      </c>
      <c r="C2183" t="s">
        <v>270</v>
      </c>
      <c r="D2183" t="s">
        <v>5801</v>
      </c>
      <c r="E2183" t="s">
        <v>5801</v>
      </c>
      <c r="M2183" t="s">
        <v>411</v>
      </c>
      <c r="N2183" t="s">
        <v>259</v>
      </c>
      <c r="P2183" t="s">
        <v>260</v>
      </c>
      <c r="Q2183" t="s">
        <v>260</v>
      </c>
      <c r="R2183" t="s">
        <v>283</v>
      </c>
      <c r="S2183" t="s">
        <v>21</v>
      </c>
      <c r="T2183">
        <v>100</v>
      </c>
      <c r="W2183" t="s">
        <v>262</v>
      </c>
    </row>
    <row r="2184" spans="1:25" x14ac:dyDescent="0.3">
      <c r="A2184" t="s">
        <v>21</v>
      </c>
      <c r="B2184" t="s">
        <v>5802</v>
      </c>
      <c r="C2184" t="s">
        <v>270</v>
      </c>
      <c r="D2184" t="s">
        <v>5803</v>
      </c>
      <c r="E2184" t="s">
        <v>5803</v>
      </c>
      <c r="F2184" t="s">
        <v>5803</v>
      </c>
      <c r="M2184" t="s">
        <v>411</v>
      </c>
      <c r="N2184" t="s">
        <v>259</v>
      </c>
      <c r="P2184" t="s">
        <v>260</v>
      </c>
      <c r="Q2184" t="s">
        <v>260</v>
      </c>
      <c r="R2184" t="s">
        <v>283</v>
      </c>
      <c r="S2184" t="s">
        <v>21</v>
      </c>
      <c r="T2184">
        <v>100</v>
      </c>
      <c r="W2184" t="s">
        <v>262</v>
      </c>
    </row>
    <row r="2185" spans="1:25" x14ac:dyDescent="0.3">
      <c r="A2185" t="s">
        <v>21</v>
      </c>
      <c r="B2185" t="s">
        <v>5804</v>
      </c>
      <c r="C2185" t="s">
        <v>270</v>
      </c>
      <c r="D2185" t="s">
        <v>5438</v>
      </c>
      <c r="E2185" t="s">
        <v>5438</v>
      </c>
      <c r="M2185" t="s">
        <v>411</v>
      </c>
      <c r="N2185" t="s">
        <v>259</v>
      </c>
      <c r="P2185" t="s">
        <v>260</v>
      </c>
      <c r="Q2185" t="s">
        <v>260</v>
      </c>
      <c r="R2185" t="s">
        <v>261</v>
      </c>
      <c r="S2185" t="s">
        <v>21</v>
      </c>
      <c r="T2185">
        <v>100</v>
      </c>
      <c r="W2185" t="s">
        <v>262</v>
      </c>
    </row>
    <row r="2186" spans="1:25" x14ac:dyDescent="0.3">
      <c r="A2186" t="s">
        <v>21</v>
      </c>
      <c r="B2186" t="s">
        <v>5805</v>
      </c>
      <c r="C2186" t="s">
        <v>270</v>
      </c>
      <c r="D2186" t="s">
        <v>5806</v>
      </c>
      <c r="E2186" t="s">
        <v>5806</v>
      </c>
      <c r="M2186" t="s">
        <v>411</v>
      </c>
      <c r="N2186" t="s">
        <v>259</v>
      </c>
      <c r="P2186" t="s">
        <v>260</v>
      </c>
      <c r="Q2186" t="s">
        <v>260</v>
      </c>
      <c r="R2186" t="s">
        <v>261</v>
      </c>
      <c r="S2186" t="s">
        <v>21</v>
      </c>
      <c r="T2186">
        <v>100</v>
      </c>
      <c r="W2186" t="s">
        <v>262</v>
      </c>
    </row>
    <row r="2187" spans="1:25" x14ac:dyDescent="0.3">
      <c r="A2187" t="s">
        <v>21</v>
      </c>
      <c r="B2187" t="s">
        <v>5807</v>
      </c>
      <c r="C2187" t="s">
        <v>270</v>
      </c>
      <c r="D2187" t="s">
        <v>5808</v>
      </c>
      <c r="E2187" t="s">
        <v>5808</v>
      </c>
      <c r="M2187" t="s">
        <v>411</v>
      </c>
      <c r="N2187" t="s">
        <v>259</v>
      </c>
      <c r="P2187" t="s">
        <v>260</v>
      </c>
      <c r="Q2187" t="s">
        <v>260</v>
      </c>
      <c r="R2187" t="s">
        <v>261</v>
      </c>
      <c r="S2187" t="s">
        <v>21</v>
      </c>
      <c r="T2187">
        <v>100</v>
      </c>
      <c r="W2187" t="s">
        <v>262</v>
      </c>
    </row>
    <row r="2188" spans="1:25" x14ac:dyDescent="0.3">
      <c r="A2188" t="s">
        <v>21</v>
      </c>
      <c r="B2188" t="s">
        <v>5809</v>
      </c>
      <c r="C2188" t="s">
        <v>270</v>
      </c>
      <c r="D2188" t="s">
        <v>5810</v>
      </c>
      <c r="E2188" t="s">
        <v>5810</v>
      </c>
      <c r="M2188" t="s">
        <v>411</v>
      </c>
      <c r="N2188" t="s">
        <v>259</v>
      </c>
      <c r="P2188" t="s">
        <v>260</v>
      </c>
      <c r="Q2188" t="s">
        <v>260</v>
      </c>
      <c r="R2188" t="s">
        <v>261</v>
      </c>
      <c r="S2188" t="s">
        <v>21</v>
      </c>
      <c r="T2188">
        <v>100</v>
      </c>
      <c r="W2188" t="s">
        <v>262</v>
      </c>
    </row>
    <row r="2189" spans="1:25" x14ac:dyDescent="0.3">
      <c r="A2189" t="s">
        <v>21</v>
      </c>
      <c r="B2189" t="s">
        <v>5811</v>
      </c>
      <c r="C2189" t="s">
        <v>270</v>
      </c>
      <c r="D2189" t="s">
        <v>3158</v>
      </c>
      <c r="E2189" t="s">
        <v>3158</v>
      </c>
      <c r="M2189" t="s">
        <v>411</v>
      </c>
      <c r="N2189" t="s">
        <v>259</v>
      </c>
      <c r="P2189" t="s">
        <v>260</v>
      </c>
      <c r="Q2189" t="s">
        <v>260</v>
      </c>
      <c r="R2189" t="s">
        <v>261</v>
      </c>
      <c r="S2189" t="s">
        <v>21</v>
      </c>
      <c r="T2189">
        <v>100</v>
      </c>
      <c r="W2189" t="s">
        <v>262</v>
      </c>
    </row>
    <row r="2190" spans="1:25" x14ac:dyDescent="0.3">
      <c r="A2190" t="s">
        <v>21</v>
      </c>
      <c r="B2190" t="s">
        <v>5812</v>
      </c>
      <c r="C2190" t="s">
        <v>270</v>
      </c>
      <c r="D2190" t="s">
        <v>5813</v>
      </c>
      <c r="E2190">
        <v>57972</v>
      </c>
      <c r="M2190" t="s">
        <v>297</v>
      </c>
      <c r="N2190" t="s">
        <v>276</v>
      </c>
      <c r="P2190" t="s">
        <v>260</v>
      </c>
      <c r="Q2190" t="s">
        <v>260</v>
      </c>
      <c r="R2190" t="s">
        <v>261</v>
      </c>
      <c r="S2190" t="s">
        <v>21</v>
      </c>
      <c r="T2190">
        <v>100</v>
      </c>
      <c r="W2190" t="s">
        <v>262</v>
      </c>
    </row>
    <row r="2191" spans="1:25" x14ac:dyDescent="0.3">
      <c r="A2191" t="s">
        <v>21</v>
      </c>
      <c r="B2191" t="s">
        <v>5814</v>
      </c>
      <c r="C2191" t="s">
        <v>387</v>
      </c>
      <c r="D2191" t="s">
        <v>5815</v>
      </c>
      <c r="E2191">
        <v>170712</v>
      </c>
      <c r="M2191" t="s">
        <v>411</v>
      </c>
      <c r="N2191" t="s">
        <v>259</v>
      </c>
      <c r="P2191" t="s">
        <v>260</v>
      </c>
      <c r="Q2191" t="s">
        <v>260</v>
      </c>
      <c r="R2191" t="s">
        <v>261</v>
      </c>
      <c r="S2191" t="s">
        <v>21</v>
      </c>
      <c r="T2191">
        <v>100</v>
      </c>
      <c r="W2191" t="s">
        <v>262</v>
      </c>
    </row>
    <row r="2192" spans="1:25" x14ac:dyDescent="0.3">
      <c r="A2192" t="s">
        <v>21</v>
      </c>
      <c r="B2192" t="s">
        <v>5816</v>
      </c>
      <c r="C2192" t="s">
        <v>270</v>
      </c>
      <c r="D2192" t="s">
        <v>5817</v>
      </c>
      <c r="E2192">
        <v>57965</v>
      </c>
      <c r="F2192">
        <v>57965</v>
      </c>
      <c r="M2192" t="s">
        <v>297</v>
      </c>
      <c r="N2192" t="s">
        <v>276</v>
      </c>
      <c r="P2192" t="s">
        <v>260</v>
      </c>
      <c r="Q2192" t="s">
        <v>260</v>
      </c>
      <c r="R2192" t="s">
        <v>261</v>
      </c>
      <c r="S2192" t="s">
        <v>21</v>
      </c>
      <c r="T2192">
        <v>100</v>
      </c>
      <c r="W2192" t="s">
        <v>262</v>
      </c>
    </row>
    <row r="2193" spans="1:26" x14ac:dyDescent="0.3">
      <c r="A2193" t="s">
        <v>21</v>
      </c>
      <c r="B2193" t="s">
        <v>5818</v>
      </c>
      <c r="C2193" t="s">
        <v>270</v>
      </c>
      <c r="D2193" t="s">
        <v>5819</v>
      </c>
      <c r="E2193">
        <v>57950</v>
      </c>
      <c r="M2193" t="s">
        <v>297</v>
      </c>
      <c r="N2193" t="s">
        <v>276</v>
      </c>
      <c r="P2193" t="s">
        <v>260</v>
      </c>
      <c r="Q2193" t="s">
        <v>260</v>
      </c>
      <c r="R2193" t="s">
        <v>261</v>
      </c>
      <c r="S2193" t="s">
        <v>21</v>
      </c>
      <c r="T2193">
        <v>100</v>
      </c>
      <c r="W2193" t="s">
        <v>262</v>
      </c>
    </row>
    <row r="2194" spans="1:26" x14ac:dyDescent="0.3">
      <c r="A2194" t="s">
        <v>21</v>
      </c>
      <c r="B2194" t="s">
        <v>5820</v>
      </c>
      <c r="C2194" t="s">
        <v>270</v>
      </c>
      <c r="D2194" t="s">
        <v>5821</v>
      </c>
      <c r="E2194">
        <v>57976</v>
      </c>
      <c r="M2194" t="s">
        <v>297</v>
      </c>
      <c r="N2194" t="s">
        <v>276</v>
      </c>
      <c r="P2194" t="s">
        <v>260</v>
      </c>
      <c r="Q2194" t="s">
        <v>260</v>
      </c>
      <c r="R2194" t="s">
        <v>261</v>
      </c>
      <c r="S2194" t="s">
        <v>21</v>
      </c>
      <c r="T2194">
        <v>100</v>
      </c>
      <c r="W2194" t="s">
        <v>262</v>
      </c>
    </row>
    <row r="2195" spans="1:26" x14ac:dyDescent="0.3">
      <c r="A2195" t="s">
        <v>21</v>
      </c>
      <c r="B2195" t="s">
        <v>5822</v>
      </c>
      <c r="C2195" t="s">
        <v>270</v>
      </c>
      <c r="D2195" t="s">
        <v>5823</v>
      </c>
      <c r="E2195">
        <v>57960</v>
      </c>
      <c r="F2195">
        <v>57960</v>
      </c>
      <c r="M2195" t="s">
        <v>297</v>
      </c>
      <c r="N2195" t="s">
        <v>276</v>
      </c>
      <c r="P2195" t="s">
        <v>260</v>
      </c>
      <c r="Q2195" t="s">
        <v>260</v>
      </c>
      <c r="R2195" t="s">
        <v>261</v>
      </c>
      <c r="S2195" t="s">
        <v>21</v>
      </c>
      <c r="T2195">
        <v>100</v>
      </c>
      <c r="W2195" t="s">
        <v>262</v>
      </c>
    </row>
    <row r="2196" spans="1:26" x14ac:dyDescent="0.3">
      <c r="A2196" t="s">
        <v>21</v>
      </c>
      <c r="B2196" t="s">
        <v>5824</v>
      </c>
      <c r="C2196" t="s">
        <v>270</v>
      </c>
      <c r="D2196" t="s">
        <v>5825</v>
      </c>
      <c r="E2196">
        <v>57970</v>
      </c>
      <c r="F2196">
        <v>57970</v>
      </c>
      <c r="M2196" t="s">
        <v>297</v>
      </c>
      <c r="N2196" t="s">
        <v>276</v>
      </c>
      <c r="P2196" t="s">
        <v>260</v>
      </c>
      <c r="Q2196" t="s">
        <v>260</v>
      </c>
      <c r="R2196" t="s">
        <v>261</v>
      </c>
      <c r="S2196" t="s">
        <v>21</v>
      </c>
      <c r="T2196">
        <v>100</v>
      </c>
      <c r="W2196" t="s">
        <v>262</v>
      </c>
    </row>
    <row r="2197" spans="1:26" x14ac:dyDescent="0.3">
      <c r="A2197" t="s">
        <v>21</v>
      </c>
      <c r="B2197" t="s">
        <v>5826</v>
      </c>
      <c r="C2197" t="s">
        <v>270</v>
      </c>
      <c r="D2197" t="s">
        <v>5827</v>
      </c>
      <c r="E2197">
        <v>57975</v>
      </c>
      <c r="F2197">
        <v>57975</v>
      </c>
      <c r="M2197" t="s">
        <v>297</v>
      </c>
      <c r="N2197" t="s">
        <v>276</v>
      </c>
      <c r="P2197" t="s">
        <v>260</v>
      </c>
      <c r="Q2197" t="s">
        <v>260</v>
      </c>
      <c r="R2197" t="s">
        <v>261</v>
      </c>
      <c r="S2197" t="s">
        <v>21</v>
      </c>
      <c r="T2197">
        <v>100</v>
      </c>
      <c r="W2197" t="s">
        <v>262</v>
      </c>
    </row>
    <row r="2198" spans="1:26" x14ac:dyDescent="0.3">
      <c r="A2198" t="s">
        <v>21</v>
      </c>
      <c r="B2198" t="s">
        <v>5828</v>
      </c>
      <c r="C2198" t="s">
        <v>270</v>
      </c>
      <c r="D2198" t="s">
        <v>1942</v>
      </c>
      <c r="E2198">
        <v>5323</v>
      </c>
      <c r="M2198" t="s">
        <v>297</v>
      </c>
      <c r="N2198" t="s">
        <v>276</v>
      </c>
      <c r="P2198" t="s">
        <v>260</v>
      </c>
      <c r="Q2198" t="s">
        <v>260</v>
      </c>
      <c r="R2198" t="s">
        <v>261</v>
      </c>
      <c r="S2198" t="s">
        <v>21</v>
      </c>
      <c r="T2198">
        <v>100</v>
      </c>
      <c r="U2198" t="s">
        <v>354</v>
      </c>
      <c r="W2198" t="s">
        <v>262</v>
      </c>
    </row>
    <row r="2199" spans="1:26" x14ac:dyDescent="0.3">
      <c r="A2199" t="s">
        <v>21</v>
      </c>
      <c r="B2199" t="s">
        <v>5829</v>
      </c>
      <c r="C2199" t="s">
        <v>270</v>
      </c>
      <c r="D2199" t="s">
        <v>832</v>
      </c>
      <c r="E2199" t="s">
        <v>5830</v>
      </c>
      <c r="H2199" t="s">
        <v>833</v>
      </c>
      <c r="I2199" t="s">
        <v>834</v>
      </c>
      <c r="M2199" t="s">
        <v>754</v>
      </c>
      <c r="N2199" t="s">
        <v>276</v>
      </c>
      <c r="P2199" t="s">
        <v>260</v>
      </c>
      <c r="Q2199" t="s">
        <v>260</v>
      </c>
      <c r="R2199" t="s">
        <v>283</v>
      </c>
      <c r="S2199" t="s">
        <v>21</v>
      </c>
      <c r="T2199">
        <v>100</v>
      </c>
      <c r="W2199" t="s">
        <v>262</v>
      </c>
      <c r="X2199">
        <v>-39.659500000000001</v>
      </c>
      <c r="Y2199">
        <v>175.78380000000001</v>
      </c>
    </row>
    <row r="2200" spans="1:26" x14ac:dyDescent="0.3">
      <c r="A2200" t="s">
        <v>21</v>
      </c>
      <c r="B2200" t="s">
        <v>5831</v>
      </c>
      <c r="C2200" t="s">
        <v>270</v>
      </c>
      <c r="D2200" t="s">
        <v>5832</v>
      </c>
      <c r="E2200" t="s">
        <v>5833</v>
      </c>
      <c r="H2200" t="s">
        <v>2433</v>
      </c>
      <c r="I2200" t="s">
        <v>1343</v>
      </c>
      <c r="J2200" t="s">
        <v>297</v>
      </c>
      <c r="K2200">
        <v>2104</v>
      </c>
      <c r="L2200" t="s">
        <v>276</v>
      </c>
      <c r="M2200" t="s">
        <v>631</v>
      </c>
      <c r="N2200" t="s">
        <v>276</v>
      </c>
      <c r="P2200" t="s">
        <v>260</v>
      </c>
      <c r="Q2200" t="s">
        <v>260</v>
      </c>
      <c r="R2200" t="s">
        <v>283</v>
      </c>
      <c r="S2200" t="s">
        <v>21</v>
      </c>
      <c r="T2200">
        <v>100</v>
      </c>
      <c r="W2200" t="s">
        <v>262</v>
      </c>
      <c r="X2200">
        <v>-37.008299999999998</v>
      </c>
      <c r="Y2200">
        <v>174.87049999999999</v>
      </c>
    </row>
    <row r="2201" spans="1:26" x14ac:dyDescent="0.3">
      <c r="A2201" t="s">
        <v>21</v>
      </c>
      <c r="B2201" t="s">
        <v>5834</v>
      </c>
      <c r="C2201" t="s">
        <v>270</v>
      </c>
      <c r="D2201" t="s">
        <v>5835</v>
      </c>
      <c r="E2201" t="s">
        <v>5836</v>
      </c>
      <c r="H2201" t="s">
        <v>2433</v>
      </c>
      <c r="I2201" t="s">
        <v>1343</v>
      </c>
      <c r="J2201" t="s">
        <v>297</v>
      </c>
      <c r="K2201">
        <v>2104</v>
      </c>
      <c r="L2201" t="s">
        <v>276</v>
      </c>
      <c r="M2201" t="s">
        <v>631</v>
      </c>
      <c r="N2201" t="s">
        <v>276</v>
      </c>
      <c r="P2201" t="s">
        <v>260</v>
      </c>
      <c r="Q2201" t="s">
        <v>260</v>
      </c>
      <c r="R2201" t="s">
        <v>261</v>
      </c>
      <c r="S2201" t="s">
        <v>21</v>
      </c>
      <c r="T2201">
        <v>100</v>
      </c>
      <c r="W2201" t="s">
        <v>262</v>
      </c>
      <c r="X2201">
        <v>-37.008299999999998</v>
      </c>
      <c r="Y2201">
        <v>174.87049999999999</v>
      </c>
    </row>
    <row r="2202" spans="1:26" x14ac:dyDescent="0.3">
      <c r="A2202" t="s">
        <v>21</v>
      </c>
      <c r="B2202" t="s">
        <v>5837</v>
      </c>
      <c r="C2202" t="s">
        <v>356</v>
      </c>
      <c r="D2202" t="s">
        <v>5838</v>
      </c>
      <c r="E2202">
        <v>170937</v>
      </c>
      <c r="H2202" t="s">
        <v>5839</v>
      </c>
      <c r="I2202" t="s">
        <v>5837</v>
      </c>
      <c r="J2202" t="s">
        <v>366</v>
      </c>
      <c r="K2202">
        <v>2340</v>
      </c>
      <c r="L2202" t="s">
        <v>259</v>
      </c>
      <c r="M2202" t="s">
        <v>312</v>
      </c>
      <c r="N2202" t="s">
        <v>259</v>
      </c>
      <c r="P2202" t="s">
        <v>260</v>
      </c>
      <c r="Q2202" t="s">
        <v>260</v>
      </c>
      <c r="R2202" t="s">
        <v>261</v>
      </c>
      <c r="S2202" t="s">
        <v>21</v>
      </c>
      <c r="T2202">
        <v>100</v>
      </c>
      <c r="W2202" t="s">
        <v>262</v>
      </c>
      <c r="X2202">
        <v>-31.077999999999999</v>
      </c>
      <c r="Y2202">
        <v>150.851</v>
      </c>
      <c r="Z2202">
        <v>170</v>
      </c>
    </row>
    <row r="2203" spans="1:26" x14ac:dyDescent="0.3">
      <c r="A2203" t="s">
        <v>21</v>
      </c>
      <c r="B2203" t="s">
        <v>5840</v>
      </c>
      <c r="C2203" t="s">
        <v>270</v>
      </c>
      <c r="D2203" t="s">
        <v>5841</v>
      </c>
      <c r="E2203">
        <v>54936</v>
      </c>
      <c r="G2203" t="s">
        <v>5842</v>
      </c>
      <c r="M2203" t="s">
        <v>399</v>
      </c>
      <c r="N2203" t="s">
        <v>276</v>
      </c>
      <c r="P2203" t="s">
        <v>260</v>
      </c>
      <c r="Q2203" t="s">
        <v>260</v>
      </c>
      <c r="R2203" t="s">
        <v>261</v>
      </c>
      <c r="S2203" t="s">
        <v>21</v>
      </c>
      <c r="T2203">
        <v>100</v>
      </c>
      <c r="W2203" t="s">
        <v>262</v>
      </c>
    </row>
    <row r="2204" spans="1:26" x14ac:dyDescent="0.3">
      <c r="A2204" t="s">
        <v>21</v>
      </c>
      <c r="B2204" t="s">
        <v>5843</v>
      </c>
      <c r="C2204" t="s">
        <v>270</v>
      </c>
      <c r="D2204" t="s">
        <v>2037</v>
      </c>
      <c r="E2204" t="s">
        <v>5844</v>
      </c>
      <c r="H2204" t="s">
        <v>5845</v>
      </c>
      <c r="I2204" t="s">
        <v>5846</v>
      </c>
      <c r="J2204" t="s">
        <v>352</v>
      </c>
      <c r="K2204">
        <v>110</v>
      </c>
      <c r="L2204" t="s">
        <v>276</v>
      </c>
      <c r="M2204" t="s">
        <v>352</v>
      </c>
      <c r="N2204" t="s">
        <v>276</v>
      </c>
      <c r="P2204" t="s">
        <v>260</v>
      </c>
      <c r="Q2204" t="s">
        <v>260</v>
      </c>
      <c r="R2204" t="s">
        <v>261</v>
      </c>
      <c r="S2204" t="s">
        <v>21</v>
      </c>
      <c r="T2204">
        <v>100</v>
      </c>
      <c r="W2204" t="s">
        <v>262</v>
      </c>
      <c r="X2204">
        <v>-35.748899999999999</v>
      </c>
      <c r="Y2204">
        <v>174.30789999999999</v>
      </c>
    </row>
    <row r="2205" spans="1:26" x14ac:dyDescent="0.3">
      <c r="A2205" t="s">
        <v>21</v>
      </c>
      <c r="B2205" t="s">
        <v>5847</v>
      </c>
      <c r="C2205" t="s">
        <v>299</v>
      </c>
      <c r="D2205" t="s">
        <v>1550</v>
      </c>
      <c r="E2205" t="s">
        <v>1550</v>
      </c>
      <c r="G2205" t="s">
        <v>5848</v>
      </c>
      <c r="H2205" t="s">
        <v>5849</v>
      </c>
      <c r="I2205" t="s">
        <v>5850</v>
      </c>
      <c r="J2205" t="s">
        <v>366</v>
      </c>
      <c r="K2205">
        <v>3875</v>
      </c>
      <c r="M2205" t="s">
        <v>282</v>
      </c>
      <c r="N2205" t="s">
        <v>259</v>
      </c>
      <c r="P2205" t="s">
        <v>260</v>
      </c>
      <c r="Q2205" t="s">
        <v>260</v>
      </c>
      <c r="R2205" t="s">
        <v>261</v>
      </c>
      <c r="S2205" t="s">
        <v>21</v>
      </c>
      <c r="T2205">
        <v>100</v>
      </c>
      <c r="W2205" t="s">
        <v>262</v>
      </c>
    </row>
    <row r="2206" spans="1:26" x14ac:dyDescent="0.3">
      <c r="A2206" t="s">
        <v>21</v>
      </c>
      <c r="B2206" t="s">
        <v>5851</v>
      </c>
      <c r="C2206" t="s">
        <v>270</v>
      </c>
      <c r="D2206" t="s">
        <v>5852</v>
      </c>
      <c r="E2206">
        <v>55308</v>
      </c>
      <c r="H2206" t="s">
        <v>2433</v>
      </c>
      <c r="I2206" t="s">
        <v>1343</v>
      </c>
      <c r="J2206" t="s">
        <v>297</v>
      </c>
      <c r="K2206">
        <v>2104</v>
      </c>
      <c r="L2206" t="s">
        <v>276</v>
      </c>
      <c r="M2206" t="s">
        <v>631</v>
      </c>
      <c r="N2206" t="s">
        <v>276</v>
      </c>
      <c r="P2206" t="s">
        <v>260</v>
      </c>
      <c r="Q2206" t="s">
        <v>260</v>
      </c>
      <c r="R2206" t="s">
        <v>261</v>
      </c>
      <c r="S2206" t="s">
        <v>21</v>
      </c>
      <c r="T2206">
        <v>100</v>
      </c>
      <c r="W2206" t="s">
        <v>262</v>
      </c>
      <c r="X2206">
        <v>-37.008299999999998</v>
      </c>
      <c r="Y2206">
        <v>174.87049999999999</v>
      </c>
    </row>
    <row r="2207" spans="1:26" x14ac:dyDescent="0.3">
      <c r="A2207" t="s">
        <v>21</v>
      </c>
      <c r="B2207" t="s">
        <v>5853</v>
      </c>
      <c r="C2207" t="s">
        <v>270</v>
      </c>
      <c r="D2207" t="s">
        <v>5854</v>
      </c>
      <c r="E2207">
        <v>553704</v>
      </c>
      <c r="M2207" t="s">
        <v>297</v>
      </c>
      <c r="N2207" t="s">
        <v>276</v>
      </c>
      <c r="P2207" t="s">
        <v>260</v>
      </c>
      <c r="Q2207" t="s">
        <v>260</v>
      </c>
      <c r="R2207" t="s">
        <v>261</v>
      </c>
      <c r="S2207" t="s">
        <v>21</v>
      </c>
      <c r="T2207">
        <v>100</v>
      </c>
      <c r="W2207" t="s">
        <v>262</v>
      </c>
    </row>
    <row r="2208" spans="1:26" x14ac:dyDescent="0.3">
      <c r="A2208" t="s">
        <v>21</v>
      </c>
      <c r="B2208" t="s">
        <v>5855</v>
      </c>
      <c r="C2208" t="s">
        <v>1111</v>
      </c>
      <c r="D2208" t="s">
        <v>5856</v>
      </c>
      <c r="E2208">
        <v>553701</v>
      </c>
      <c r="G2208" t="s">
        <v>5857</v>
      </c>
      <c r="M2208" t="s">
        <v>717</v>
      </c>
      <c r="N2208" t="s">
        <v>276</v>
      </c>
      <c r="P2208" t="s">
        <v>260</v>
      </c>
      <c r="Q2208" t="s">
        <v>260</v>
      </c>
      <c r="R2208" t="s">
        <v>261</v>
      </c>
      <c r="S2208" t="s">
        <v>21</v>
      </c>
      <c r="T2208">
        <v>100</v>
      </c>
      <c r="W2208" t="s">
        <v>262</v>
      </c>
    </row>
    <row r="2209" spans="1:28" x14ac:dyDescent="0.3">
      <c r="A2209" t="s">
        <v>21</v>
      </c>
      <c r="B2209" t="s">
        <v>5858</v>
      </c>
      <c r="C2209" t="s">
        <v>278</v>
      </c>
      <c r="D2209" t="s">
        <v>5859</v>
      </c>
      <c r="E2209">
        <v>553707</v>
      </c>
      <c r="M2209" t="s">
        <v>297</v>
      </c>
      <c r="N2209" t="s">
        <v>276</v>
      </c>
      <c r="P2209" t="s">
        <v>260</v>
      </c>
      <c r="Q2209" t="s">
        <v>260</v>
      </c>
      <c r="R2209" t="s">
        <v>261</v>
      </c>
      <c r="S2209" t="s">
        <v>21</v>
      </c>
      <c r="T2209">
        <v>100</v>
      </c>
      <c r="W2209" t="s">
        <v>262</v>
      </c>
    </row>
    <row r="2210" spans="1:28" x14ac:dyDescent="0.3">
      <c r="A2210" t="s">
        <v>21</v>
      </c>
      <c r="B2210" t="s">
        <v>5860</v>
      </c>
      <c r="C2210" t="s">
        <v>270</v>
      </c>
      <c r="D2210" t="s">
        <v>5861</v>
      </c>
      <c r="E2210">
        <v>553703</v>
      </c>
      <c r="M2210" t="s">
        <v>297</v>
      </c>
      <c r="N2210" t="s">
        <v>276</v>
      </c>
      <c r="P2210" t="s">
        <v>260</v>
      </c>
      <c r="Q2210" t="s">
        <v>260</v>
      </c>
      <c r="R2210" t="s">
        <v>261</v>
      </c>
      <c r="S2210" t="s">
        <v>21</v>
      </c>
      <c r="T2210">
        <v>100</v>
      </c>
      <c r="W2210" t="s">
        <v>262</v>
      </c>
    </row>
    <row r="2211" spans="1:28" x14ac:dyDescent="0.3">
      <c r="A2211" t="s">
        <v>21</v>
      </c>
      <c r="B2211" t="s">
        <v>5862</v>
      </c>
      <c r="C2211" t="s">
        <v>270</v>
      </c>
      <c r="D2211" t="s">
        <v>5009</v>
      </c>
      <c r="E2211" t="s">
        <v>5009</v>
      </c>
      <c r="M2211" t="s">
        <v>394</v>
      </c>
      <c r="N2211" t="s">
        <v>276</v>
      </c>
      <c r="P2211" t="s">
        <v>260</v>
      </c>
      <c r="Q2211" t="s">
        <v>260</v>
      </c>
      <c r="R2211" t="s">
        <v>283</v>
      </c>
      <c r="S2211" t="s">
        <v>21</v>
      </c>
      <c r="T2211">
        <v>100</v>
      </c>
      <c r="W2211" t="s">
        <v>262</v>
      </c>
    </row>
    <row r="2212" spans="1:28" x14ac:dyDescent="0.3">
      <c r="A2212" t="s">
        <v>21</v>
      </c>
      <c r="B2212" t="s">
        <v>5863</v>
      </c>
      <c r="C2212" t="s">
        <v>270</v>
      </c>
      <c r="D2212" t="s">
        <v>765</v>
      </c>
      <c r="E2212">
        <v>55563</v>
      </c>
      <c r="H2212" t="s">
        <v>766</v>
      </c>
      <c r="I2212" t="s">
        <v>767</v>
      </c>
      <c r="J2212" t="s">
        <v>767</v>
      </c>
      <c r="K2212">
        <v>3920</v>
      </c>
      <c r="L2212" t="s">
        <v>276</v>
      </c>
      <c r="M2212" t="s">
        <v>767</v>
      </c>
      <c r="N2212" t="s">
        <v>276</v>
      </c>
      <c r="P2212" t="s">
        <v>260</v>
      </c>
      <c r="Q2212" t="s">
        <v>260</v>
      </c>
      <c r="R2212" t="s">
        <v>261</v>
      </c>
      <c r="S2212" t="s">
        <v>21</v>
      </c>
      <c r="T2212">
        <v>100</v>
      </c>
      <c r="W2212" t="s">
        <v>262</v>
      </c>
      <c r="X2212">
        <v>-38.8919</v>
      </c>
      <c r="Y2212">
        <v>175.22970000000001</v>
      </c>
    </row>
    <row r="2213" spans="1:28" x14ac:dyDescent="0.3">
      <c r="A2213" t="s">
        <v>21</v>
      </c>
      <c r="B2213" t="s">
        <v>5864</v>
      </c>
      <c r="C2213" t="s">
        <v>270</v>
      </c>
      <c r="D2213" t="s">
        <v>5865</v>
      </c>
      <c r="E2213">
        <v>561344</v>
      </c>
      <c r="H2213" t="s">
        <v>2433</v>
      </c>
      <c r="I2213" t="s">
        <v>1343</v>
      </c>
      <c r="J2213" t="s">
        <v>297</v>
      </c>
      <c r="K2213">
        <v>2104</v>
      </c>
      <c r="L2213" t="s">
        <v>276</v>
      </c>
      <c r="M2213" t="s">
        <v>631</v>
      </c>
      <c r="N2213" t="s">
        <v>276</v>
      </c>
      <c r="P2213" t="s">
        <v>260</v>
      </c>
      <c r="Q2213" t="s">
        <v>260</v>
      </c>
      <c r="R2213" t="s">
        <v>283</v>
      </c>
      <c r="S2213" t="s">
        <v>21</v>
      </c>
      <c r="T2213">
        <v>100</v>
      </c>
      <c r="W2213" t="s">
        <v>262</v>
      </c>
      <c r="X2213">
        <v>-37.008299999999998</v>
      </c>
      <c r="Y2213">
        <v>174.87049999999999</v>
      </c>
    </row>
    <row r="2214" spans="1:28" x14ac:dyDescent="0.3">
      <c r="A2214" t="s">
        <v>21</v>
      </c>
      <c r="B2214" t="s">
        <v>5866</v>
      </c>
      <c r="C2214" t="s">
        <v>270</v>
      </c>
      <c r="D2214" t="s">
        <v>5867</v>
      </c>
      <c r="E2214">
        <v>561343</v>
      </c>
      <c r="M2214" t="s">
        <v>631</v>
      </c>
      <c r="N2214" t="s">
        <v>276</v>
      </c>
      <c r="P2214" t="s">
        <v>260</v>
      </c>
      <c r="Q2214" t="s">
        <v>260</v>
      </c>
      <c r="R2214" t="s">
        <v>283</v>
      </c>
      <c r="S2214" t="s">
        <v>21</v>
      </c>
      <c r="T2214">
        <v>100</v>
      </c>
      <c r="W2214" t="s">
        <v>262</v>
      </c>
    </row>
    <row r="2215" spans="1:28" x14ac:dyDescent="0.3">
      <c r="A2215" t="s">
        <v>21</v>
      </c>
      <c r="B2215" t="s">
        <v>5868</v>
      </c>
      <c r="C2215" t="s">
        <v>1845</v>
      </c>
      <c r="D2215" t="s">
        <v>5869</v>
      </c>
      <c r="E2215">
        <v>561346</v>
      </c>
      <c r="G2215" t="s">
        <v>5870</v>
      </c>
      <c r="M2215" t="s">
        <v>771</v>
      </c>
      <c r="N2215" t="s">
        <v>276</v>
      </c>
      <c r="P2215" t="s">
        <v>260</v>
      </c>
      <c r="Q2215" t="s">
        <v>260</v>
      </c>
      <c r="R2215" t="s">
        <v>283</v>
      </c>
      <c r="S2215" t="s">
        <v>21</v>
      </c>
      <c r="T2215">
        <v>100</v>
      </c>
      <c r="W2215" t="s">
        <v>262</v>
      </c>
    </row>
    <row r="2216" spans="1:28" x14ac:dyDescent="0.3">
      <c r="A2216" t="s">
        <v>21</v>
      </c>
      <c r="B2216" t="s">
        <v>5871</v>
      </c>
      <c r="C2216" t="s">
        <v>270</v>
      </c>
      <c r="D2216" t="s">
        <v>5872</v>
      </c>
      <c r="E2216">
        <v>561342</v>
      </c>
      <c r="M2216" t="s">
        <v>771</v>
      </c>
      <c r="N2216" t="s">
        <v>276</v>
      </c>
      <c r="P2216" t="s">
        <v>260</v>
      </c>
      <c r="Q2216" t="s">
        <v>260</v>
      </c>
      <c r="R2216" t="s">
        <v>283</v>
      </c>
      <c r="S2216" t="s">
        <v>21</v>
      </c>
      <c r="T2216">
        <v>100</v>
      </c>
      <c r="W2216" t="s">
        <v>262</v>
      </c>
    </row>
    <row r="2217" spans="1:28" x14ac:dyDescent="0.3">
      <c r="A2217" t="s">
        <v>21</v>
      </c>
      <c r="B2217" t="s">
        <v>5873</v>
      </c>
      <c r="C2217" t="s">
        <v>270</v>
      </c>
      <c r="D2217" t="s">
        <v>5874</v>
      </c>
      <c r="E2217">
        <v>561341</v>
      </c>
      <c r="H2217" t="s">
        <v>2433</v>
      </c>
      <c r="I2217" t="s">
        <v>1343</v>
      </c>
      <c r="J2217" t="s">
        <v>297</v>
      </c>
      <c r="K2217">
        <v>2104</v>
      </c>
      <c r="L2217" t="s">
        <v>276</v>
      </c>
      <c r="M2217" t="s">
        <v>631</v>
      </c>
      <c r="N2217" t="s">
        <v>276</v>
      </c>
      <c r="P2217" t="s">
        <v>260</v>
      </c>
      <c r="Q2217" t="s">
        <v>260</v>
      </c>
      <c r="R2217" t="s">
        <v>283</v>
      </c>
      <c r="S2217" t="s">
        <v>21</v>
      </c>
      <c r="T2217">
        <v>100</v>
      </c>
      <c r="W2217" t="s">
        <v>262</v>
      </c>
      <c r="X2217">
        <v>-37.008299999999998</v>
      </c>
      <c r="Y2217">
        <v>174.87049999999999</v>
      </c>
    </row>
    <row r="2218" spans="1:28" x14ac:dyDescent="0.3">
      <c r="A2218" t="s">
        <v>21</v>
      </c>
      <c r="B2218" t="s">
        <v>5875</v>
      </c>
      <c r="C2218" t="s">
        <v>270</v>
      </c>
      <c r="D2218" t="s">
        <v>5876</v>
      </c>
      <c r="E2218">
        <v>91648</v>
      </c>
      <c r="H2218" t="s">
        <v>5877</v>
      </c>
      <c r="I2218" t="s">
        <v>5878</v>
      </c>
      <c r="J2218" t="s">
        <v>5879</v>
      </c>
      <c r="K2218">
        <v>3378</v>
      </c>
      <c r="M2218" t="s">
        <v>631</v>
      </c>
      <c r="N2218" t="s">
        <v>276</v>
      </c>
      <c r="P2218" t="s">
        <v>260</v>
      </c>
      <c r="Q2218" t="s">
        <v>260</v>
      </c>
      <c r="R2218" t="s">
        <v>293</v>
      </c>
      <c r="S2218" t="s">
        <v>21</v>
      </c>
      <c r="T2218">
        <v>100</v>
      </c>
      <c r="W2218" t="s">
        <v>262</v>
      </c>
    </row>
    <row r="2219" spans="1:28" x14ac:dyDescent="0.3">
      <c r="A2219" t="s">
        <v>21</v>
      </c>
      <c r="B2219" t="s">
        <v>5880</v>
      </c>
      <c r="C2219" t="s">
        <v>270</v>
      </c>
      <c r="D2219" t="s">
        <v>5881</v>
      </c>
      <c r="E2219">
        <v>91237</v>
      </c>
      <c r="H2219" t="s">
        <v>5882</v>
      </c>
      <c r="I2219" t="s">
        <v>771</v>
      </c>
      <c r="J2219" t="s">
        <v>771</v>
      </c>
      <c r="K2219">
        <v>3330</v>
      </c>
      <c r="L2219" t="s">
        <v>276</v>
      </c>
      <c r="M2219" t="s">
        <v>771</v>
      </c>
      <c r="N2219" t="s">
        <v>276</v>
      </c>
      <c r="P2219" t="s">
        <v>260</v>
      </c>
      <c r="Q2219" t="s">
        <v>260</v>
      </c>
      <c r="R2219" t="s">
        <v>293</v>
      </c>
      <c r="S2219" t="s">
        <v>21</v>
      </c>
      <c r="T2219">
        <v>100</v>
      </c>
      <c r="W2219" t="s">
        <v>262</v>
      </c>
      <c r="X2219">
        <v>-38.685600000000001</v>
      </c>
      <c r="Y2219">
        <v>176.07689999999999</v>
      </c>
      <c r="AB2219" s="9">
        <v>45473</v>
      </c>
    </row>
    <row r="2220" spans="1:28" x14ac:dyDescent="0.3">
      <c r="A2220" t="s">
        <v>21</v>
      </c>
      <c r="B2220" t="s">
        <v>5883</v>
      </c>
      <c r="C2220" t="s">
        <v>270</v>
      </c>
      <c r="D2220" t="s">
        <v>773</v>
      </c>
      <c r="E2220">
        <v>55615</v>
      </c>
      <c r="H2220" t="s">
        <v>5884</v>
      </c>
      <c r="I2220" t="s">
        <v>5878</v>
      </c>
      <c r="J2220" t="s">
        <v>771</v>
      </c>
      <c r="K2220">
        <v>3330</v>
      </c>
      <c r="L2220" t="s">
        <v>276</v>
      </c>
      <c r="M2220" t="s">
        <v>771</v>
      </c>
      <c r="N2220" t="s">
        <v>276</v>
      </c>
      <c r="P2220" t="s">
        <v>260</v>
      </c>
      <c r="Q2220" t="s">
        <v>260</v>
      </c>
      <c r="R2220" t="s">
        <v>261</v>
      </c>
      <c r="S2220" t="s">
        <v>21</v>
      </c>
      <c r="T2220">
        <v>100</v>
      </c>
      <c r="W2220" t="s">
        <v>262</v>
      </c>
      <c r="X2220">
        <v>-38.692300000000003</v>
      </c>
      <c r="Y2220">
        <v>176.1061</v>
      </c>
    </row>
    <row r="2221" spans="1:28" x14ac:dyDescent="0.3">
      <c r="A2221" t="s">
        <v>21</v>
      </c>
      <c r="B2221" t="s">
        <v>5885</v>
      </c>
      <c r="C2221" t="s">
        <v>270</v>
      </c>
      <c r="D2221" t="s">
        <v>5886</v>
      </c>
      <c r="E2221" t="s">
        <v>5886</v>
      </c>
      <c r="M2221" t="s">
        <v>394</v>
      </c>
      <c r="N2221" t="s">
        <v>276</v>
      </c>
      <c r="P2221" t="s">
        <v>260</v>
      </c>
      <c r="Q2221" t="s">
        <v>260</v>
      </c>
      <c r="R2221" t="s">
        <v>283</v>
      </c>
      <c r="S2221" t="s">
        <v>21</v>
      </c>
      <c r="T2221">
        <v>100</v>
      </c>
      <c r="W2221" t="s">
        <v>262</v>
      </c>
    </row>
    <row r="2222" spans="1:28" x14ac:dyDescent="0.3">
      <c r="A2222" t="s">
        <v>21</v>
      </c>
      <c r="B2222" t="s">
        <v>5887</v>
      </c>
      <c r="C2222" t="s">
        <v>270</v>
      </c>
      <c r="D2222" t="s">
        <v>769</v>
      </c>
      <c r="E2222">
        <v>55564</v>
      </c>
      <c r="H2222" t="s">
        <v>5888</v>
      </c>
      <c r="I2222" t="s">
        <v>5878</v>
      </c>
      <c r="J2222" t="s">
        <v>771</v>
      </c>
      <c r="K2222">
        <v>3330</v>
      </c>
      <c r="L2222" t="s">
        <v>276</v>
      </c>
      <c r="M2222" t="s">
        <v>771</v>
      </c>
      <c r="N2222" t="s">
        <v>276</v>
      </c>
      <c r="P2222" t="s">
        <v>260</v>
      </c>
      <c r="Q2222" t="s">
        <v>260</v>
      </c>
      <c r="R2222" t="s">
        <v>261</v>
      </c>
      <c r="S2222" t="s">
        <v>21</v>
      </c>
      <c r="T2222">
        <v>100</v>
      </c>
      <c r="W2222" t="s">
        <v>262</v>
      </c>
      <c r="X2222">
        <v>-38.695</v>
      </c>
      <c r="Y2222">
        <v>176.10939999999999</v>
      </c>
    </row>
    <row r="2223" spans="1:28" x14ac:dyDescent="0.3">
      <c r="A2223" t="s">
        <v>21</v>
      </c>
      <c r="B2223" t="s">
        <v>5889</v>
      </c>
      <c r="C2223" t="s">
        <v>270</v>
      </c>
      <c r="D2223" t="s">
        <v>5890</v>
      </c>
      <c r="E2223">
        <v>550692</v>
      </c>
      <c r="M2223" t="s">
        <v>631</v>
      </c>
      <c r="N2223" t="s">
        <v>276</v>
      </c>
      <c r="P2223" t="s">
        <v>260</v>
      </c>
      <c r="Q2223" t="s">
        <v>260</v>
      </c>
      <c r="R2223" t="s">
        <v>261</v>
      </c>
      <c r="S2223" t="s">
        <v>21</v>
      </c>
      <c r="T2223">
        <v>100</v>
      </c>
      <c r="W2223" t="s">
        <v>262</v>
      </c>
    </row>
    <row r="2224" spans="1:28" x14ac:dyDescent="0.3">
      <c r="A2224" t="s">
        <v>21</v>
      </c>
      <c r="B2224" t="s">
        <v>5891</v>
      </c>
      <c r="C2224" t="s">
        <v>270</v>
      </c>
      <c r="D2224" t="s">
        <v>5892</v>
      </c>
      <c r="E2224">
        <v>550774</v>
      </c>
      <c r="H2224" t="s">
        <v>5893</v>
      </c>
      <c r="I2224" t="s">
        <v>5894</v>
      </c>
      <c r="J2224" t="s">
        <v>4198</v>
      </c>
      <c r="K2224">
        <v>4181</v>
      </c>
      <c r="L2224" t="s">
        <v>276</v>
      </c>
      <c r="M2224" t="s">
        <v>4198</v>
      </c>
      <c r="N2224" t="s">
        <v>276</v>
      </c>
      <c r="P2224" t="s">
        <v>260</v>
      </c>
      <c r="Q2224" t="s">
        <v>260</v>
      </c>
      <c r="R2224" t="s">
        <v>261</v>
      </c>
      <c r="S2224" t="s">
        <v>21</v>
      </c>
      <c r="T2224">
        <v>100</v>
      </c>
      <c r="W2224" t="s">
        <v>262</v>
      </c>
      <c r="X2224">
        <v>-39.165500000000002</v>
      </c>
      <c r="Y2224">
        <v>176.7817</v>
      </c>
    </row>
    <row r="2225" spans="1:25" x14ac:dyDescent="0.3">
      <c r="A2225" t="s">
        <v>21</v>
      </c>
      <c r="B2225" t="s">
        <v>5895</v>
      </c>
      <c r="C2225" t="s">
        <v>270</v>
      </c>
      <c r="D2225" t="s">
        <v>5896</v>
      </c>
      <c r="E2225">
        <v>10194</v>
      </c>
      <c r="G2225">
        <v>10.194000000000001</v>
      </c>
      <c r="H2225" t="s">
        <v>2433</v>
      </c>
      <c r="I2225" t="s">
        <v>1343</v>
      </c>
      <c r="J2225" t="s">
        <v>297</v>
      </c>
      <c r="K2225">
        <v>2104</v>
      </c>
      <c r="L2225" t="s">
        <v>276</v>
      </c>
      <c r="M2225" t="s">
        <v>631</v>
      </c>
      <c r="N2225" t="s">
        <v>276</v>
      </c>
      <c r="P2225" t="s">
        <v>260</v>
      </c>
      <c r="Q2225" t="s">
        <v>260</v>
      </c>
      <c r="R2225" t="s">
        <v>283</v>
      </c>
      <c r="S2225" t="s">
        <v>21</v>
      </c>
      <c r="T2225">
        <v>100</v>
      </c>
      <c r="W2225" t="s">
        <v>262</v>
      </c>
      <c r="X2225">
        <v>-37.008299999999998</v>
      </c>
      <c r="Y2225">
        <v>174.87049999999999</v>
      </c>
    </row>
    <row r="2226" spans="1:25" x14ac:dyDescent="0.3">
      <c r="A2226" t="s">
        <v>21</v>
      </c>
      <c r="B2226" t="s">
        <v>5897</v>
      </c>
      <c r="C2226" t="s">
        <v>270</v>
      </c>
      <c r="D2226" t="s">
        <v>5898</v>
      </c>
      <c r="E2226" t="s">
        <v>5899</v>
      </c>
      <c r="H2226" t="s">
        <v>2433</v>
      </c>
      <c r="I2226" t="s">
        <v>1343</v>
      </c>
      <c r="J2226" t="s">
        <v>297</v>
      </c>
      <c r="K2226">
        <v>2104</v>
      </c>
      <c r="L2226" t="s">
        <v>276</v>
      </c>
      <c r="M2226" t="s">
        <v>631</v>
      </c>
      <c r="N2226" t="s">
        <v>276</v>
      </c>
      <c r="P2226" t="s">
        <v>260</v>
      </c>
      <c r="Q2226" t="s">
        <v>260</v>
      </c>
      <c r="R2226" t="s">
        <v>283</v>
      </c>
      <c r="S2226" t="s">
        <v>21</v>
      </c>
      <c r="T2226">
        <v>100</v>
      </c>
      <c r="W2226" t="s">
        <v>262</v>
      </c>
      <c r="X2226">
        <v>-37.008299999999998</v>
      </c>
      <c r="Y2226">
        <v>174.87049999999999</v>
      </c>
    </row>
    <row r="2227" spans="1:25" x14ac:dyDescent="0.3">
      <c r="A2227" t="s">
        <v>21</v>
      </c>
      <c r="B2227" t="s">
        <v>5900</v>
      </c>
      <c r="C2227" t="s">
        <v>270</v>
      </c>
      <c r="D2227" t="s">
        <v>2160</v>
      </c>
      <c r="E2227" t="s">
        <v>5901</v>
      </c>
      <c r="H2227" t="s">
        <v>2433</v>
      </c>
      <c r="I2227" t="s">
        <v>1343</v>
      </c>
      <c r="J2227" t="s">
        <v>297</v>
      </c>
      <c r="K2227">
        <v>2104</v>
      </c>
      <c r="L2227" t="s">
        <v>276</v>
      </c>
      <c r="M2227" t="s">
        <v>631</v>
      </c>
      <c r="N2227" t="s">
        <v>276</v>
      </c>
      <c r="P2227" t="s">
        <v>260</v>
      </c>
      <c r="Q2227" t="s">
        <v>260</v>
      </c>
      <c r="R2227" t="s">
        <v>283</v>
      </c>
      <c r="S2227" t="s">
        <v>21</v>
      </c>
      <c r="T2227">
        <v>100</v>
      </c>
      <c r="W2227" t="s">
        <v>262</v>
      </c>
      <c r="X2227">
        <v>-37.008299999999998</v>
      </c>
      <c r="Y2227">
        <v>174.87049999999999</v>
      </c>
    </row>
    <row r="2228" spans="1:25" x14ac:dyDescent="0.3">
      <c r="A2228" t="s">
        <v>21</v>
      </c>
      <c r="B2228" t="s">
        <v>5902</v>
      </c>
      <c r="C2228" t="s">
        <v>270</v>
      </c>
      <c r="D2228" t="s">
        <v>5903</v>
      </c>
      <c r="E2228" t="s">
        <v>5904</v>
      </c>
      <c r="H2228" t="s">
        <v>2433</v>
      </c>
      <c r="I2228" t="s">
        <v>1343</v>
      </c>
      <c r="J2228" t="s">
        <v>297</v>
      </c>
      <c r="K2228">
        <v>2104</v>
      </c>
      <c r="L2228" t="s">
        <v>276</v>
      </c>
      <c r="M2228" t="s">
        <v>631</v>
      </c>
      <c r="N2228" t="s">
        <v>276</v>
      </c>
      <c r="P2228" t="s">
        <v>260</v>
      </c>
      <c r="Q2228" t="s">
        <v>260</v>
      </c>
      <c r="R2228" t="s">
        <v>283</v>
      </c>
      <c r="S2228" t="s">
        <v>21</v>
      </c>
      <c r="T2228">
        <v>100</v>
      </c>
      <c r="W2228" t="s">
        <v>262</v>
      </c>
      <c r="X2228">
        <v>-37.008299999999998</v>
      </c>
      <c r="Y2228">
        <v>174.87049999999999</v>
      </c>
    </row>
    <row r="2229" spans="1:25" x14ac:dyDescent="0.3">
      <c r="A2229" t="s">
        <v>21</v>
      </c>
      <c r="B2229" t="s">
        <v>5905</v>
      </c>
      <c r="C2229" t="s">
        <v>2894</v>
      </c>
      <c r="D2229" t="s">
        <v>5906</v>
      </c>
      <c r="E2229">
        <v>91418</v>
      </c>
      <c r="G2229" t="s">
        <v>5907</v>
      </c>
      <c r="M2229" t="s">
        <v>429</v>
      </c>
      <c r="N2229" t="s">
        <v>276</v>
      </c>
      <c r="P2229" t="s">
        <v>260</v>
      </c>
      <c r="Q2229" t="s">
        <v>260</v>
      </c>
      <c r="R2229" t="s">
        <v>293</v>
      </c>
      <c r="S2229" t="s">
        <v>21</v>
      </c>
      <c r="T2229">
        <v>100</v>
      </c>
      <c r="W2229" t="s">
        <v>262</v>
      </c>
    </row>
    <row r="2230" spans="1:25" x14ac:dyDescent="0.3">
      <c r="A2230" t="s">
        <v>21</v>
      </c>
      <c r="B2230" t="s">
        <v>5908</v>
      </c>
      <c r="C2230" t="s">
        <v>270</v>
      </c>
      <c r="D2230" t="s">
        <v>5909</v>
      </c>
      <c r="E2230">
        <v>91622</v>
      </c>
      <c r="H2230" t="s">
        <v>5910</v>
      </c>
      <c r="I2230" t="s">
        <v>2412</v>
      </c>
      <c r="J2230" t="s">
        <v>2412</v>
      </c>
      <c r="K2230">
        <v>3116</v>
      </c>
      <c r="L2230" t="s">
        <v>276</v>
      </c>
      <c r="M2230" t="s">
        <v>429</v>
      </c>
      <c r="N2230" t="s">
        <v>276</v>
      </c>
      <c r="P2230" t="s">
        <v>260</v>
      </c>
      <c r="Q2230" t="s">
        <v>260</v>
      </c>
      <c r="R2230" t="s">
        <v>293</v>
      </c>
      <c r="S2230" t="s">
        <v>21</v>
      </c>
      <c r="T2230">
        <v>100</v>
      </c>
      <c r="W2230" t="s">
        <v>262</v>
      </c>
      <c r="X2230">
        <v>-37.670499999999997</v>
      </c>
      <c r="Y2230">
        <v>176.20650000000001</v>
      </c>
    </row>
    <row r="2231" spans="1:25" x14ac:dyDescent="0.3">
      <c r="A2231" t="s">
        <v>21</v>
      </c>
      <c r="B2231" t="s">
        <v>5911</v>
      </c>
      <c r="C2231" t="s">
        <v>2894</v>
      </c>
      <c r="D2231" t="s">
        <v>5912</v>
      </c>
      <c r="E2231">
        <v>91417</v>
      </c>
      <c r="M2231" t="s">
        <v>429</v>
      </c>
      <c r="N2231" t="s">
        <v>276</v>
      </c>
      <c r="P2231" t="s">
        <v>260</v>
      </c>
      <c r="Q2231" t="s">
        <v>260</v>
      </c>
      <c r="R2231" t="s">
        <v>293</v>
      </c>
      <c r="S2231" t="s">
        <v>21</v>
      </c>
      <c r="T2231">
        <v>100</v>
      </c>
      <c r="W2231" t="s">
        <v>262</v>
      </c>
    </row>
    <row r="2232" spans="1:25" x14ac:dyDescent="0.3">
      <c r="A2232" t="s">
        <v>21</v>
      </c>
      <c r="B2232" t="s">
        <v>5913</v>
      </c>
      <c r="C2232" t="s">
        <v>2894</v>
      </c>
      <c r="D2232" t="s">
        <v>5914</v>
      </c>
      <c r="E2232">
        <v>91415</v>
      </c>
      <c r="G2232" t="s">
        <v>5915</v>
      </c>
      <c r="M2232" t="s">
        <v>429</v>
      </c>
      <c r="N2232" t="s">
        <v>276</v>
      </c>
      <c r="P2232" t="s">
        <v>260</v>
      </c>
      <c r="Q2232" t="s">
        <v>260</v>
      </c>
      <c r="R2232" t="s">
        <v>293</v>
      </c>
      <c r="S2232" t="s">
        <v>21</v>
      </c>
      <c r="T2232">
        <v>100</v>
      </c>
      <c r="W2232" t="s">
        <v>262</v>
      </c>
    </row>
    <row r="2233" spans="1:25" ht="180" customHeight="1" x14ac:dyDescent="0.3">
      <c r="A2233" t="s">
        <v>21</v>
      </c>
      <c r="B2233" t="s">
        <v>5916</v>
      </c>
      <c r="C2233" t="s">
        <v>264</v>
      </c>
      <c r="D2233" t="s">
        <v>5917</v>
      </c>
      <c r="E2233">
        <v>91255</v>
      </c>
      <c r="G2233" s="10" t="s">
        <v>5918</v>
      </c>
      <c r="M2233" t="s">
        <v>429</v>
      </c>
      <c r="N2233" t="s">
        <v>276</v>
      </c>
      <c r="P2233" t="s">
        <v>260</v>
      </c>
      <c r="Q2233" t="s">
        <v>260</v>
      </c>
      <c r="R2233" t="s">
        <v>261</v>
      </c>
      <c r="S2233" t="s">
        <v>21</v>
      </c>
      <c r="T2233">
        <v>100</v>
      </c>
      <c r="W2233" t="s">
        <v>262</v>
      </c>
    </row>
    <row r="2234" spans="1:25" x14ac:dyDescent="0.3">
      <c r="A2234" t="s">
        <v>21</v>
      </c>
      <c r="B2234" t="s">
        <v>5919</v>
      </c>
      <c r="C2234" t="s">
        <v>270</v>
      </c>
      <c r="D2234" t="s">
        <v>5920</v>
      </c>
      <c r="E2234">
        <v>91430</v>
      </c>
      <c r="G2234" t="s">
        <v>5921</v>
      </c>
      <c r="M2234" t="s">
        <v>429</v>
      </c>
      <c r="N2234" t="s">
        <v>276</v>
      </c>
      <c r="P2234" t="s">
        <v>260</v>
      </c>
      <c r="Q2234" t="s">
        <v>260</v>
      </c>
      <c r="R2234" t="s">
        <v>293</v>
      </c>
      <c r="S2234" t="s">
        <v>21</v>
      </c>
      <c r="T2234">
        <v>100</v>
      </c>
      <c r="W2234" t="s">
        <v>262</v>
      </c>
    </row>
    <row r="2235" spans="1:25" x14ac:dyDescent="0.3">
      <c r="A2235" t="s">
        <v>21</v>
      </c>
      <c r="B2235" t="s">
        <v>5922</v>
      </c>
      <c r="C2235" t="s">
        <v>270</v>
      </c>
      <c r="D2235" t="s">
        <v>5923</v>
      </c>
      <c r="E2235">
        <v>91431</v>
      </c>
      <c r="G2235" t="s">
        <v>5924</v>
      </c>
      <c r="M2235" t="s">
        <v>429</v>
      </c>
      <c r="N2235" t="s">
        <v>276</v>
      </c>
      <c r="P2235" t="s">
        <v>260</v>
      </c>
      <c r="Q2235" t="s">
        <v>260</v>
      </c>
      <c r="R2235" t="s">
        <v>293</v>
      </c>
      <c r="S2235" t="s">
        <v>21</v>
      </c>
      <c r="T2235">
        <v>100</v>
      </c>
      <c r="W2235" t="s">
        <v>262</v>
      </c>
    </row>
    <row r="2236" spans="1:25" x14ac:dyDescent="0.3">
      <c r="A2236" t="s">
        <v>21</v>
      </c>
      <c r="B2236" t="s">
        <v>5925</v>
      </c>
      <c r="C2236" t="s">
        <v>270</v>
      </c>
      <c r="D2236" t="s">
        <v>4945</v>
      </c>
      <c r="E2236" t="s">
        <v>5926</v>
      </c>
      <c r="H2236" t="s">
        <v>5927</v>
      </c>
      <c r="I2236" t="s">
        <v>2412</v>
      </c>
      <c r="J2236" t="s">
        <v>2412</v>
      </c>
      <c r="K2236">
        <v>3116</v>
      </c>
      <c r="L2236" t="s">
        <v>276</v>
      </c>
      <c r="M2236" t="s">
        <v>429</v>
      </c>
      <c r="N2236" t="s">
        <v>276</v>
      </c>
      <c r="P2236" t="s">
        <v>260</v>
      </c>
      <c r="Q2236" t="s">
        <v>260</v>
      </c>
      <c r="R2236" t="s">
        <v>283</v>
      </c>
      <c r="S2236" t="s">
        <v>21</v>
      </c>
      <c r="T2236">
        <v>100</v>
      </c>
      <c r="W2236" t="s">
        <v>262</v>
      </c>
      <c r="X2236">
        <v>-37.670200000000001</v>
      </c>
      <c r="Y2236">
        <v>176.2021</v>
      </c>
    </row>
    <row r="2237" spans="1:25" x14ac:dyDescent="0.3">
      <c r="A2237" t="s">
        <v>21</v>
      </c>
      <c r="B2237" t="s">
        <v>5928</v>
      </c>
      <c r="C2237" t="s">
        <v>270</v>
      </c>
      <c r="D2237" t="s">
        <v>5929</v>
      </c>
      <c r="E2237" t="s">
        <v>5929</v>
      </c>
      <c r="M2237" t="s">
        <v>394</v>
      </c>
      <c r="N2237" t="s">
        <v>276</v>
      </c>
      <c r="P2237" t="s">
        <v>260</v>
      </c>
      <c r="Q2237" t="s">
        <v>260</v>
      </c>
      <c r="R2237" t="s">
        <v>283</v>
      </c>
      <c r="S2237" t="s">
        <v>21</v>
      </c>
      <c r="T2237">
        <v>100</v>
      </c>
      <c r="W2237" t="s">
        <v>262</v>
      </c>
    </row>
    <row r="2238" spans="1:25" x14ac:dyDescent="0.3">
      <c r="A2238" t="s">
        <v>21</v>
      </c>
      <c r="B2238" t="s">
        <v>5930</v>
      </c>
      <c r="C2238" t="s">
        <v>2464</v>
      </c>
      <c r="D2238" t="s">
        <v>5931</v>
      </c>
      <c r="E2238" t="s">
        <v>5932</v>
      </c>
      <c r="G2238" t="s">
        <v>5933</v>
      </c>
      <c r="M2238" t="s">
        <v>429</v>
      </c>
      <c r="N2238" t="s">
        <v>276</v>
      </c>
      <c r="P2238" t="s">
        <v>260</v>
      </c>
      <c r="Q2238" t="s">
        <v>260</v>
      </c>
      <c r="R2238" t="s">
        <v>261</v>
      </c>
      <c r="S2238" t="s">
        <v>21</v>
      </c>
      <c r="T2238">
        <v>100</v>
      </c>
      <c r="W2238" t="s">
        <v>262</v>
      </c>
    </row>
    <row r="2239" spans="1:25" x14ac:dyDescent="0.3">
      <c r="A2239" t="s">
        <v>21</v>
      </c>
      <c r="B2239" t="s">
        <v>5934</v>
      </c>
      <c r="C2239" t="s">
        <v>270</v>
      </c>
      <c r="D2239" t="s">
        <v>5935</v>
      </c>
      <c r="E2239">
        <v>10175</v>
      </c>
      <c r="G2239">
        <v>10.175000000000001</v>
      </c>
      <c r="H2239" t="s">
        <v>2433</v>
      </c>
      <c r="I2239" t="s">
        <v>1343</v>
      </c>
      <c r="J2239" t="s">
        <v>297</v>
      </c>
      <c r="K2239">
        <v>2104</v>
      </c>
      <c r="L2239" t="s">
        <v>276</v>
      </c>
      <c r="M2239" t="s">
        <v>631</v>
      </c>
      <c r="N2239" t="s">
        <v>276</v>
      </c>
      <c r="P2239" t="s">
        <v>260</v>
      </c>
      <c r="Q2239" t="s">
        <v>260</v>
      </c>
      <c r="R2239" t="s">
        <v>283</v>
      </c>
      <c r="S2239" t="s">
        <v>21</v>
      </c>
      <c r="T2239">
        <v>100</v>
      </c>
      <c r="W2239" t="s">
        <v>262</v>
      </c>
      <c r="X2239">
        <v>-37.008299999999998</v>
      </c>
      <c r="Y2239">
        <v>174.87049999999999</v>
      </c>
    </row>
    <row r="2240" spans="1:25" x14ac:dyDescent="0.3">
      <c r="A2240" t="s">
        <v>21</v>
      </c>
      <c r="B2240" t="s">
        <v>5936</v>
      </c>
      <c r="C2240" t="s">
        <v>2464</v>
      </c>
      <c r="D2240" t="s">
        <v>5937</v>
      </c>
      <c r="E2240">
        <v>91426</v>
      </c>
      <c r="M2240" t="s">
        <v>429</v>
      </c>
      <c r="N2240" t="s">
        <v>276</v>
      </c>
      <c r="P2240" t="s">
        <v>260</v>
      </c>
      <c r="Q2240" t="s">
        <v>260</v>
      </c>
      <c r="R2240" t="s">
        <v>293</v>
      </c>
      <c r="S2240" t="s">
        <v>21</v>
      </c>
      <c r="T2240">
        <v>100</v>
      </c>
      <c r="W2240" t="s">
        <v>262</v>
      </c>
    </row>
    <row r="2241" spans="1:25" x14ac:dyDescent="0.3">
      <c r="A2241" t="s">
        <v>21</v>
      </c>
      <c r="B2241" t="s">
        <v>5938</v>
      </c>
      <c r="C2241" t="s">
        <v>270</v>
      </c>
      <c r="D2241" t="s">
        <v>5939</v>
      </c>
      <c r="E2241">
        <v>91220</v>
      </c>
      <c r="H2241" t="s">
        <v>5940</v>
      </c>
      <c r="I2241" t="s">
        <v>3264</v>
      </c>
      <c r="J2241" t="s">
        <v>429</v>
      </c>
      <c r="K2241">
        <v>3110</v>
      </c>
      <c r="L2241" t="s">
        <v>276</v>
      </c>
      <c r="M2241" t="s">
        <v>429</v>
      </c>
      <c r="N2241" t="s">
        <v>276</v>
      </c>
      <c r="P2241" t="s">
        <v>260</v>
      </c>
      <c r="Q2241" t="s">
        <v>260</v>
      </c>
      <c r="R2241" t="s">
        <v>293</v>
      </c>
      <c r="S2241" t="s">
        <v>21</v>
      </c>
      <c r="T2241">
        <v>100</v>
      </c>
      <c r="W2241" t="s">
        <v>262</v>
      </c>
      <c r="X2241">
        <v>-37.742199999999997</v>
      </c>
      <c r="Y2241">
        <v>176.10169999999999</v>
      </c>
    </row>
    <row r="2242" spans="1:25" x14ac:dyDescent="0.3">
      <c r="A2242" t="s">
        <v>21</v>
      </c>
      <c r="B2242" t="s">
        <v>5941</v>
      </c>
      <c r="C2242" t="s">
        <v>2464</v>
      </c>
      <c r="D2242" t="s">
        <v>5942</v>
      </c>
      <c r="E2242" t="s">
        <v>5943</v>
      </c>
      <c r="G2242" t="s">
        <v>5944</v>
      </c>
      <c r="M2242" t="s">
        <v>429</v>
      </c>
      <c r="N2242" t="s">
        <v>276</v>
      </c>
      <c r="P2242" t="s">
        <v>260</v>
      </c>
      <c r="Q2242" t="s">
        <v>260</v>
      </c>
      <c r="R2242" t="s">
        <v>261</v>
      </c>
      <c r="S2242" t="s">
        <v>21</v>
      </c>
      <c r="T2242">
        <v>100</v>
      </c>
      <c r="W2242" t="s">
        <v>262</v>
      </c>
    </row>
    <row r="2243" spans="1:25" x14ac:dyDescent="0.3">
      <c r="A2243" t="s">
        <v>21</v>
      </c>
      <c r="B2243" t="s">
        <v>5945</v>
      </c>
      <c r="C2243" t="s">
        <v>1111</v>
      </c>
      <c r="D2243" t="s">
        <v>5946</v>
      </c>
      <c r="E2243">
        <v>553679</v>
      </c>
      <c r="G2243" t="s">
        <v>5947</v>
      </c>
      <c r="M2243" t="s">
        <v>717</v>
      </c>
      <c r="N2243" t="s">
        <v>276</v>
      </c>
      <c r="P2243" t="s">
        <v>260</v>
      </c>
      <c r="Q2243" t="s">
        <v>260</v>
      </c>
      <c r="R2243" t="s">
        <v>261</v>
      </c>
      <c r="S2243" t="s">
        <v>21</v>
      </c>
      <c r="T2243">
        <v>100</v>
      </c>
      <c r="W2243" t="s">
        <v>262</v>
      </c>
    </row>
    <row r="2244" spans="1:25" x14ac:dyDescent="0.3">
      <c r="A2244" t="s">
        <v>21</v>
      </c>
      <c r="B2244" t="s">
        <v>5948</v>
      </c>
      <c r="C2244" t="s">
        <v>270</v>
      </c>
      <c r="D2244" t="s">
        <v>5949</v>
      </c>
      <c r="E2244">
        <v>561369</v>
      </c>
      <c r="F2244">
        <v>561369</v>
      </c>
      <c r="M2244" t="s">
        <v>297</v>
      </c>
      <c r="N2244" t="s">
        <v>276</v>
      </c>
      <c r="P2244" t="s">
        <v>260</v>
      </c>
      <c r="Q2244" t="s">
        <v>260</v>
      </c>
      <c r="R2244" t="s">
        <v>283</v>
      </c>
      <c r="S2244" t="s">
        <v>21</v>
      </c>
      <c r="T2244">
        <v>100</v>
      </c>
      <c r="W2244" t="s">
        <v>262</v>
      </c>
    </row>
    <row r="2245" spans="1:25" x14ac:dyDescent="0.3">
      <c r="A2245" t="s">
        <v>21</v>
      </c>
      <c r="B2245" t="s">
        <v>5950</v>
      </c>
      <c r="C2245" t="s">
        <v>270</v>
      </c>
      <c r="D2245" t="s">
        <v>5951</v>
      </c>
      <c r="E2245">
        <v>552207</v>
      </c>
      <c r="M2245" t="s">
        <v>631</v>
      </c>
      <c r="N2245" t="s">
        <v>276</v>
      </c>
      <c r="P2245" t="s">
        <v>260</v>
      </c>
      <c r="Q2245" t="s">
        <v>260</v>
      </c>
      <c r="R2245" t="s">
        <v>261</v>
      </c>
      <c r="S2245" t="s">
        <v>21</v>
      </c>
      <c r="T2245">
        <v>100</v>
      </c>
      <c r="W2245" t="s">
        <v>262</v>
      </c>
    </row>
    <row r="2246" spans="1:25" x14ac:dyDescent="0.3">
      <c r="A2246" t="s">
        <v>21</v>
      </c>
      <c r="B2246" t="s">
        <v>5952</v>
      </c>
      <c r="C2246" t="s">
        <v>270</v>
      </c>
      <c r="D2246" t="s">
        <v>5953</v>
      </c>
      <c r="E2246">
        <v>91336</v>
      </c>
      <c r="H2246" t="s">
        <v>5954</v>
      </c>
      <c r="I2246" t="s">
        <v>781</v>
      </c>
      <c r="J2246" t="s">
        <v>781</v>
      </c>
      <c r="K2246">
        <v>9600</v>
      </c>
      <c r="L2246" t="s">
        <v>276</v>
      </c>
      <c r="M2246" t="s">
        <v>781</v>
      </c>
      <c r="N2246" t="s">
        <v>276</v>
      </c>
      <c r="P2246" t="s">
        <v>260</v>
      </c>
      <c r="Q2246" t="s">
        <v>260</v>
      </c>
      <c r="R2246" t="s">
        <v>293</v>
      </c>
      <c r="S2246" t="s">
        <v>21</v>
      </c>
      <c r="T2246">
        <v>100</v>
      </c>
      <c r="W2246" t="s">
        <v>262</v>
      </c>
      <c r="X2246">
        <v>-45.403500000000001</v>
      </c>
      <c r="Y2246">
        <v>167.7167</v>
      </c>
    </row>
    <row r="2247" spans="1:25" x14ac:dyDescent="0.3">
      <c r="A2247" t="s">
        <v>21</v>
      </c>
      <c r="B2247" t="s">
        <v>5955</v>
      </c>
      <c r="C2247" t="s">
        <v>270</v>
      </c>
      <c r="D2247" t="s">
        <v>779</v>
      </c>
      <c r="E2247">
        <v>55682</v>
      </c>
      <c r="H2247" t="s">
        <v>5956</v>
      </c>
      <c r="I2247" t="s">
        <v>781</v>
      </c>
      <c r="J2247" t="s">
        <v>781</v>
      </c>
      <c r="K2247">
        <v>9600</v>
      </c>
      <c r="L2247" t="s">
        <v>276</v>
      </c>
      <c r="M2247" t="s">
        <v>781</v>
      </c>
      <c r="N2247" t="s">
        <v>276</v>
      </c>
      <c r="P2247" t="s">
        <v>260</v>
      </c>
      <c r="Q2247" t="s">
        <v>260</v>
      </c>
      <c r="R2247" t="s">
        <v>261</v>
      </c>
      <c r="S2247" t="s">
        <v>21</v>
      </c>
      <c r="T2247">
        <v>100</v>
      </c>
      <c r="W2247" t="s">
        <v>262</v>
      </c>
      <c r="X2247">
        <v>-45.412399999999998</v>
      </c>
      <c r="Y2247">
        <v>167.73150000000001</v>
      </c>
    </row>
    <row r="2248" spans="1:25" x14ac:dyDescent="0.3">
      <c r="A2248" t="s">
        <v>21</v>
      </c>
      <c r="B2248" t="s">
        <v>5957</v>
      </c>
      <c r="C2248" t="s">
        <v>270</v>
      </c>
      <c r="D2248" t="s">
        <v>5958</v>
      </c>
      <c r="E2248">
        <v>556598</v>
      </c>
      <c r="H2248" t="s">
        <v>5959</v>
      </c>
      <c r="I2248" t="s">
        <v>749</v>
      </c>
      <c r="J2248" t="s">
        <v>749</v>
      </c>
      <c r="K2248">
        <v>9300</v>
      </c>
      <c r="L2248" t="s">
        <v>276</v>
      </c>
      <c r="M2248" t="s">
        <v>749</v>
      </c>
      <c r="N2248" t="s">
        <v>276</v>
      </c>
      <c r="P2248" t="s">
        <v>260</v>
      </c>
      <c r="Q2248" t="s">
        <v>260</v>
      </c>
      <c r="R2248" t="s">
        <v>261</v>
      </c>
      <c r="S2248" t="s">
        <v>21</v>
      </c>
      <c r="T2248">
        <v>100</v>
      </c>
      <c r="W2248" t="s">
        <v>262</v>
      </c>
      <c r="X2248">
        <v>-45.0227</v>
      </c>
      <c r="Y2248">
        <v>168.65889999999999</v>
      </c>
    </row>
    <row r="2249" spans="1:25" x14ac:dyDescent="0.3">
      <c r="A2249" t="s">
        <v>21</v>
      </c>
      <c r="B2249" t="s">
        <v>5960</v>
      </c>
      <c r="C2249" t="s">
        <v>270</v>
      </c>
      <c r="D2249" t="s">
        <v>667</v>
      </c>
      <c r="E2249">
        <v>55581</v>
      </c>
      <c r="H2249" t="s">
        <v>5961</v>
      </c>
      <c r="I2249" t="s">
        <v>5962</v>
      </c>
      <c r="J2249" t="s">
        <v>5962</v>
      </c>
      <c r="K2249">
        <v>4079</v>
      </c>
      <c r="L2249" t="s">
        <v>276</v>
      </c>
      <c r="M2249" t="s">
        <v>5963</v>
      </c>
      <c r="N2249" t="s">
        <v>276</v>
      </c>
      <c r="P2249" t="s">
        <v>260</v>
      </c>
      <c r="Q2249" t="s">
        <v>260</v>
      </c>
      <c r="R2249" t="s">
        <v>261</v>
      </c>
      <c r="S2249" t="s">
        <v>21</v>
      </c>
      <c r="T2249">
        <v>100</v>
      </c>
      <c r="W2249" t="s">
        <v>262</v>
      </c>
      <c r="X2249">
        <v>-38.0533</v>
      </c>
      <c r="Y2249">
        <v>178.309</v>
      </c>
    </row>
    <row r="2250" spans="1:25" x14ac:dyDescent="0.3">
      <c r="A2250" t="s">
        <v>21</v>
      </c>
      <c r="B2250" t="s">
        <v>5964</v>
      </c>
      <c r="C2250" t="s">
        <v>270</v>
      </c>
      <c r="D2250" t="s">
        <v>5965</v>
      </c>
      <c r="E2250">
        <v>91217</v>
      </c>
      <c r="H2250" t="s">
        <v>5966</v>
      </c>
      <c r="I2250" t="s">
        <v>5967</v>
      </c>
      <c r="J2250" t="s">
        <v>5967</v>
      </c>
      <c r="K2250">
        <v>3119</v>
      </c>
      <c r="L2250" t="s">
        <v>276</v>
      </c>
      <c r="M2250" t="s">
        <v>5967</v>
      </c>
      <c r="N2250" t="s">
        <v>276</v>
      </c>
      <c r="P2250" t="s">
        <v>260</v>
      </c>
      <c r="Q2250" t="s">
        <v>260</v>
      </c>
      <c r="R2250" t="s">
        <v>293</v>
      </c>
      <c r="S2250" t="s">
        <v>21</v>
      </c>
      <c r="T2250">
        <v>100</v>
      </c>
      <c r="W2250" t="s">
        <v>262</v>
      </c>
      <c r="X2250">
        <v>-37.781199999999998</v>
      </c>
      <c r="Y2250">
        <v>176.32669999999999</v>
      </c>
    </row>
    <row r="2251" spans="1:25" x14ac:dyDescent="0.3">
      <c r="A2251" t="s">
        <v>21</v>
      </c>
      <c r="B2251" t="s">
        <v>5968</v>
      </c>
      <c r="C2251" t="s">
        <v>5969</v>
      </c>
      <c r="D2251" t="s">
        <v>5970</v>
      </c>
      <c r="E2251">
        <v>2000005220</v>
      </c>
      <c r="G2251" t="s">
        <v>5971</v>
      </c>
      <c r="M2251" t="s">
        <v>275</v>
      </c>
      <c r="N2251" t="s">
        <v>276</v>
      </c>
      <c r="P2251" t="s">
        <v>260</v>
      </c>
      <c r="Q2251" t="s">
        <v>260</v>
      </c>
      <c r="R2251" t="s">
        <v>268</v>
      </c>
      <c r="S2251" t="s">
        <v>21</v>
      </c>
      <c r="T2251">
        <v>100</v>
      </c>
      <c r="W2251" t="s">
        <v>262</v>
      </c>
    </row>
    <row r="2252" spans="1:25" x14ac:dyDescent="0.3">
      <c r="A2252" t="s">
        <v>21</v>
      </c>
      <c r="B2252" t="s">
        <v>5972</v>
      </c>
      <c r="C2252" t="s">
        <v>270</v>
      </c>
      <c r="D2252" t="s">
        <v>5973</v>
      </c>
      <c r="E2252">
        <v>2000005214</v>
      </c>
      <c r="M2252" t="s">
        <v>631</v>
      </c>
      <c r="N2252" t="s">
        <v>276</v>
      </c>
      <c r="P2252" t="s">
        <v>260</v>
      </c>
      <c r="Q2252" t="s">
        <v>260</v>
      </c>
      <c r="R2252" t="s">
        <v>268</v>
      </c>
      <c r="S2252" t="s">
        <v>21</v>
      </c>
      <c r="T2252">
        <v>100</v>
      </c>
      <c r="W2252" t="s">
        <v>262</v>
      </c>
    </row>
    <row r="2253" spans="1:25" x14ac:dyDescent="0.3">
      <c r="A2253" t="s">
        <v>21</v>
      </c>
      <c r="B2253" t="s">
        <v>5974</v>
      </c>
      <c r="C2253" t="s">
        <v>270</v>
      </c>
      <c r="D2253" t="s">
        <v>5975</v>
      </c>
      <c r="E2253" t="s">
        <v>5976</v>
      </c>
      <c r="H2253" t="s">
        <v>2433</v>
      </c>
      <c r="I2253" t="s">
        <v>1343</v>
      </c>
      <c r="J2253" t="s">
        <v>297</v>
      </c>
      <c r="K2253">
        <v>2104</v>
      </c>
      <c r="L2253" t="s">
        <v>276</v>
      </c>
      <c r="M2253" t="s">
        <v>631</v>
      </c>
      <c r="N2253" t="s">
        <v>276</v>
      </c>
      <c r="P2253" t="s">
        <v>260</v>
      </c>
      <c r="Q2253" t="s">
        <v>260</v>
      </c>
      <c r="R2253" t="s">
        <v>261</v>
      </c>
      <c r="S2253" t="s">
        <v>21</v>
      </c>
      <c r="T2253">
        <v>100</v>
      </c>
      <c r="W2253" t="s">
        <v>262</v>
      </c>
      <c r="X2253">
        <v>-37.008299999999998</v>
      </c>
      <c r="Y2253">
        <v>174.87049999999999</v>
      </c>
    </row>
    <row r="2254" spans="1:25" x14ac:dyDescent="0.3">
      <c r="A2254" t="s">
        <v>21</v>
      </c>
      <c r="B2254" t="s">
        <v>5977</v>
      </c>
      <c r="C2254" t="s">
        <v>270</v>
      </c>
      <c r="D2254" t="s">
        <v>5978</v>
      </c>
      <c r="E2254" t="s">
        <v>5978</v>
      </c>
      <c r="F2254" t="s">
        <v>5978</v>
      </c>
      <c r="M2254" t="s">
        <v>411</v>
      </c>
      <c r="N2254" t="s">
        <v>259</v>
      </c>
      <c r="P2254" t="s">
        <v>260</v>
      </c>
      <c r="Q2254" t="s">
        <v>260</v>
      </c>
      <c r="R2254" t="s">
        <v>283</v>
      </c>
      <c r="S2254" t="s">
        <v>21</v>
      </c>
      <c r="T2254">
        <v>100</v>
      </c>
      <c r="W2254" t="s">
        <v>262</v>
      </c>
    </row>
    <row r="2255" spans="1:25" x14ac:dyDescent="0.3">
      <c r="A2255" t="s">
        <v>21</v>
      </c>
      <c r="B2255" t="s">
        <v>5979</v>
      </c>
      <c r="C2255" t="s">
        <v>270</v>
      </c>
      <c r="D2255" t="s">
        <v>5980</v>
      </c>
      <c r="E2255">
        <v>63980</v>
      </c>
      <c r="M2255" t="s">
        <v>631</v>
      </c>
      <c r="N2255" t="s">
        <v>276</v>
      </c>
      <c r="P2255" t="s">
        <v>260</v>
      </c>
      <c r="Q2255" t="s">
        <v>260</v>
      </c>
      <c r="R2255" t="s">
        <v>283</v>
      </c>
      <c r="S2255" t="s">
        <v>21</v>
      </c>
      <c r="T2255">
        <v>100</v>
      </c>
      <c r="W2255" t="s">
        <v>262</v>
      </c>
    </row>
    <row r="2256" spans="1:25" x14ac:dyDescent="0.3">
      <c r="A2256" t="s">
        <v>21</v>
      </c>
      <c r="B2256" t="s">
        <v>5981</v>
      </c>
      <c r="C2256" t="s">
        <v>270</v>
      </c>
      <c r="D2256" t="s">
        <v>1926</v>
      </c>
      <c r="E2256">
        <v>3005</v>
      </c>
      <c r="H2256" t="s">
        <v>2433</v>
      </c>
      <c r="I2256" t="s">
        <v>1343</v>
      </c>
      <c r="J2256" t="s">
        <v>297</v>
      </c>
      <c r="K2256">
        <v>2104</v>
      </c>
      <c r="L2256" t="s">
        <v>276</v>
      </c>
      <c r="M2256" t="s">
        <v>631</v>
      </c>
      <c r="N2256" t="s">
        <v>276</v>
      </c>
      <c r="P2256" t="s">
        <v>260</v>
      </c>
      <c r="Q2256" t="s">
        <v>260</v>
      </c>
      <c r="R2256" t="s">
        <v>261</v>
      </c>
      <c r="S2256" t="s">
        <v>21</v>
      </c>
      <c r="T2256">
        <v>100</v>
      </c>
      <c r="W2256" t="s">
        <v>262</v>
      </c>
      <c r="X2256">
        <v>-37.008299999999998</v>
      </c>
      <c r="Y2256">
        <v>174.87049999999999</v>
      </c>
    </row>
    <row r="2257" spans="1:28" x14ac:dyDescent="0.3">
      <c r="A2257" t="s">
        <v>21</v>
      </c>
      <c r="B2257" t="s">
        <v>5982</v>
      </c>
      <c r="C2257" t="s">
        <v>270</v>
      </c>
      <c r="D2257" t="s">
        <v>5983</v>
      </c>
      <c r="E2257">
        <v>3007</v>
      </c>
      <c r="M2257" t="s">
        <v>631</v>
      </c>
      <c r="N2257" t="s">
        <v>276</v>
      </c>
      <c r="P2257" t="s">
        <v>260</v>
      </c>
      <c r="Q2257" t="s">
        <v>260</v>
      </c>
      <c r="R2257" t="s">
        <v>261</v>
      </c>
      <c r="S2257" t="s">
        <v>21</v>
      </c>
      <c r="T2257">
        <v>100</v>
      </c>
      <c r="W2257" t="s">
        <v>262</v>
      </c>
    </row>
    <row r="2258" spans="1:28" x14ac:dyDescent="0.3">
      <c r="A2258" t="s">
        <v>21</v>
      </c>
      <c r="B2258" t="s">
        <v>5984</v>
      </c>
      <c r="C2258" t="s">
        <v>270</v>
      </c>
      <c r="D2258" t="s">
        <v>1348</v>
      </c>
      <c r="E2258">
        <v>1992</v>
      </c>
      <c r="H2258" t="s">
        <v>2433</v>
      </c>
      <c r="I2258" t="s">
        <v>1343</v>
      </c>
      <c r="J2258" t="s">
        <v>297</v>
      </c>
      <c r="K2258">
        <v>2104</v>
      </c>
      <c r="L2258" t="s">
        <v>276</v>
      </c>
      <c r="M2258" t="s">
        <v>631</v>
      </c>
      <c r="N2258" t="s">
        <v>276</v>
      </c>
      <c r="P2258" t="s">
        <v>260</v>
      </c>
      <c r="Q2258" t="s">
        <v>260</v>
      </c>
      <c r="R2258" t="s">
        <v>283</v>
      </c>
      <c r="S2258" t="s">
        <v>21</v>
      </c>
      <c r="T2258">
        <v>100</v>
      </c>
      <c r="W2258" t="s">
        <v>262</v>
      </c>
      <c r="X2258">
        <v>-37.008299999999998</v>
      </c>
      <c r="Y2258">
        <v>174.87049999999999</v>
      </c>
    </row>
    <row r="2259" spans="1:28" x14ac:dyDescent="0.3">
      <c r="A2259" t="s">
        <v>21</v>
      </c>
      <c r="B2259" t="s">
        <v>5985</v>
      </c>
      <c r="C2259" t="s">
        <v>270</v>
      </c>
      <c r="D2259" t="s">
        <v>4221</v>
      </c>
      <c r="E2259">
        <v>10200</v>
      </c>
      <c r="G2259">
        <v>10.199999999999999</v>
      </c>
      <c r="H2259" t="s">
        <v>2433</v>
      </c>
      <c r="I2259" t="s">
        <v>1343</v>
      </c>
      <c r="J2259" t="s">
        <v>297</v>
      </c>
      <c r="K2259">
        <v>2104</v>
      </c>
      <c r="L2259" t="s">
        <v>276</v>
      </c>
      <c r="M2259" t="s">
        <v>631</v>
      </c>
      <c r="N2259" t="s">
        <v>276</v>
      </c>
      <c r="P2259" t="s">
        <v>260</v>
      </c>
      <c r="Q2259" t="s">
        <v>260</v>
      </c>
      <c r="R2259" t="s">
        <v>283</v>
      </c>
      <c r="S2259" t="s">
        <v>21</v>
      </c>
      <c r="T2259">
        <v>100</v>
      </c>
      <c r="W2259" t="s">
        <v>262</v>
      </c>
      <c r="X2259">
        <v>-37.008299999999998</v>
      </c>
      <c r="Y2259">
        <v>174.87049999999999</v>
      </c>
    </row>
    <row r="2260" spans="1:28" x14ac:dyDescent="0.3">
      <c r="A2260" t="s">
        <v>21</v>
      </c>
      <c r="B2260" t="s">
        <v>5986</v>
      </c>
      <c r="C2260" t="s">
        <v>270</v>
      </c>
      <c r="D2260" t="s">
        <v>2136</v>
      </c>
      <c r="E2260">
        <v>10030</v>
      </c>
      <c r="G2260" t="s">
        <v>5987</v>
      </c>
      <c r="M2260" t="s">
        <v>631</v>
      </c>
      <c r="N2260" t="s">
        <v>276</v>
      </c>
      <c r="P2260" t="s">
        <v>260</v>
      </c>
      <c r="Q2260" t="s">
        <v>260</v>
      </c>
      <c r="R2260" t="s">
        <v>283</v>
      </c>
      <c r="S2260" t="s">
        <v>21</v>
      </c>
      <c r="T2260">
        <v>100</v>
      </c>
      <c r="W2260" t="s">
        <v>262</v>
      </c>
      <c r="AB2260" s="9">
        <v>45565</v>
      </c>
    </row>
    <row r="2261" spans="1:28" x14ac:dyDescent="0.3">
      <c r="A2261" t="s">
        <v>21</v>
      </c>
      <c r="B2261" t="s">
        <v>5988</v>
      </c>
      <c r="C2261" t="s">
        <v>270</v>
      </c>
      <c r="D2261" t="s">
        <v>5644</v>
      </c>
      <c r="E2261" t="s">
        <v>5644</v>
      </c>
      <c r="F2261" t="s">
        <v>5644</v>
      </c>
      <c r="M2261" t="s">
        <v>297</v>
      </c>
      <c r="N2261" t="s">
        <v>276</v>
      </c>
      <c r="P2261" t="s">
        <v>260</v>
      </c>
      <c r="Q2261" t="s">
        <v>260</v>
      </c>
      <c r="R2261" t="s">
        <v>283</v>
      </c>
      <c r="S2261" t="s">
        <v>21</v>
      </c>
      <c r="T2261">
        <v>100</v>
      </c>
      <c r="W2261" t="s">
        <v>262</v>
      </c>
    </row>
    <row r="2262" spans="1:28" x14ac:dyDescent="0.3">
      <c r="A2262" t="s">
        <v>21</v>
      </c>
      <c r="B2262" t="s">
        <v>5989</v>
      </c>
      <c r="C2262" t="s">
        <v>270</v>
      </c>
      <c r="D2262" t="s">
        <v>5990</v>
      </c>
      <c r="E2262" t="s">
        <v>5990</v>
      </c>
      <c r="F2262" t="s">
        <v>5990</v>
      </c>
      <c r="M2262" t="s">
        <v>297</v>
      </c>
      <c r="N2262" t="s">
        <v>276</v>
      </c>
      <c r="P2262" t="s">
        <v>260</v>
      </c>
      <c r="Q2262" t="s">
        <v>260</v>
      </c>
      <c r="R2262" t="s">
        <v>283</v>
      </c>
      <c r="S2262" t="s">
        <v>21</v>
      </c>
      <c r="T2262">
        <v>100</v>
      </c>
      <c r="W2262" t="s">
        <v>262</v>
      </c>
    </row>
    <row r="2263" spans="1:28" x14ac:dyDescent="0.3">
      <c r="A2263" t="s">
        <v>21</v>
      </c>
      <c r="B2263" t="s">
        <v>5991</v>
      </c>
      <c r="C2263" t="s">
        <v>270</v>
      </c>
      <c r="D2263" t="s">
        <v>5992</v>
      </c>
      <c r="E2263" t="s">
        <v>5992</v>
      </c>
      <c r="M2263" t="s">
        <v>394</v>
      </c>
      <c r="N2263" t="s">
        <v>276</v>
      </c>
      <c r="P2263" t="s">
        <v>260</v>
      </c>
      <c r="Q2263" t="s">
        <v>260</v>
      </c>
      <c r="R2263" t="s">
        <v>283</v>
      </c>
      <c r="S2263" t="s">
        <v>21</v>
      </c>
      <c r="T2263">
        <v>100</v>
      </c>
      <c r="W2263" t="s">
        <v>262</v>
      </c>
    </row>
    <row r="2264" spans="1:28" x14ac:dyDescent="0.3">
      <c r="A2264" t="s">
        <v>21</v>
      </c>
      <c r="B2264" t="s">
        <v>5993</v>
      </c>
      <c r="C2264" t="s">
        <v>270</v>
      </c>
      <c r="D2264" t="s">
        <v>5994</v>
      </c>
      <c r="E2264" t="s">
        <v>5994</v>
      </c>
      <c r="M2264" t="s">
        <v>411</v>
      </c>
      <c r="N2264" t="s">
        <v>259</v>
      </c>
      <c r="P2264" t="s">
        <v>260</v>
      </c>
      <c r="Q2264" t="s">
        <v>260</v>
      </c>
      <c r="R2264" t="s">
        <v>283</v>
      </c>
      <c r="S2264" t="s">
        <v>21</v>
      </c>
      <c r="T2264">
        <v>100</v>
      </c>
      <c r="W2264" t="s">
        <v>262</v>
      </c>
    </row>
    <row r="2265" spans="1:28" x14ac:dyDescent="0.3">
      <c r="A2265" t="s">
        <v>21</v>
      </c>
      <c r="B2265" t="s">
        <v>5995</v>
      </c>
      <c r="C2265" t="s">
        <v>270</v>
      </c>
      <c r="D2265" t="s">
        <v>5996</v>
      </c>
      <c r="E2265" t="s">
        <v>5996</v>
      </c>
      <c r="F2265" t="s">
        <v>5996</v>
      </c>
      <c r="M2265" t="s">
        <v>411</v>
      </c>
      <c r="N2265" t="s">
        <v>259</v>
      </c>
      <c r="P2265" t="s">
        <v>260</v>
      </c>
      <c r="Q2265" t="s">
        <v>260</v>
      </c>
      <c r="R2265" t="s">
        <v>283</v>
      </c>
      <c r="S2265" t="s">
        <v>21</v>
      </c>
      <c r="T2265">
        <v>100</v>
      </c>
      <c r="W2265" t="s">
        <v>262</v>
      </c>
    </row>
    <row r="2266" spans="1:28" x14ac:dyDescent="0.3">
      <c r="A2266" t="s">
        <v>21</v>
      </c>
      <c r="B2266" t="s">
        <v>5997</v>
      </c>
      <c r="C2266" t="s">
        <v>270</v>
      </c>
      <c r="D2266" t="s">
        <v>5998</v>
      </c>
      <c r="E2266">
        <v>8802</v>
      </c>
      <c r="H2266" t="s">
        <v>5999</v>
      </c>
      <c r="I2266" t="s">
        <v>6000</v>
      </c>
      <c r="J2266" t="s">
        <v>403</v>
      </c>
      <c r="K2266">
        <v>6011</v>
      </c>
      <c r="L2266" t="s">
        <v>276</v>
      </c>
      <c r="M2266" t="s">
        <v>1294</v>
      </c>
      <c r="N2266" t="s">
        <v>276</v>
      </c>
      <c r="P2266" t="s">
        <v>260</v>
      </c>
      <c r="Q2266" t="s">
        <v>260</v>
      </c>
      <c r="R2266" t="s">
        <v>261</v>
      </c>
      <c r="S2266" t="s">
        <v>21</v>
      </c>
      <c r="T2266">
        <v>100</v>
      </c>
      <c r="W2266" t="s">
        <v>262</v>
      </c>
      <c r="X2266">
        <v>-41.286700000000003</v>
      </c>
      <c r="Y2266">
        <v>174.77590000000001</v>
      </c>
    </row>
    <row r="2267" spans="1:28" x14ac:dyDescent="0.3">
      <c r="A2267" t="s">
        <v>21</v>
      </c>
      <c r="B2267" t="s">
        <v>6001</v>
      </c>
      <c r="C2267" t="s">
        <v>264</v>
      </c>
      <c r="D2267" t="s">
        <v>6002</v>
      </c>
      <c r="E2267">
        <v>1020</v>
      </c>
      <c r="G2267" t="s">
        <v>6003</v>
      </c>
      <c r="H2267" t="s">
        <v>6004</v>
      </c>
      <c r="I2267" t="s">
        <v>6005</v>
      </c>
      <c r="J2267" t="s">
        <v>318</v>
      </c>
      <c r="K2267">
        <v>4005</v>
      </c>
      <c r="L2267" t="s">
        <v>259</v>
      </c>
      <c r="M2267" t="s">
        <v>566</v>
      </c>
      <c r="N2267" t="s">
        <v>259</v>
      </c>
      <c r="P2267" t="s">
        <v>260</v>
      </c>
      <c r="Q2267" t="s">
        <v>260</v>
      </c>
      <c r="R2267" t="s">
        <v>293</v>
      </c>
      <c r="S2267" t="s">
        <v>21</v>
      </c>
      <c r="T2267">
        <v>100</v>
      </c>
      <c r="W2267" t="s">
        <v>262</v>
      </c>
      <c r="Z2267">
        <v>729</v>
      </c>
    </row>
    <row r="2268" spans="1:28" x14ac:dyDescent="0.3">
      <c r="A2268" t="s">
        <v>21</v>
      </c>
      <c r="B2268" t="s">
        <v>6006</v>
      </c>
      <c r="C2268" t="s">
        <v>270</v>
      </c>
      <c r="D2268" t="s">
        <v>6007</v>
      </c>
      <c r="E2268" t="s">
        <v>6007</v>
      </c>
      <c r="M2268" t="s">
        <v>394</v>
      </c>
      <c r="N2268" t="s">
        <v>276</v>
      </c>
      <c r="P2268" t="s">
        <v>260</v>
      </c>
      <c r="Q2268" t="s">
        <v>260</v>
      </c>
      <c r="R2268" t="s">
        <v>283</v>
      </c>
      <c r="S2268" t="s">
        <v>21</v>
      </c>
      <c r="T2268">
        <v>100</v>
      </c>
      <c r="W2268" t="s">
        <v>262</v>
      </c>
    </row>
    <row r="2269" spans="1:28" x14ac:dyDescent="0.3">
      <c r="A2269" t="s">
        <v>21</v>
      </c>
      <c r="B2269" t="s">
        <v>6008</v>
      </c>
      <c r="C2269" t="s">
        <v>299</v>
      </c>
      <c r="D2269" t="s">
        <v>6009</v>
      </c>
      <c r="E2269">
        <v>289</v>
      </c>
      <c r="H2269" t="s">
        <v>6010</v>
      </c>
      <c r="I2269" t="s">
        <v>6008</v>
      </c>
      <c r="J2269" t="s">
        <v>2454</v>
      </c>
      <c r="K2269">
        <v>861</v>
      </c>
      <c r="L2269" t="s">
        <v>259</v>
      </c>
      <c r="M2269" t="s">
        <v>6008</v>
      </c>
      <c r="N2269" t="s">
        <v>259</v>
      </c>
      <c r="P2269" t="s">
        <v>260</v>
      </c>
      <c r="Q2269" t="s">
        <v>260</v>
      </c>
      <c r="R2269" t="s">
        <v>261</v>
      </c>
      <c r="S2269" t="s">
        <v>21</v>
      </c>
      <c r="T2269">
        <v>100</v>
      </c>
      <c r="W2269" t="s">
        <v>262</v>
      </c>
      <c r="X2269">
        <v>-19.648</v>
      </c>
      <c r="Y2269">
        <v>134.184</v>
      </c>
      <c r="Z2269">
        <v>310</v>
      </c>
    </row>
    <row r="2270" spans="1:28" x14ac:dyDescent="0.3">
      <c r="A2270" t="s">
        <v>21</v>
      </c>
      <c r="B2270" t="s">
        <v>6011</v>
      </c>
      <c r="C2270" t="s">
        <v>539</v>
      </c>
      <c r="D2270" t="s">
        <v>6012</v>
      </c>
      <c r="E2270" t="s">
        <v>6013</v>
      </c>
      <c r="M2270" t="s">
        <v>312</v>
      </c>
      <c r="N2270" t="s">
        <v>259</v>
      </c>
      <c r="P2270" t="s">
        <v>260</v>
      </c>
      <c r="Q2270" t="s">
        <v>260</v>
      </c>
      <c r="R2270" t="s">
        <v>261</v>
      </c>
      <c r="S2270" t="s">
        <v>21</v>
      </c>
      <c r="T2270">
        <v>100</v>
      </c>
      <c r="W2270" t="s">
        <v>262</v>
      </c>
    </row>
    <row r="2271" spans="1:28" x14ac:dyDescent="0.3">
      <c r="A2271" t="s">
        <v>21</v>
      </c>
      <c r="B2271" t="s">
        <v>6014</v>
      </c>
      <c r="C2271" t="s">
        <v>270</v>
      </c>
      <c r="M2271" t="s">
        <v>379</v>
      </c>
      <c r="N2271" t="s">
        <v>276</v>
      </c>
      <c r="P2271" t="s">
        <v>260</v>
      </c>
      <c r="Q2271" t="s">
        <v>260</v>
      </c>
      <c r="R2271" t="s">
        <v>293</v>
      </c>
      <c r="S2271" t="s">
        <v>21</v>
      </c>
      <c r="T2271">
        <v>100</v>
      </c>
      <c r="W2271" t="s">
        <v>262</v>
      </c>
    </row>
    <row r="2272" spans="1:28" x14ac:dyDescent="0.3">
      <c r="A2272" t="s">
        <v>21</v>
      </c>
      <c r="B2272" t="s">
        <v>6015</v>
      </c>
      <c r="C2272" t="s">
        <v>270</v>
      </c>
      <c r="D2272" t="s">
        <v>6016</v>
      </c>
      <c r="E2272" t="s">
        <v>6016</v>
      </c>
      <c r="F2272" t="s">
        <v>6016</v>
      </c>
      <c r="M2272" t="s">
        <v>411</v>
      </c>
      <c r="N2272" t="s">
        <v>259</v>
      </c>
      <c r="P2272" t="s">
        <v>260</v>
      </c>
      <c r="Q2272" t="s">
        <v>260</v>
      </c>
      <c r="R2272" t="s">
        <v>283</v>
      </c>
      <c r="S2272" t="s">
        <v>21</v>
      </c>
      <c r="T2272">
        <v>100</v>
      </c>
      <c r="W2272" t="s">
        <v>262</v>
      </c>
    </row>
    <row r="2273" spans="1:25" x14ac:dyDescent="0.3">
      <c r="A2273" t="s">
        <v>21</v>
      </c>
      <c r="B2273" t="s">
        <v>6017</v>
      </c>
      <c r="C2273" t="s">
        <v>270</v>
      </c>
      <c r="D2273" t="s">
        <v>6018</v>
      </c>
      <c r="E2273" t="s">
        <v>6018</v>
      </c>
      <c r="M2273" t="s">
        <v>411</v>
      </c>
      <c r="N2273" t="s">
        <v>259</v>
      </c>
      <c r="P2273" t="s">
        <v>260</v>
      </c>
      <c r="Q2273" t="s">
        <v>260</v>
      </c>
      <c r="R2273" t="s">
        <v>283</v>
      </c>
      <c r="S2273" t="s">
        <v>21</v>
      </c>
      <c r="T2273">
        <v>100</v>
      </c>
      <c r="W2273" t="s">
        <v>262</v>
      </c>
    </row>
    <row r="2274" spans="1:25" x14ac:dyDescent="0.3">
      <c r="A2274" t="s">
        <v>21</v>
      </c>
      <c r="B2274" t="s">
        <v>6019</v>
      </c>
      <c r="C2274" t="s">
        <v>270</v>
      </c>
      <c r="D2274" t="s">
        <v>6020</v>
      </c>
      <c r="E2274" t="s">
        <v>6020</v>
      </c>
      <c r="M2274" t="s">
        <v>411</v>
      </c>
      <c r="N2274" t="s">
        <v>259</v>
      </c>
      <c r="P2274" t="s">
        <v>260</v>
      </c>
      <c r="Q2274" t="s">
        <v>260</v>
      </c>
      <c r="R2274" t="s">
        <v>283</v>
      </c>
      <c r="S2274" t="s">
        <v>21</v>
      </c>
      <c r="T2274">
        <v>100</v>
      </c>
      <c r="W2274" t="s">
        <v>262</v>
      </c>
    </row>
    <row r="2275" spans="1:25" x14ac:dyDescent="0.3">
      <c r="A2275" t="s">
        <v>21</v>
      </c>
      <c r="B2275" t="s">
        <v>6021</v>
      </c>
      <c r="C2275" t="s">
        <v>270</v>
      </c>
      <c r="D2275" t="s">
        <v>6022</v>
      </c>
      <c r="E2275">
        <v>10174</v>
      </c>
      <c r="G2275">
        <v>10.173999999999999</v>
      </c>
      <c r="H2275" t="s">
        <v>2433</v>
      </c>
      <c r="I2275" t="s">
        <v>1343</v>
      </c>
      <c r="J2275" t="s">
        <v>297</v>
      </c>
      <c r="K2275">
        <v>2104</v>
      </c>
      <c r="L2275" t="s">
        <v>276</v>
      </c>
      <c r="M2275" t="s">
        <v>631</v>
      </c>
      <c r="N2275" t="s">
        <v>276</v>
      </c>
      <c r="P2275" t="s">
        <v>260</v>
      </c>
      <c r="Q2275" t="s">
        <v>260</v>
      </c>
      <c r="R2275" t="s">
        <v>283</v>
      </c>
      <c r="S2275" t="s">
        <v>21</v>
      </c>
      <c r="T2275">
        <v>100</v>
      </c>
      <c r="W2275" t="s">
        <v>262</v>
      </c>
      <c r="X2275">
        <v>-37.008299999999998</v>
      </c>
      <c r="Y2275">
        <v>174.87049999999999</v>
      </c>
    </row>
    <row r="2276" spans="1:25" x14ac:dyDescent="0.3">
      <c r="A2276" t="s">
        <v>21</v>
      </c>
      <c r="B2276" t="s">
        <v>6023</v>
      </c>
      <c r="C2276" t="s">
        <v>270</v>
      </c>
      <c r="D2276" t="s">
        <v>6024</v>
      </c>
      <c r="E2276" t="s">
        <v>6025</v>
      </c>
      <c r="M2276" t="s">
        <v>631</v>
      </c>
      <c r="N2276" t="s">
        <v>276</v>
      </c>
      <c r="P2276" t="s">
        <v>260</v>
      </c>
      <c r="Q2276" t="s">
        <v>260</v>
      </c>
      <c r="R2276" t="s">
        <v>261</v>
      </c>
      <c r="S2276" t="s">
        <v>21</v>
      </c>
      <c r="T2276">
        <v>100</v>
      </c>
      <c r="W2276" t="s">
        <v>262</v>
      </c>
    </row>
    <row r="2277" spans="1:25" x14ac:dyDescent="0.3">
      <c r="A2277" t="s">
        <v>21</v>
      </c>
      <c r="B2277" t="s">
        <v>6026</v>
      </c>
      <c r="C2277" t="s">
        <v>270</v>
      </c>
      <c r="D2277" t="s">
        <v>1949</v>
      </c>
      <c r="E2277">
        <v>1935</v>
      </c>
      <c r="H2277" t="s">
        <v>2433</v>
      </c>
      <c r="I2277" t="s">
        <v>1343</v>
      </c>
      <c r="J2277" t="s">
        <v>297</v>
      </c>
      <c r="K2277">
        <v>2104</v>
      </c>
      <c r="L2277" t="s">
        <v>276</v>
      </c>
      <c r="M2277" t="s">
        <v>631</v>
      </c>
      <c r="N2277" t="s">
        <v>276</v>
      </c>
      <c r="P2277" t="s">
        <v>260</v>
      </c>
      <c r="Q2277" t="s">
        <v>260</v>
      </c>
      <c r="R2277" t="s">
        <v>261</v>
      </c>
      <c r="S2277" t="s">
        <v>21</v>
      </c>
      <c r="T2277">
        <v>100</v>
      </c>
      <c r="W2277" t="s">
        <v>262</v>
      </c>
      <c r="X2277">
        <v>-37.008299999999998</v>
      </c>
      <c r="Y2277">
        <v>174.87049999999999</v>
      </c>
    </row>
    <row r="2278" spans="1:25" x14ac:dyDescent="0.3">
      <c r="A2278" t="s">
        <v>21</v>
      </c>
      <c r="B2278" t="s">
        <v>6027</v>
      </c>
      <c r="C2278" t="s">
        <v>528</v>
      </c>
      <c r="D2278" t="s">
        <v>6028</v>
      </c>
      <c r="E2278" t="s">
        <v>6028</v>
      </c>
      <c r="G2278" t="s">
        <v>6029</v>
      </c>
      <c r="M2278" t="s">
        <v>411</v>
      </c>
      <c r="N2278" t="s">
        <v>259</v>
      </c>
      <c r="P2278" t="s">
        <v>260</v>
      </c>
      <c r="Q2278" t="s">
        <v>260</v>
      </c>
      <c r="R2278" t="s">
        <v>261</v>
      </c>
      <c r="S2278" t="s">
        <v>21</v>
      </c>
      <c r="T2278">
        <v>100</v>
      </c>
      <c r="W2278" t="s">
        <v>262</v>
      </c>
    </row>
    <row r="2279" spans="1:25" x14ac:dyDescent="0.3">
      <c r="A2279" t="s">
        <v>21</v>
      </c>
      <c r="B2279" t="s">
        <v>6030</v>
      </c>
      <c r="C2279" t="s">
        <v>270</v>
      </c>
      <c r="D2279" t="s">
        <v>6031</v>
      </c>
      <c r="E2279">
        <v>91287</v>
      </c>
      <c r="H2279" t="s">
        <v>6032</v>
      </c>
      <c r="I2279" t="s">
        <v>6033</v>
      </c>
      <c r="J2279" t="s">
        <v>698</v>
      </c>
      <c r="K2279">
        <v>7910</v>
      </c>
      <c r="L2279" t="s">
        <v>276</v>
      </c>
      <c r="M2279" t="s">
        <v>698</v>
      </c>
      <c r="N2279" t="s">
        <v>276</v>
      </c>
      <c r="P2279" t="s">
        <v>260</v>
      </c>
      <c r="Q2279" t="s">
        <v>260</v>
      </c>
      <c r="R2279" t="s">
        <v>293</v>
      </c>
      <c r="S2279" t="s">
        <v>21</v>
      </c>
      <c r="T2279">
        <v>100</v>
      </c>
      <c r="W2279" t="s">
        <v>262</v>
      </c>
      <c r="X2279">
        <v>-44.377299999999998</v>
      </c>
      <c r="Y2279">
        <v>171.2183</v>
      </c>
    </row>
    <row r="2280" spans="1:25" ht="135" customHeight="1" x14ac:dyDescent="0.3">
      <c r="A2280" t="s">
        <v>21</v>
      </c>
      <c r="B2280" t="s">
        <v>6034</v>
      </c>
      <c r="C2280" t="s">
        <v>2894</v>
      </c>
      <c r="D2280" t="s">
        <v>2468</v>
      </c>
      <c r="E2280">
        <v>55368</v>
      </c>
      <c r="G2280" s="10" t="s">
        <v>6035</v>
      </c>
      <c r="M2280" t="s">
        <v>698</v>
      </c>
      <c r="N2280" t="s">
        <v>276</v>
      </c>
      <c r="P2280" t="s">
        <v>260</v>
      </c>
      <c r="Q2280" t="s">
        <v>260</v>
      </c>
      <c r="R2280" t="s">
        <v>261</v>
      </c>
      <c r="S2280" t="s">
        <v>21</v>
      </c>
      <c r="T2280">
        <v>100</v>
      </c>
      <c r="W2280" t="s">
        <v>262</v>
      </c>
    </row>
    <row r="2281" spans="1:25" x14ac:dyDescent="0.3">
      <c r="A2281" t="s">
        <v>21</v>
      </c>
      <c r="B2281" t="s">
        <v>6036</v>
      </c>
      <c r="C2281" t="s">
        <v>270</v>
      </c>
      <c r="D2281" t="s">
        <v>783</v>
      </c>
      <c r="E2281">
        <v>55652</v>
      </c>
      <c r="H2281" t="s">
        <v>6037</v>
      </c>
      <c r="I2281" t="s">
        <v>6038</v>
      </c>
      <c r="J2281" t="s">
        <v>698</v>
      </c>
      <c r="K2281">
        <v>7910</v>
      </c>
      <c r="L2281" t="s">
        <v>276</v>
      </c>
      <c r="M2281" t="s">
        <v>698</v>
      </c>
      <c r="N2281" t="s">
        <v>276</v>
      </c>
      <c r="P2281" t="s">
        <v>260</v>
      </c>
      <c r="Q2281" t="s">
        <v>260</v>
      </c>
      <c r="R2281" t="s">
        <v>261</v>
      </c>
      <c r="S2281" t="s">
        <v>21</v>
      </c>
      <c r="T2281">
        <v>100</v>
      </c>
      <c r="W2281" t="s">
        <v>262</v>
      </c>
      <c r="X2281">
        <v>-44.354399999999998</v>
      </c>
      <c r="Y2281">
        <v>171.2482</v>
      </c>
    </row>
    <row r="2282" spans="1:25" x14ac:dyDescent="0.3">
      <c r="A2282" t="s">
        <v>21</v>
      </c>
      <c r="B2282" t="s">
        <v>6039</v>
      </c>
      <c r="C2282" t="s">
        <v>270</v>
      </c>
      <c r="D2282" t="s">
        <v>786</v>
      </c>
      <c r="E2282">
        <v>55568</v>
      </c>
      <c r="H2282" t="s">
        <v>787</v>
      </c>
      <c r="I2282" t="s">
        <v>788</v>
      </c>
      <c r="J2282" t="s">
        <v>788</v>
      </c>
      <c r="K2282">
        <v>3410</v>
      </c>
      <c r="L2282" t="s">
        <v>276</v>
      </c>
      <c r="M2282" t="s">
        <v>788</v>
      </c>
      <c r="N2282" t="s">
        <v>276</v>
      </c>
      <c r="P2282" t="s">
        <v>260</v>
      </c>
      <c r="Q2282" t="s">
        <v>260</v>
      </c>
      <c r="R2282" t="s">
        <v>261</v>
      </c>
      <c r="S2282" t="s">
        <v>21</v>
      </c>
      <c r="T2282">
        <v>100</v>
      </c>
      <c r="W2282" t="s">
        <v>262</v>
      </c>
      <c r="X2282">
        <v>-37.974200000000003</v>
      </c>
      <c r="Y2282">
        <v>175.75880000000001</v>
      </c>
    </row>
    <row r="2283" spans="1:25" x14ac:dyDescent="0.3">
      <c r="A2283" t="s">
        <v>21</v>
      </c>
      <c r="B2283" t="s">
        <v>6040</v>
      </c>
      <c r="C2283" t="s">
        <v>270</v>
      </c>
      <c r="D2283" t="s">
        <v>6041</v>
      </c>
      <c r="E2283">
        <v>556241</v>
      </c>
      <c r="F2283">
        <v>556241</v>
      </c>
      <c r="M2283" t="s">
        <v>275</v>
      </c>
      <c r="N2283" t="s">
        <v>276</v>
      </c>
      <c r="P2283" t="s">
        <v>260</v>
      </c>
      <c r="Q2283" t="s">
        <v>260</v>
      </c>
      <c r="R2283" t="s">
        <v>261</v>
      </c>
      <c r="S2283" t="s">
        <v>21</v>
      </c>
      <c r="T2283">
        <v>100</v>
      </c>
      <c r="W2283" t="s">
        <v>262</v>
      </c>
    </row>
    <row r="2284" spans="1:25" x14ac:dyDescent="0.3">
      <c r="A2284" t="s">
        <v>21</v>
      </c>
      <c r="B2284" t="s">
        <v>6042</v>
      </c>
      <c r="C2284" t="s">
        <v>270</v>
      </c>
      <c r="D2284" t="s">
        <v>6043</v>
      </c>
      <c r="E2284" t="s">
        <v>6044</v>
      </c>
      <c r="G2284" t="s">
        <v>3326</v>
      </c>
      <c r="M2284" t="s">
        <v>297</v>
      </c>
      <c r="N2284" t="s">
        <v>276</v>
      </c>
      <c r="P2284" t="s">
        <v>260</v>
      </c>
      <c r="Q2284" t="s">
        <v>260</v>
      </c>
      <c r="R2284" t="s">
        <v>283</v>
      </c>
      <c r="S2284" t="s">
        <v>21</v>
      </c>
      <c r="T2284">
        <v>100</v>
      </c>
      <c r="W2284" t="s">
        <v>262</v>
      </c>
    </row>
    <row r="2285" spans="1:25" x14ac:dyDescent="0.3">
      <c r="A2285" t="s">
        <v>21</v>
      </c>
      <c r="B2285" t="s">
        <v>6045</v>
      </c>
      <c r="C2285" t="s">
        <v>270</v>
      </c>
      <c r="D2285" t="s">
        <v>6046</v>
      </c>
      <c r="E2285" t="s">
        <v>6047</v>
      </c>
      <c r="H2285" t="s">
        <v>2433</v>
      </c>
      <c r="I2285" t="s">
        <v>1343</v>
      </c>
      <c r="J2285" t="s">
        <v>297</v>
      </c>
      <c r="K2285">
        <v>2104</v>
      </c>
      <c r="L2285" t="s">
        <v>276</v>
      </c>
      <c r="M2285" t="s">
        <v>631</v>
      </c>
      <c r="N2285" t="s">
        <v>276</v>
      </c>
      <c r="P2285" t="s">
        <v>260</v>
      </c>
      <c r="Q2285" t="s">
        <v>260</v>
      </c>
      <c r="R2285" t="s">
        <v>261</v>
      </c>
      <c r="S2285" t="s">
        <v>21</v>
      </c>
      <c r="T2285">
        <v>100</v>
      </c>
      <c r="W2285" t="s">
        <v>262</v>
      </c>
      <c r="X2285">
        <v>-37.008299999999998</v>
      </c>
      <c r="Y2285">
        <v>174.87049999999999</v>
      </c>
    </row>
    <row r="2286" spans="1:25" x14ac:dyDescent="0.3">
      <c r="A2286" t="s">
        <v>21</v>
      </c>
      <c r="B2286" t="s">
        <v>6048</v>
      </c>
      <c r="C2286" t="s">
        <v>270</v>
      </c>
      <c r="D2286" t="s">
        <v>6049</v>
      </c>
      <c r="E2286">
        <v>55366</v>
      </c>
      <c r="M2286" t="s">
        <v>631</v>
      </c>
      <c r="N2286" t="s">
        <v>276</v>
      </c>
      <c r="P2286" t="s">
        <v>260</v>
      </c>
      <c r="Q2286" t="s">
        <v>260</v>
      </c>
      <c r="R2286" t="s">
        <v>261</v>
      </c>
      <c r="S2286" t="s">
        <v>21</v>
      </c>
      <c r="T2286">
        <v>100</v>
      </c>
      <c r="W2286" t="s">
        <v>262</v>
      </c>
    </row>
    <row r="2287" spans="1:25" x14ac:dyDescent="0.3">
      <c r="A2287" t="s">
        <v>21</v>
      </c>
      <c r="B2287" t="s">
        <v>6050</v>
      </c>
      <c r="C2287" t="s">
        <v>270</v>
      </c>
      <c r="D2287" t="s">
        <v>6051</v>
      </c>
      <c r="E2287">
        <v>55209</v>
      </c>
      <c r="M2287" t="s">
        <v>297</v>
      </c>
      <c r="N2287" t="s">
        <v>276</v>
      </c>
      <c r="P2287" t="s">
        <v>260</v>
      </c>
      <c r="Q2287" t="s">
        <v>260</v>
      </c>
      <c r="R2287" t="s">
        <v>261</v>
      </c>
      <c r="S2287" t="s">
        <v>21</v>
      </c>
      <c r="T2287">
        <v>100</v>
      </c>
      <c r="W2287" t="s">
        <v>262</v>
      </c>
    </row>
    <row r="2288" spans="1:25" x14ac:dyDescent="0.3">
      <c r="A2288" t="s">
        <v>21</v>
      </c>
      <c r="B2288" t="s">
        <v>6052</v>
      </c>
      <c r="C2288" t="s">
        <v>270</v>
      </c>
      <c r="D2288" t="s">
        <v>6053</v>
      </c>
      <c r="E2288">
        <v>55942</v>
      </c>
      <c r="M2288" t="s">
        <v>631</v>
      </c>
      <c r="N2288" t="s">
        <v>276</v>
      </c>
      <c r="P2288" t="s">
        <v>260</v>
      </c>
      <c r="Q2288" t="s">
        <v>260</v>
      </c>
      <c r="R2288" t="s">
        <v>261</v>
      </c>
      <c r="S2288" t="s">
        <v>21</v>
      </c>
      <c r="T2288">
        <v>100</v>
      </c>
      <c r="W2288" t="s">
        <v>262</v>
      </c>
    </row>
    <row r="2289" spans="1:25" x14ac:dyDescent="0.3">
      <c r="A2289" t="s">
        <v>21</v>
      </c>
      <c r="B2289" t="s">
        <v>6054</v>
      </c>
      <c r="C2289" t="s">
        <v>270</v>
      </c>
      <c r="D2289" t="s">
        <v>6055</v>
      </c>
      <c r="E2289">
        <v>63994</v>
      </c>
      <c r="F2289">
        <v>63994</v>
      </c>
      <c r="M2289" t="s">
        <v>403</v>
      </c>
      <c r="N2289" t="s">
        <v>276</v>
      </c>
      <c r="P2289" t="s">
        <v>260</v>
      </c>
      <c r="Q2289" t="s">
        <v>260</v>
      </c>
      <c r="R2289" t="s">
        <v>283</v>
      </c>
      <c r="S2289" t="s">
        <v>21</v>
      </c>
      <c r="T2289">
        <v>100</v>
      </c>
      <c r="W2289" t="s">
        <v>262</v>
      </c>
    </row>
    <row r="2290" spans="1:25" x14ac:dyDescent="0.3">
      <c r="A2290" t="s">
        <v>21</v>
      </c>
      <c r="B2290" t="s">
        <v>6056</v>
      </c>
      <c r="C2290" t="s">
        <v>270</v>
      </c>
      <c r="D2290" t="s">
        <v>6057</v>
      </c>
      <c r="E2290" t="s">
        <v>6057</v>
      </c>
      <c r="M2290" t="s">
        <v>411</v>
      </c>
      <c r="N2290" t="s">
        <v>259</v>
      </c>
      <c r="P2290" t="s">
        <v>260</v>
      </c>
      <c r="Q2290" t="s">
        <v>260</v>
      </c>
      <c r="R2290" t="s">
        <v>283</v>
      </c>
      <c r="S2290" t="s">
        <v>21</v>
      </c>
      <c r="T2290">
        <v>100</v>
      </c>
      <c r="W2290" t="s">
        <v>262</v>
      </c>
    </row>
    <row r="2291" spans="1:25" x14ac:dyDescent="0.3">
      <c r="A2291" t="s">
        <v>21</v>
      </c>
      <c r="B2291" t="s">
        <v>6058</v>
      </c>
      <c r="C2291" t="s">
        <v>270</v>
      </c>
      <c r="D2291" t="s">
        <v>6059</v>
      </c>
      <c r="E2291" t="s">
        <v>6060</v>
      </c>
      <c r="M2291" t="s">
        <v>631</v>
      </c>
      <c r="N2291" t="s">
        <v>276</v>
      </c>
      <c r="P2291" t="s">
        <v>260</v>
      </c>
      <c r="Q2291" t="s">
        <v>260</v>
      </c>
      <c r="R2291" t="s">
        <v>283</v>
      </c>
      <c r="S2291" t="s">
        <v>21</v>
      </c>
      <c r="T2291">
        <v>100</v>
      </c>
      <c r="W2291" t="s">
        <v>262</v>
      </c>
    </row>
    <row r="2292" spans="1:25" x14ac:dyDescent="0.3">
      <c r="A2292" t="s">
        <v>21</v>
      </c>
      <c r="B2292" t="s">
        <v>6061</v>
      </c>
      <c r="C2292" t="s">
        <v>270</v>
      </c>
      <c r="D2292" t="s">
        <v>6062</v>
      </c>
      <c r="E2292" t="s">
        <v>6062</v>
      </c>
      <c r="M2292" t="s">
        <v>411</v>
      </c>
      <c r="N2292" t="s">
        <v>259</v>
      </c>
      <c r="P2292" t="s">
        <v>260</v>
      </c>
      <c r="Q2292" t="s">
        <v>260</v>
      </c>
      <c r="R2292" t="s">
        <v>283</v>
      </c>
      <c r="S2292" t="s">
        <v>21</v>
      </c>
      <c r="T2292">
        <v>100</v>
      </c>
      <c r="W2292" t="s">
        <v>262</v>
      </c>
    </row>
    <row r="2293" spans="1:25" x14ac:dyDescent="0.3">
      <c r="A2293" t="s">
        <v>21</v>
      </c>
      <c r="B2293" t="s">
        <v>6063</v>
      </c>
      <c r="C2293" t="s">
        <v>270</v>
      </c>
      <c r="D2293" t="s">
        <v>2369</v>
      </c>
      <c r="E2293">
        <v>55927</v>
      </c>
      <c r="H2293" t="s">
        <v>2433</v>
      </c>
      <c r="I2293" t="s">
        <v>1343</v>
      </c>
      <c r="J2293" t="s">
        <v>297</v>
      </c>
      <c r="K2293">
        <v>2104</v>
      </c>
      <c r="L2293" t="s">
        <v>276</v>
      </c>
      <c r="M2293" t="s">
        <v>631</v>
      </c>
      <c r="N2293" t="s">
        <v>276</v>
      </c>
      <c r="P2293" t="s">
        <v>260</v>
      </c>
      <c r="Q2293" t="s">
        <v>260</v>
      </c>
      <c r="R2293" t="s">
        <v>261</v>
      </c>
      <c r="S2293" t="s">
        <v>21</v>
      </c>
      <c r="T2293">
        <v>100</v>
      </c>
      <c r="W2293" t="s">
        <v>262</v>
      </c>
      <c r="X2293">
        <v>-37.008299999999998</v>
      </c>
      <c r="Y2293">
        <v>174.87049999999999</v>
      </c>
    </row>
    <row r="2294" spans="1:25" x14ac:dyDescent="0.3">
      <c r="A2294" t="s">
        <v>21</v>
      </c>
      <c r="B2294" t="s">
        <v>6064</v>
      </c>
      <c r="C2294" t="s">
        <v>270</v>
      </c>
      <c r="D2294" t="s">
        <v>6065</v>
      </c>
      <c r="E2294">
        <v>8819</v>
      </c>
      <c r="M2294" t="s">
        <v>631</v>
      </c>
      <c r="N2294" t="s">
        <v>276</v>
      </c>
      <c r="P2294" t="s">
        <v>260</v>
      </c>
      <c r="Q2294" t="s">
        <v>260</v>
      </c>
      <c r="R2294" t="s">
        <v>261</v>
      </c>
      <c r="S2294" t="s">
        <v>21</v>
      </c>
      <c r="T2294">
        <v>100</v>
      </c>
      <c r="W2294" t="s">
        <v>262</v>
      </c>
    </row>
    <row r="2295" spans="1:25" x14ac:dyDescent="0.3">
      <c r="A2295" t="s">
        <v>21</v>
      </c>
      <c r="B2295" t="s">
        <v>6066</v>
      </c>
      <c r="C2295" t="s">
        <v>270</v>
      </c>
      <c r="D2295" t="s">
        <v>435</v>
      </c>
      <c r="E2295">
        <v>3010</v>
      </c>
      <c r="M2295" t="s">
        <v>631</v>
      </c>
      <c r="N2295" t="s">
        <v>276</v>
      </c>
      <c r="P2295" t="s">
        <v>260</v>
      </c>
      <c r="Q2295" t="s">
        <v>260</v>
      </c>
      <c r="R2295" t="s">
        <v>261</v>
      </c>
      <c r="S2295" t="s">
        <v>21</v>
      </c>
      <c r="T2295">
        <v>100</v>
      </c>
      <c r="W2295" t="s">
        <v>262</v>
      </c>
    </row>
    <row r="2296" spans="1:25" x14ac:dyDescent="0.3">
      <c r="A2296" t="s">
        <v>21</v>
      </c>
      <c r="B2296" t="s">
        <v>6067</v>
      </c>
      <c r="C2296" t="s">
        <v>270</v>
      </c>
      <c r="D2296" t="s">
        <v>6068</v>
      </c>
      <c r="E2296">
        <v>7510</v>
      </c>
      <c r="H2296" t="s">
        <v>2433</v>
      </c>
      <c r="I2296" t="s">
        <v>1343</v>
      </c>
      <c r="J2296" t="s">
        <v>297</v>
      </c>
      <c r="K2296">
        <v>2104</v>
      </c>
      <c r="L2296" t="s">
        <v>276</v>
      </c>
      <c r="M2296" t="s">
        <v>631</v>
      </c>
      <c r="N2296" t="s">
        <v>276</v>
      </c>
      <c r="P2296" t="s">
        <v>260</v>
      </c>
      <c r="Q2296" t="s">
        <v>260</v>
      </c>
      <c r="R2296" t="s">
        <v>283</v>
      </c>
      <c r="S2296" t="s">
        <v>21</v>
      </c>
      <c r="T2296">
        <v>100</v>
      </c>
      <c r="W2296" t="s">
        <v>262</v>
      </c>
      <c r="X2296">
        <v>-37.008299999999998</v>
      </c>
      <c r="Y2296">
        <v>174.87049999999999</v>
      </c>
    </row>
    <row r="2297" spans="1:25" x14ac:dyDescent="0.3">
      <c r="A2297" t="s">
        <v>21</v>
      </c>
      <c r="B2297" t="s">
        <v>6069</v>
      </c>
      <c r="C2297" t="s">
        <v>270</v>
      </c>
      <c r="D2297" t="s">
        <v>6070</v>
      </c>
      <c r="E2297">
        <v>7501</v>
      </c>
      <c r="H2297" t="s">
        <v>2433</v>
      </c>
      <c r="I2297" t="s">
        <v>1343</v>
      </c>
      <c r="J2297" t="s">
        <v>297</v>
      </c>
      <c r="K2297">
        <v>2104</v>
      </c>
      <c r="L2297" t="s">
        <v>276</v>
      </c>
      <c r="M2297" t="s">
        <v>631</v>
      </c>
      <c r="N2297" t="s">
        <v>276</v>
      </c>
      <c r="P2297" t="s">
        <v>260</v>
      </c>
      <c r="Q2297" t="s">
        <v>260</v>
      </c>
      <c r="R2297" t="s">
        <v>283</v>
      </c>
      <c r="S2297" t="s">
        <v>21</v>
      </c>
      <c r="T2297">
        <v>100</v>
      </c>
      <c r="W2297" t="s">
        <v>262</v>
      </c>
      <c r="X2297">
        <v>-37.008299999999998</v>
      </c>
      <c r="Y2297">
        <v>174.87049999999999</v>
      </c>
    </row>
    <row r="2298" spans="1:25" x14ac:dyDescent="0.3">
      <c r="A2298" t="s">
        <v>21</v>
      </c>
      <c r="B2298" t="s">
        <v>6071</v>
      </c>
      <c r="C2298" t="s">
        <v>270</v>
      </c>
      <c r="D2298" t="s">
        <v>6072</v>
      </c>
      <c r="E2298">
        <v>7511</v>
      </c>
      <c r="H2298" t="s">
        <v>2433</v>
      </c>
      <c r="I2298" t="s">
        <v>1343</v>
      </c>
      <c r="J2298" t="s">
        <v>297</v>
      </c>
      <c r="K2298">
        <v>2104</v>
      </c>
      <c r="L2298" t="s">
        <v>276</v>
      </c>
      <c r="M2298" t="s">
        <v>631</v>
      </c>
      <c r="N2298" t="s">
        <v>276</v>
      </c>
      <c r="P2298" t="s">
        <v>260</v>
      </c>
      <c r="Q2298" t="s">
        <v>260</v>
      </c>
      <c r="R2298" t="s">
        <v>283</v>
      </c>
      <c r="S2298" t="s">
        <v>21</v>
      </c>
      <c r="T2298">
        <v>100</v>
      </c>
      <c r="W2298" t="s">
        <v>262</v>
      </c>
      <c r="X2298">
        <v>-37.008299999999998</v>
      </c>
      <c r="Y2298">
        <v>174.87049999999999</v>
      </c>
    </row>
    <row r="2299" spans="1:25" x14ac:dyDescent="0.3">
      <c r="A2299" t="s">
        <v>21</v>
      </c>
      <c r="B2299" t="s">
        <v>6073</v>
      </c>
      <c r="C2299" t="s">
        <v>270</v>
      </c>
      <c r="D2299" t="s">
        <v>6074</v>
      </c>
      <c r="E2299">
        <v>10207</v>
      </c>
      <c r="G2299" t="s">
        <v>6075</v>
      </c>
      <c r="M2299" t="s">
        <v>394</v>
      </c>
      <c r="N2299" t="s">
        <v>276</v>
      </c>
      <c r="P2299" t="s">
        <v>260</v>
      </c>
      <c r="Q2299" t="s">
        <v>260</v>
      </c>
      <c r="R2299" t="s">
        <v>283</v>
      </c>
      <c r="S2299" t="s">
        <v>21</v>
      </c>
      <c r="T2299">
        <v>100</v>
      </c>
      <c r="W2299" t="s">
        <v>262</v>
      </c>
    </row>
    <row r="2300" spans="1:25" x14ac:dyDescent="0.3">
      <c r="A2300" t="s">
        <v>21</v>
      </c>
      <c r="B2300" t="s">
        <v>6076</v>
      </c>
      <c r="C2300" t="s">
        <v>270</v>
      </c>
      <c r="D2300" t="s">
        <v>6077</v>
      </c>
      <c r="E2300">
        <v>7520</v>
      </c>
      <c r="H2300" t="s">
        <v>2433</v>
      </c>
      <c r="I2300" t="s">
        <v>1343</v>
      </c>
      <c r="J2300" t="s">
        <v>297</v>
      </c>
      <c r="K2300">
        <v>2104</v>
      </c>
      <c r="L2300" t="s">
        <v>276</v>
      </c>
      <c r="M2300" t="s">
        <v>631</v>
      </c>
      <c r="N2300" t="s">
        <v>276</v>
      </c>
      <c r="P2300" t="s">
        <v>260</v>
      </c>
      <c r="Q2300" t="s">
        <v>260</v>
      </c>
      <c r="R2300" t="s">
        <v>283</v>
      </c>
      <c r="S2300" t="s">
        <v>21</v>
      </c>
      <c r="T2300">
        <v>100</v>
      </c>
      <c r="W2300" t="s">
        <v>262</v>
      </c>
      <c r="X2300">
        <v>-37.008299999999998</v>
      </c>
      <c r="Y2300">
        <v>174.87049999999999</v>
      </c>
    </row>
    <row r="2301" spans="1:25" x14ac:dyDescent="0.3">
      <c r="A2301" t="s">
        <v>21</v>
      </c>
      <c r="B2301" t="s">
        <v>6078</v>
      </c>
      <c r="C2301" t="s">
        <v>270</v>
      </c>
      <c r="D2301" t="s">
        <v>6079</v>
      </c>
      <c r="E2301">
        <v>3101</v>
      </c>
      <c r="H2301" t="s">
        <v>6080</v>
      </c>
      <c r="I2301" t="s">
        <v>6081</v>
      </c>
      <c r="J2301" t="s">
        <v>6082</v>
      </c>
      <c r="K2301">
        <v>9305</v>
      </c>
      <c r="L2301" t="s">
        <v>276</v>
      </c>
      <c r="M2301" t="s">
        <v>6081</v>
      </c>
      <c r="N2301" t="s">
        <v>276</v>
      </c>
      <c r="P2301" t="s">
        <v>260</v>
      </c>
      <c r="Q2301" t="s">
        <v>260</v>
      </c>
      <c r="R2301" t="s">
        <v>261</v>
      </c>
      <c r="S2301" t="s">
        <v>21</v>
      </c>
      <c r="T2301">
        <v>100</v>
      </c>
      <c r="W2301" t="s">
        <v>262</v>
      </c>
      <c r="X2301">
        <v>-44.703800000000001</v>
      </c>
      <c r="Y2301">
        <v>169.14420000000001</v>
      </c>
    </row>
    <row r="2302" spans="1:25" x14ac:dyDescent="0.3">
      <c r="A2302" t="s">
        <v>21</v>
      </c>
      <c r="B2302" t="s">
        <v>6083</v>
      </c>
      <c r="C2302" t="s">
        <v>270</v>
      </c>
      <c r="D2302" t="s">
        <v>1394</v>
      </c>
      <c r="E2302">
        <v>1924</v>
      </c>
      <c r="M2302" t="s">
        <v>631</v>
      </c>
      <c r="N2302" t="s">
        <v>276</v>
      </c>
      <c r="P2302" t="s">
        <v>260</v>
      </c>
      <c r="Q2302" t="s">
        <v>260</v>
      </c>
      <c r="R2302" t="s">
        <v>261</v>
      </c>
      <c r="S2302" t="s">
        <v>21</v>
      </c>
      <c r="T2302">
        <v>100</v>
      </c>
      <c r="W2302" t="s">
        <v>262</v>
      </c>
    </row>
    <row r="2303" spans="1:25" x14ac:dyDescent="0.3">
      <c r="A2303" t="s">
        <v>21</v>
      </c>
      <c r="B2303" t="s">
        <v>6084</v>
      </c>
      <c r="C2303" t="s">
        <v>270</v>
      </c>
      <c r="D2303" t="s">
        <v>6085</v>
      </c>
      <c r="E2303" t="s">
        <v>6085</v>
      </c>
      <c r="M2303" t="s">
        <v>411</v>
      </c>
      <c r="N2303" t="s">
        <v>259</v>
      </c>
      <c r="P2303" t="s">
        <v>260</v>
      </c>
      <c r="Q2303" t="s">
        <v>260</v>
      </c>
      <c r="R2303" t="s">
        <v>283</v>
      </c>
      <c r="S2303" t="s">
        <v>21</v>
      </c>
      <c r="T2303">
        <v>100</v>
      </c>
      <c r="W2303" t="s">
        <v>262</v>
      </c>
    </row>
    <row r="2304" spans="1:25" x14ac:dyDescent="0.3">
      <c r="A2304" t="s">
        <v>21</v>
      </c>
      <c r="B2304" t="s">
        <v>6086</v>
      </c>
      <c r="C2304" t="s">
        <v>270</v>
      </c>
      <c r="D2304" t="s">
        <v>6087</v>
      </c>
      <c r="E2304" t="s">
        <v>6088</v>
      </c>
      <c r="M2304" t="s">
        <v>297</v>
      </c>
      <c r="N2304" t="s">
        <v>276</v>
      </c>
      <c r="P2304" t="s">
        <v>260</v>
      </c>
      <c r="Q2304" t="s">
        <v>260</v>
      </c>
      <c r="R2304" t="s">
        <v>283</v>
      </c>
      <c r="S2304" t="s">
        <v>21</v>
      </c>
      <c r="T2304">
        <v>100</v>
      </c>
      <c r="W2304" t="s">
        <v>262</v>
      </c>
    </row>
    <row r="2305" spans="1:26" x14ac:dyDescent="0.3">
      <c r="A2305" t="s">
        <v>21</v>
      </c>
      <c r="B2305" t="s">
        <v>6089</v>
      </c>
      <c r="C2305" t="s">
        <v>270</v>
      </c>
      <c r="D2305" t="s">
        <v>6090</v>
      </c>
      <c r="E2305" t="s">
        <v>6091</v>
      </c>
      <c r="M2305" t="s">
        <v>297</v>
      </c>
      <c r="N2305" t="s">
        <v>276</v>
      </c>
      <c r="P2305" t="s">
        <v>260</v>
      </c>
      <c r="Q2305" t="s">
        <v>260</v>
      </c>
      <c r="R2305" t="s">
        <v>283</v>
      </c>
      <c r="S2305" t="s">
        <v>21</v>
      </c>
      <c r="T2305">
        <v>100</v>
      </c>
      <c r="W2305" t="s">
        <v>262</v>
      </c>
    </row>
    <row r="2306" spans="1:26" ht="150" customHeight="1" x14ac:dyDescent="0.3">
      <c r="A2306" t="s">
        <v>21</v>
      </c>
      <c r="B2306" t="s">
        <v>6092</v>
      </c>
      <c r="C2306" t="s">
        <v>270</v>
      </c>
      <c r="D2306" t="s">
        <v>6093</v>
      </c>
      <c r="E2306" t="s">
        <v>6094</v>
      </c>
      <c r="G2306" s="10" t="s">
        <v>6095</v>
      </c>
      <c r="M2306" t="s">
        <v>297</v>
      </c>
      <c r="N2306" t="s">
        <v>276</v>
      </c>
      <c r="P2306" t="s">
        <v>260</v>
      </c>
      <c r="Q2306" t="s">
        <v>260</v>
      </c>
      <c r="R2306" t="s">
        <v>283</v>
      </c>
      <c r="S2306" t="s">
        <v>21</v>
      </c>
      <c r="T2306">
        <v>100</v>
      </c>
      <c r="W2306" t="s">
        <v>262</v>
      </c>
    </row>
    <row r="2307" spans="1:26" x14ac:dyDescent="0.3">
      <c r="A2307" t="s">
        <v>21</v>
      </c>
      <c r="B2307" t="s">
        <v>6096</v>
      </c>
      <c r="C2307" t="s">
        <v>270</v>
      </c>
      <c r="D2307" t="s">
        <v>6097</v>
      </c>
      <c r="E2307" t="s">
        <v>6098</v>
      </c>
      <c r="M2307" t="s">
        <v>297</v>
      </c>
      <c r="N2307" t="s">
        <v>276</v>
      </c>
      <c r="P2307" t="s">
        <v>260</v>
      </c>
      <c r="Q2307" t="s">
        <v>260</v>
      </c>
      <c r="R2307" t="s">
        <v>283</v>
      </c>
      <c r="S2307" t="s">
        <v>21</v>
      </c>
      <c r="T2307">
        <v>100</v>
      </c>
      <c r="W2307" t="s">
        <v>262</v>
      </c>
    </row>
    <row r="2308" spans="1:26" x14ac:dyDescent="0.3">
      <c r="A2308" t="s">
        <v>21</v>
      </c>
      <c r="B2308" t="s">
        <v>6099</v>
      </c>
      <c r="C2308" t="s">
        <v>270</v>
      </c>
      <c r="D2308" t="s">
        <v>6100</v>
      </c>
      <c r="E2308" t="s">
        <v>6100</v>
      </c>
      <c r="M2308" t="s">
        <v>411</v>
      </c>
      <c r="N2308" t="s">
        <v>259</v>
      </c>
      <c r="P2308" t="s">
        <v>260</v>
      </c>
      <c r="Q2308" t="s">
        <v>260</v>
      </c>
      <c r="R2308" t="s">
        <v>283</v>
      </c>
      <c r="S2308" t="s">
        <v>21</v>
      </c>
      <c r="T2308">
        <v>100</v>
      </c>
      <c r="W2308" t="s">
        <v>262</v>
      </c>
    </row>
    <row r="2309" spans="1:26" x14ac:dyDescent="0.3">
      <c r="A2309" t="s">
        <v>21</v>
      </c>
      <c r="B2309" t="s">
        <v>6101</v>
      </c>
      <c r="C2309" t="s">
        <v>270</v>
      </c>
      <c r="D2309" t="s">
        <v>6102</v>
      </c>
      <c r="E2309" t="s">
        <v>6103</v>
      </c>
      <c r="M2309" t="s">
        <v>631</v>
      </c>
      <c r="N2309" t="s">
        <v>276</v>
      </c>
      <c r="P2309" t="s">
        <v>260</v>
      </c>
      <c r="Q2309" t="s">
        <v>260</v>
      </c>
      <c r="R2309" t="s">
        <v>283</v>
      </c>
      <c r="S2309" t="s">
        <v>21</v>
      </c>
      <c r="T2309">
        <v>100</v>
      </c>
      <c r="W2309" t="s">
        <v>262</v>
      </c>
    </row>
    <row r="2310" spans="1:26" x14ac:dyDescent="0.3">
      <c r="A2310" t="s">
        <v>21</v>
      </c>
      <c r="B2310" t="s">
        <v>6104</v>
      </c>
      <c r="C2310" t="s">
        <v>270</v>
      </c>
      <c r="D2310" t="s">
        <v>6105</v>
      </c>
      <c r="E2310" t="s">
        <v>6106</v>
      </c>
      <c r="F2310">
        <v>80220</v>
      </c>
      <c r="M2310" t="s">
        <v>297</v>
      </c>
      <c r="N2310" t="s">
        <v>276</v>
      </c>
      <c r="P2310" t="s">
        <v>260</v>
      </c>
      <c r="Q2310" t="s">
        <v>260</v>
      </c>
      <c r="R2310" t="s">
        <v>283</v>
      </c>
      <c r="S2310" t="s">
        <v>21</v>
      </c>
      <c r="T2310">
        <v>100</v>
      </c>
      <c r="W2310" t="s">
        <v>262</v>
      </c>
    </row>
    <row r="2311" spans="1:26" x14ac:dyDescent="0.3">
      <c r="A2311" t="s">
        <v>21</v>
      </c>
      <c r="B2311" t="s">
        <v>6107</v>
      </c>
      <c r="C2311" t="s">
        <v>270</v>
      </c>
      <c r="D2311" t="s">
        <v>6108</v>
      </c>
      <c r="E2311" t="s">
        <v>6108</v>
      </c>
      <c r="M2311" t="s">
        <v>411</v>
      </c>
      <c r="N2311" t="s">
        <v>259</v>
      </c>
      <c r="P2311" t="s">
        <v>260</v>
      </c>
      <c r="Q2311" t="s">
        <v>260</v>
      </c>
      <c r="R2311" t="s">
        <v>283</v>
      </c>
      <c r="S2311" t="s">
        <v>21</v>
      </c>
      <c r="T2311">
        <v>100</v>
      </c>
      <c r="W2311" t="s">
        <v>262</v>
      </c>
    </row>
    <row r="2312" spans="1:26" x14ac:dyDescent="0.3">
      <c r="A2312" t="s">
        <v>21</v>
      </c>
      <c r="B2312" t="s">
        <v>6109</v>
      </c>
      <c r="C2312" t="s">
        <v>270</v>
      </c>
      <c r="D2312" t="s">
        <v>790</v>
      </c>
      <c r="E2312">
        <v>55654</v>
      </c>
      <c r="H2312" t="s">
        <v>791</v>
      </c>
      <c r="I2312" t="s">
        <v>792</v>
      </c>
      <c r="J2312" t="s">
        <v>792</v>
      </c>
      <c r="K2312">
        <v>7901</v>
      </c>
      <c r="L2312" t="s">
        <v>276</v>
      </c>
      <c r="M2312" t="s">
        <v>726</v>
      </c>
      <c r="N2312" t="s">
        <v>276</v>
      </c>
      <c r="P2312" t="s">
        <v>260</v>
      </c>
      <c r="Q2312" t="s">
        <v>260</v>
      </c>
      <c r="R2312" t="s">
        <v>261</v>
      </c>
      <c r="S2312" t="s">
        <v>21</v>
      </c>
      <c r="T2312">
        <v>100</v>
      </c>
      <c r="W2312" t="s">
        <v>262</v>
      </c>
      <c r="X2312">
        <v>-44.265999999999998</v>
      </c>
      <c r="Y2312">
        <v>170.08940000000001</v>
      </c>
    </row>
    <row r="2313" spans="1:26" x14ac:dyDescent="0.3">
      <c r="A2313" t="s">
        <v>21</v>
      </c>
      <c r="B2313" t="s">
        <v>6110</v>
      </c>
      <c r="C2313" t="s">
        <v>264</v>
      </c>
      <c r="D2313" t="s">
        <v>6111</v>
      </c>
      <c r="H2313" t="s">
        <v>6112</v>
      </c>
      <c r="I2313" t="s">
        <v>6113</v>
      </c>
      <c r="J2313" t="s">
        <v>318</v>
      </c>
      <c r="K2313">
        <v>4870</v>
      </c>
      <c r="M2313" t="s">
        <v>302</v>
      </c>
      <c r="N2313" t="s">
        <v>259</v>
      </c>
      <c r="P2313" t="s">
        <v>260</v>
      </c>
      <c r="Q2313" t="s">
        <v>260</v>
      </c>
      <c r="R2313" t="s">
        <v>283</v>
      </c>
      <c r="S2313" t="s">
        <v>21</v>
      </c>
      <c r="T2313">
        <v>100</v>
      </c>
      <c r="W2313" t="s">
        <v>262</v>
      </c>
    </row>
    <row r="2314" spans="1:26" x14ac:dyDescent="0.3">
      <c r="A2314" t="s">
        <v>21</v>
      </c>
      <c r="B2314" t="s">
        <v>6114</v>
      </c>
      <c r="C2314" t="s">
        <v>387</v>
      </c>
      <c r="D2314" t="s">
        <v>6115</v>
      </c>
      <c r="E2314">
        <v>9117</v>
      </c>
      <c r="H2314" t="s">
        <v>6116</v>
      </c>
      <c r="I2314" t="s">
        <v>6117</v>
      </c>
      <c r="J2314" t="s">
        <v>335</v>
      </c>
      <c r="K2314">
        <v>3165</v>
      </c>
      <c r="M2314" t="s">
        <v>282</v>
      </c>
      <c r="N2314" t="s">
        <v>259</v>
      </c>
      <c r="P2314" t="s">
        <v>260</v>
      </c>
      <c r="Q2314" t="s">
        <v>260</v>
      </c>
      <c r="R2314" t="s">
        <v>283</v>
      </c>
      <c r="S2314" t="s">
        <v>21</v>
      </c>
      <c r="T2314">
        <v>100</v>
      </c>
      <c r="W2314" t="s">
        <v>262</v>
      </c>
      <c r="X2314">
        <v>-37.907316000000002</v>
      </c>
      <c r="Y2314">
        <v>145.063436</v>
      </c>
      <c r="Z2314">
        <v>310</v>
      </c>
    </row>
    <row r="2315" spans="1:26" x14ac:dyDescent="0.3">
      <c r="A2315" t="s">
        <v>21</v>
      </c>
      <c r="B2315" t="s">
        <v>6118</v>
      </c>
      <c r="C2315" t="s">
        <v>299</v>
      </c>
      <c r="D2315" t="s">
        <v>6119</v>
      </c>
      <c r="E2315">
        <v>7041</v>
      </c>
      <c r="H2315" t="s">
        <v>6120</v>
      </c>
      <c r="I2315" t="s">
        <v>6121</v>
      </c>
      <c r="J2315" t="s">
        <v>366</v>
      </c>
      <c r="K2315">
        <v>2232</v>
      </c>
      <c r="M2315" t="s">
        <v>312</v>
      </c>
      <c r="N2315" t="s">
        <v>259</v>
      </c>
      <c r="P2315" t="s">
        <v>260</v>
      </c>
      <c r="Q2315" t="s">
        <v>260</v>
      </c>
      <c r="R2315" t="s">
        <v>283</v>
      </c>
      <c r="S2315" t="s">
        <v>21</v>
      </c>
      <c r="T2315">
        <v>100</v>
      </c>
      <c r="W2315" t="s">
        <v>262</v>
      </c>
      <c r="Z2315">
        <v>310</v>
      </c>
    </row>
    <row r="2316" spans="1:26" x14ac:dyDescent="0.3">
      <c r="A2316" t="s">
        <v>21</v>
      </c>
      <c r="B2316" t="s">
        <v>6122</v>
      </c>
      <c r="C2316" t="s">
        <v>2464</v>
      </c>
      <c r="D2316" t="s">
        <v>6123</v>
      </c>
      <c r="E2316">
        <v>13001212</v>
      </c>
      <c r="G2316" t="s">
        <v>6124</v>
      </c>
      <c r="M2316" t="s">
        <v>302</v>
      </c>
      <c r="N2316" t="s">
        <v>259</v>
      </c>
      <c r="P2316" t="s">
        <v>260</v>
      </c>
      <c r="Q2316" t="s">
        <v>260</v>
      </c>
      <c r="R2316" t="s">
        <v>283</v>
      </c>
      <c r="S2316" t="s">
        <v>21</v>
      </c>
      <c r="T2316">
        <v>100</v>
      </c>
      <c r="W2316" t="s">
        <v>262</v>
      </c>
    </row>
    <row r="2317" spans="1:26" x14ac:dyDescent="0.3">
      <c r="A2317" t="s">
        <v>21</v>
      </c>
      <c r="B2317" t="s">
        <v>6125</v>
      </c>
      <c r="C2317" t="s">
        <v>289</v>
      </c>
      <c r="D2317" t="s">
        <v>6126</v>
      </c>
      <c r="E2317">
        <v>9119</v>
      </c>
      <c r="H2317" t="s">
        <v>6127</v>
      </c>
      <c r="I2317" t="s">
        <v>6128</v>
      </c>
      <c r="J2317" t="s">
        <v>335</v>
      </c>
      <c r="K2317">
        <v>3166</v>
      </c>
      <c r="M2317" t="s">
        <v>282</v>
      </c>
      <c r="N2317" t="s">
        <v>259</v>
      </c>
      <c r="P2317" t="s">
        <v>260</v>
      </c>
      <c r="Q2317" t="s">
        <v>260</v>
      </c>
      <c r="R2317" t="s">
        <v>283</v>
      </c>
      <c r="S2317" t="s">
        <v>21</v>
      </c>
      <c r="T2317">
        <v>100</v>
      </c>
      <c r="W2317" t="s">
        <v>262</v>
      </c>
      <c r="X2317">
        <v>-37.905166000000001</v>
      </c>
      <c r="Y2317">
        <v>145.09634600000001</v>
      </c>
      <c r="Z2317">
        <v>310</v>
      </c>
    </row>
    <row r="2318" spans="1:26" x14ac:dyDescent="0.3">
      <c r="A2318" t="s">
        <v>21</v>
      </c>
      <c r="B2318" t="s">
        <v>6129</v>
      </c>
      <c r="C2318" t="s">
        <v>270</v>
      </c>
      <c r="D2318" t="s">
        <v>6130</v>
      </c>
      <c r="E2318" t="s">
        <v>6130</v>
      </c>
      <c r="M2318" t="s">
        <v>411</v>
      </c>
      <c r="N2318" t="s">
        <v>259</v>
      </c>
      <c r="P2318" t="s">
        <v>260</v>
      </c>
      <c r="Q2318" t="s">
        <v>260</v>
      </c>
      <c r="R2318" t="s">
        <v>283</v>
      </c>
      <c r="S2318" t="s">
        <v>21</v>
      </c>
      <c r="T2318">
        <v>100</v>
      </c>
      <c r="W2318" t="s">
        <v>262</v>
      </c>
    </row>
    <row r="2319" spans="1:26" x14ac:dyDescent="0.3">
      <c r="A2319" t="s">
        <v>21</v>
      </c>
      <c r="B2319" t="s">
        <v>6131</v>
      </c>
      <c r="C2319" t="s">
        <v>270</v>
      </c>
      <c r="D2319" t="s">
        <v>6132</v>
      </c>
      <c r="E2319" t="s">
        <v>6132</v>
      </c>
      <c r="F2319" t="s">
        <v>6132</v>
      </c>
      <c r="M2319" t="s">
        <v>411</v>
      </c>
      <c r="N2319" t="s">
        <v>259</v>
      </c>
      <c r="P2319" t="s">
        <v>260</v>
      </c>
      <c r="Q2319" t="s">
        <v>260</v>
      </c>
      <c r="R2319" t="s">
        <v>283</v>
      </c>
      <c r="S2319" t="s">
        <v>21</v>
      </c>
      <c r="T2319">
        <v>100</v>
      </c>
      <c r="W2319" t="s">
        <v>262</v>
      </c>
    </row>
    <row r="2320" spans="1:26" x14ac:dyDescent="0.3">
      <c r="A2320" t="s">
        <v>21</v>
      </c>
      <c r="B2320" t="s">
        <v>6133</v>
      </c>
      <c r="C2320" t="s">
        <v>270</v>
      </c>
      <c r="D2320" t="s">
        <v>6134</v>
      </c>
      <c r="E2320">
        <v>10032</v>
      </c>
      <c r="G2320">
        <v>10.032</v>
      </c>
      <c r="H2320" t="s">
        <v>6135</v>
      </c>
      <c r="I2320" t="s">
        <v>6136</v>
      </c>
      <c r="J2320" t="s">
        <v>822</v>
      </c>
      <c r="K2320">
        <v>5022</v>
      </c>
      <c r="L2320" t="s">
        <v>276</v>
      </c>
      <c r="M2320" t="s">
        <v>822</v>
      </c>
      <c r="N2320" t="s">
        <v>276</v>
      </c>
      <c r="P2320" t="s">
        <v>260</v>
      </c>
      <c r="Q2320" t="s">
        <v>260</v>
      </c>
      <c r="R2320" t="s">
        <v>283</v>
      </c>
      <c r="S2320" t="s">
        <v>21</v>
      </c>
      <c r="T2320">
        <v>100</v>
      </c>
      <c r="W2320" t="s">
        <v>262</v>
      </c>
      <c r="X2320">
        <v>-41.136400000000002</v>
      </c>
      <c r="Y2320">
        <v>174.83420000000001</v>
      </c>
    </row>
    <row r="2321" spans="1:27" x14ac:dyDescent="0.3">
      <c r="A2321" t="s">
        <v>21</v>
      </c>
      <c r="B2321" t="s">
        <v>6137</v>
      </c>
      <c r="C2321" t="s">
        <v>270</v>
      </c>
      <c r="D2321" t="s">
        <v>6138</v>
      </c>
      <c r="E2321">
        <v>10218</v>
      </c>
      <c r="G2321">
        <v>10.218</v>
      </c>
      <c r="H2321" t="s">
        <v>2433</v>
      </c>
      <c r="I2321" t="s">
        <v>1343</v>
      </c>
      <c r="J2321" t="s">
        <v>297</v>
      </c>
      <c r="K2321">
        <v>2104</v>
      </c>
      <c r="L2321" t="s">
        <v>276</v>
      </c>
      <c r="M2321" t="s">
        <v>631</v>
      </c>
      <c r="N2321" t="s">
        <v>276</v>
      </c>
      <c r="P2321" t="s">
        <v>260</v>
      </c>
      <c r="Q2321" t="s">
        <v>260</v>
      </c>
      <c r="R2321" t="s">
        <v>283</v>
      </c>
      <c r="S2321" t="s">
        <v>21</v>
      </c>
      <c r="T2321">
        <v>100</v>
      </c>
      <c r="W2321" t="s">
        <v>262</v>
      </c>
      <c r="X2321">
        <v>-37.008299999999998</v>
      </c>
      <c r="Y2321">
        <v>174.87049999999999</v>
      </c>
    </row>
    <row r="2322" spans="1:27" x14ac:dyDescent="0.3">
      <c r="A2322" t="s">
        <v>21</v>
      </c>
      <c r="B2322" t="s">
        <v>6139</v>
      </c>
      <c r="C2322" t="s">
        <v>270</v>
      </c>
      <c r="D2322" t="s">
        <v>6140</v>
      </c>
      <c r="E2322">
        <v>10080</v>
      </c>
      <c r="G2322">
        <v>10.08</v>
      </c>
      <c r="H2322" t="s">
        <v>2433</v>
      </c>
      <c r="I2322" t="s">
        <v>1343</v>
      </c>
      <c r="J2322" t="s">
        <v>297</v>
      </c>
      <c r="K2322">
        <v>2104</v>
      </c>
      <c r="L2322" t="s">
        <v>276</v>
      </c>
      <c r="M2322" t="s">
        <v>631</v>
      </c>
      <c r="N2322" t="s">
        <v>276</v>
      </c>
      <c r="P2322" t="s">
        <v>260</v>
      </c>
      <c r="Q2322" t="s">
        <v>260</v>
      </c>
      <c r="R2322" t="s">
        <v>283</v>
      </c>
      <c r="S2322" t="s">
        <v>21</v>
      </c>
      <c r="T2322">
        <v>100</v>
      </c>
      <c r="W2322" t="s">
        <v>262</v>
      </c>
      <c r="X2322">
        <v>-37.008299999999998</v>
      </c>
      <c r="Y2322">
        <v>174.87049999999999</v>
      </c>
    </row>
    <row r="2323" spans="1:27" x14ac:dyDescent="0.3">
      <c r="A2323" t="s">
        <v>21</v>
      </c>
      <c r="B2323" t="s">
        <v>6141</v>
      </c>
      <c r="C2323" t="s">
        <v>278</v>
      </c>
      <c r="D2323" t="s">
        <v>6142</v>
      </c>
      <c r="E2323">
        <v>24135003</v>
      </c>
      <c r="M2323" t="s">
        <v>3242</v>
      </c>
      <c r="N2323" t="s">
        <v>259</v>
      </c>
      <c r="P2323" t="s">
        <v>260</v>
      </c>
      <c r="Q2323" t="s">
        <v>260</v>
      </c>
      <c r="R2323" t="s">
        <v>283</v>
      </c>
      <c r="S2323" t="s">
        <v>21</v>
      </c>
      <c r="T2323">
        <v>100</v>
      </c>
      <c r="U2323" s="9">
        <v>45474</v>
      </c>
      <c r="W2323" t="s">
        <v>262</v>
      </c>
    </row>
    <row r="2324" spans="1:27" x14ac:dyDescent="0.3">
      <c r="A2324" t="s">
        <v>21</v>
      </c>
      <c r="B2324" t="s">
        <v>6143</v>
      </c>
      <c r="C2324" t="s">
        <v>270</v>
      </c>
      <c r="D2324" t="s">
        <v>6143</v>
      </c>
      <c r="E2324" t="s">
        <v>6143</v>
      </c>
      <c r="M2324" t="s">
        <v>312</v>
      </c>
      <c r="N2324" t="s">
        <v>259</v>
      </c>
      <c r="P2324" t="s">
        <v>260</v>
      </c>
      <c r="Q2324" t="s">
        <v>260</v>
      </c>
      <c r="R2324" t="s">
        <v>283</v>
      </c>
      <c r="S2324" t="s">
        <v>21</v>
      </c>
      <c r="T2324">
        <v>100</v>
      </c>
      <c r="W2324" t="s">
        <v>262</v>
      </c>
    </row>
    <row r="2325" spans="1:27" x14ac:dyDescent="0.3">
      <c r="A2325" t="s">
        <v>21</v>
      </c>
      <c r="B2325" t="s">
        <v>6144</v>
      </c>
      <c r="C2325" t="s">
        <v>270</v>
      </c>
      <c r="M2325" t="s">
        <v>312</v>
      </c>
      <c r="N2325" t="s">
        <v>259</v>
      </c>
      <c r="P2325" t="s">
        <v>260</v>
      </c>
      <c r="Q2325" t="s">
        <v>260</v>
      </c>
      <c r="R2325" t="s">
        <v>293</v>
      </c>
      <c r="S2325" t="s">
        <v>21</v>
      </c>
      <c r="T2325">
        <v>100</v>
      </c>
      <c r="W2325" t="s">
        <v>262</v>
      </c>
    </row>
    <row r="2326" spans="1:27" x14ac:dyDescent="0.3">
      <c r="A2326" t="s">
        <v>21</v>
      </c>
      <c r="B2326" t="s">
        <v>6145</v>
      </c>
      <c r="C2326" t="s">
        <v>270</v>
      </c>
      <c r="D2326" t="s">
        <v>6146</v>
      </c>
      <c r="E2326">
        <v>66210</v>
      </c>
      <c r="H2326" t="s">
        <v>2433</v>
      </c>
      <c r="I2326" t="s">
        <v>1343</v>
      </c>
      <c r="J2326" t="s">
        <v>297</v>
      </c>
      <c r="K2326">
        <v>2104</v>
      </c>
      <c r="L2326" t="s">
        <v>276</v>
      </c>
      <c r="M2326" t="s">
        <v>631</v>
      </c>
      <c r="N2326" t="s">
        <v>276</v>
      </c>
      <c r="P2326" t="s">
        <v>260</v>
      </c>
      <c r="Q2326" t="s">
        <v>260</v>
      </c>
      <c r="R2326" t="s">
        <v>261</v>
      </c>
      <c r="S2326" t="s">
        <v>21</v>
      </c>
      <c r="T2326">
        <v>100</v>
      </c>
      <c r="W2326" t="s">
        <v>262</v>
      </c>
      <c r="X2326">
        <v>-37.008299999999998</v>
      </c>
      <c r="Y2326">
        <v>174.87049999999999</v>
      </c>
    </row>
    <row r="2327" spans="1:27" x14ac:dyDescent="0.3">
      <c r="A2327" t="s">
        <v>21</v>
      </c>
      <c r="B2327" t="s">
        <v>6147</v>
      </c>
      <c r="C2327" t="s">
        <v>289</v>
      </c>
      <c r="D2327" t="s">
        <v>6148</v>
      </c>
      <c r="E2327" t="s">
        <v>6149</v>
      </c>
      <c r="H2327" t="s">
        <v>6150</v>
      </c>
      <c r="I2327" t="s">
        <v>6147</v>
      </c>
      <c r="J2327" t="s">
        <v>366</v>
      </c>
      <c r="K2327">
        <v>2526</v>
      </c>
      <c r="L2327" t="s">
        <v>259</v>
      </c>
      <c r="M2327" t="s">
        <v>312</v>
      </c>
      <c r="N2327" t="s">
        <v>259</v>
      </c>
      <c r="P2327" t="s">
        <v>260</v>
      </c>
      <c r="Q2327" t="s">
        <v>260</v>
      </c>
      <c r="R2327" t="s">
        <v>283</v>
      </c>
      <c r="S2327" t="s">
        <v>21</v>
      </c>
      <c r="T2327">
        <v>100</v>
      </c>
      <c r="W2327" t="s">
        <v>262</v>
      </c>
      <c r="X2327">
        <v>-34.457999999999998</v>
      </c>
      <c r="Y2327">
        <v>150.84800000000001</v>
      </c>
      <c r="Z2327">
        <v>310</v>
      </c>
      <c r="AA2327" s="9">
        <v>42917</v>
      </c>
    </row>
    <row r="2328" spans="1:27" x14ac:dyDescent="0.3">
      <c r="A2328" t="s">
        <v>21</v>
      </c>
      <c r="B2328" t="s">
        <v>1850</v>
      </c>
      <c r="C2328" t="s">
        <v>299</v>
      </c>
      <c r="D2328" t="s">
        <v>6151</v>
      </c>
      <c r="E2328">
        <v>17051326</v>
      </c>
      <c r="H2328" t="s">
        <v>1849</v>
      </c>
      <c r="I2328" t="s">
        <v>1850</v>
      </c>
      <c r="J2328" t="s">
        <v>305</v>
      </c>
      <c r="K2328">
        <v>5032</v>
      </c>
      <c r="L2328" t="s">
        <v>259</v>
      </c>
      <c r="M2328" t="s">
        <v>307</v>
      </c>
      <c r="N2328" t="s">
        <v>259</v>
      </c>
      <c r="P2328" t="s">
        <v>260</v>
      </c>
      <c r="Q2328" t="s">
        <v>260</v>
      </c>
      <c r="R2328" t="s">
        <v>261</v>
      </c>
      <c r="S2328" t="s">
        <v>21</v>
      </c>
      <c r="T2328">
        <v>100</v>
      </c>
      <c r="W2328" t="s">
        <v>262</v>
      </c>
      <c r="X2328">
        <v>-34.915999999999997</v>
      </c>
      <c r="Y2328">
        <v>138.55099999999999</v>
      </c>
      <c r="Z2328">
        <v>170</v>
      </c>
    </row>
    <row r="2329" spans="1:27" x14ac:dyDescent="0.3">
      <c r="A2329" t="s">
        <v>21</v>
      </c>
      <c r="B2329" t="s">
        <v>6152</v>
      </c>
      <c r="C2329" t="s">
        <v>560</v>
      </c>
      <c r="D2329" t="s">
        <v>6153</v>
      </c>
      <c r="E2329">
        <v>1021</v>
      </c>
      <c r="G2329" t="s">
        <v>6154</v>
      </c>
      <c r="H2329" t="s">
        <v>1850</v>
      </c>
      <c r="I2329" t="s">
        <v>306</v>
      </c>
      <c r="J2329" t="s">
        <v>305</v>
      </c>
      <c r="K2329">
        <v>5032</v>
      </c>
      <c r="M2329" t="s">
        <v>306</v>
      </c>
      <c r="N2329" t="s">
        <v>259</v>
      </c>
      <c r="P2329" t="s">
        <v>260</v>
      </c>
      <c r="Q2329" t="s">
        <v>260</v>
      </c>
      <c r="R2329" t="s">
        <v>293</v>
      </c>
      <c r="S2329" t="s">
        <v>21</v>
      </c>
      <c r="T2329">
        <v>100</v>
      </c>
      <c r="W2329" t="s">
        <v>262</v>
      </c>
      <c r="Z2329">
        <v>729</v>
      </c>
    </row>
    <row r="2330" spans="1:27" x14ac:dyDescent="0.3">
      <c r="A2330" t="s">
        <v>21</v>
      </c>
      <c r="B2330" t="s">
        <v>6155</v>
      </c>
      <c r="C2330" t="s">
        <v>5969</v>
      </c>
      <c r="D2330" t="s">
        <v>6156</v>
      </c>
      <c r="E2330">
        <v>80102</v>
      </c>
      <c r="G2330" t="s">
        <v>6157</v>
      </c>
      <c r="M2330" t="s">
        <v>703</v>
      </c>
      <c r="N2330" t="s">
        <v>276</v>
      </c>
      <c r="P2330" t="s">
        <v>260</v>
      </c>
      <c r="Q2330" t="s">
        <v>260</v>
      </c>
      <c r="R2330" t="s">
        <v>283</v>
      </c>
      <c r="S2330" t="s">
        <v>21</v>
      </c>
      <c r="T2330">
        <v>100</v>
      </c>
      <c r="W2330" t="s">
        <v>262</v>
      </c>
    </row>
    <row r="2331" spans="1:27" x14ac:dyDescent="0.3">
      <c r="A2331" t="s">
        <v>21</v>
      </c>
      <c r="B2331" t="s">
        <v>6158</v>
      </c>
      <c r="C2331" t="s">
        <v>439</v>
      </c>
      <c r="D2331" t="s">
        <v>6159</v>
      </c>
      <c r="E2331" t="s">
        <v>6159</v>
      </c>
      <c r="M2331" t="s">
        <v>302</v>
      </c>
      <c r="N2331" t="s">
        <v>259</v>
      </c>
      <c r="P2331" t="s">
        <v>260</v>
      </c>
      <c r="Q2331" t="s">
        <v>260</v>
      </c>
      <c r="R2331" t="s">
        <v>283</v>
      </c>
      <c r="S2331" t="s">
        <v>21</v>
      </c>
      <c r="T2331">
        <v>100</v>
      </c>
      <c r="U2331" s="9">
        <v>45748</v>
      </c>
      <c r="W2331" t="s">
        <v>262</v>
      </c>
    </row>
    <row r="2332" spans="1:27" x14ac:dyDescent="0.3">
      <c r="A2332" t="s">
        <v>21</v>
      </c>
      <c r="B2332" t="s">
        <v>6160</v>
      </c>
      <c r="C2332" t="s">
        <v>439</v>
      </c>
      <c r="D2332" t="s">
        <v>6161</v>
      </c>
      <c r="E2332" t="s">
        <v>6161</v>
      </c>
      <c r="M2332" t="s">
        <v>302</v>
      </c>
      <c r="N2332" t="s">
        <v>259</v>
      </c>
      <c r="P2332" t="s">
        <v>260</v>
      </c>
      <c r="Q2332" t="s">
        <v>260</v>
      </c>
      <c r="R2332" t="s">
        <v>283</v>
      </c>
      <c r="S2332" t="s">
        <v>21</v>
      </c>
      <c r="T2332">
        <v>100</v>
      </c>
      <c r="U2332" s="9">
        <v>45717</v>
      </c>
      <c r="W2332" t="s">
        <v>262</v>
      </c>
    </row>
    <row r="2333" spans="1:27" x14ac:dyDescent="0.3">
      <c r="A2333" t="s">
        <v>21</v>
      </c>
      <c r="B2333" t="s">
        <v>6162</v>
      </c>
      <c r="C2333" t="s">
        <v>439</v>
      </c>
      <c r="D2333" t="s">
        <v>6163</v>
      </c>
      <c r="E2333" t="s">
        <v>6163</v>
      </c>
      <c r="M2333" t="s">
        <v>302</v>
      </c>
      <c r="N2333" t="s">
        <v>259</v>
      </c>
      <c r="P2333" t="s">
        <v>260</v>
      </c>
      <c r="Q2333" t="s">
        <v>260</v>
      </c>
      <c r="R2333" t="s">
        <v>283</v>
      </c>
      <c r="S2333" t="s">
        <v>21</v>
      </c>
      <c r="T2333">
        <v>100</v>
      </c>
      <c r="U2333" s="9">
        <v>45748</v>
      </c>
      <c r="W2333" t="s">
        <v>262</v>
      </c>
    </row>
    <row r="2334" spans="1:27" x14ac:dyDescent="0.3">
      <c r="A2334" t="s">
        <v>21</v>
      </c>
      <c r="B2334" t="s">
        <v>6164</v>
      </c>
      <c r="C2334" t="s">
        <v>439</v>
      </c>
      <c r="D2334" t="s">
        <v>6165</v>
      </c>
      <c r="E2334" t="s">
        <v>6165</v>
      </c>
      <c r="M2334" t="s">
        <v>302</v>
      </c>
      <c r="N2334" t="s">
        <v>259</v>
      </c>
      <c r="P2334" t="s">
        <v>260</v>
      </c>
      <c r="Q2334" t="s">
        <v>260</v>
      </c>
      <c r="R2334" t="s">
        <v>283</v>
      </c>
      <c r="S2334" t="s">
        <v>21</v>
      </c>
      <c r="T2334">
        <v>100</v>
      </c>
      <c r="U2334" s="9">
        <v>45717</v>
      </c>
      <c r="W2334" t="s">
        <v>262</v>
      </c>
    </row>
    <row r="2335" spans="1:27" x14ac:dyDescent="0.3">
      <c r="A2335" t="s">
        <v>21</v>
      </c>
      <c r="B2335" t="s">
        <v>6166</v>
      </c>
      <c r="C2335" t="s">
        <v>439</v>
      </c>
      <c r="D2335" t="s">
        <v>6167</v>
      </c>
      <c r="E2335" t="s">
        <v>6167</v>
      </c>
      <c r="M2335" t="s">
        <v>302</v>
      </c>
      <c r="N2335" t="s">
        <v>259</v>
      </c>
      <c r="P2335" t="s">
        <v>260</v>
      </c>
      <c r="Q2335" t="s">
        <v>260</v>
      </c>
      <c r="R2335" t="s">
        <v>283</v>
      </c>
      <c r="S2335" t="s">
        <v>21</v>
      </c>
      <c r="T2335">
        <v>100</v>
      </c>
      <c r="U2335" s="9">
        <v>45748</v>
      </c>
      <c r="W2335" t="s">
        <v>262</v>
      </c>
    </row>
    <row r="2336" spans="1:27" x14ac:dyDescent="0.3">
      <c r="A2336" t="s">
        <v>21</v>
      </c>
      <c r="B2336" t="s">
        <v>6168</v>
      </c>
      <c r="C2336" t="s">
        <v>439</v>
      </c>
      <c r="D2336" t="s">
        <v>6169</v>
      </c>
      <c r="E2336" t="s">
        <v>6169</v>
      </c>
      <c r="M2336" t="s">
        <v>302</v>
      </c>
      <c r="N2336" t="s">
        <v>259</v>
      </c>
      <c r="P2336" t="s">
        <v>260</v>
      </c>
      <c r="Q2336" t="s">
        <v>260</v>
      </c>
      <c r="R2336" t="s">
        <v>283</v>
      </c>
      <c r="S2336" t="s">
        <v>21</v>
      </c>
      <c r="T2336">
        <v>100</v>
      </c>
      <c r="U2336" s="9">
        <v>45717</v>
      </c>
      <c r="W2336" t="s">
        <v>262</v>
      </c>
    </row>
    <row r="2337" spans="1:25" x14ac:dyDescent="0.3">
      <c r="A2337" t="s">
        <v>21</v>
      </c>
      <c r="B2337" t="s">
        <v>6170</v>
      </c>
      <c r="C2337" t="s">
        <v>439</v>
      </c>
      <c r="D2337" t="s">
        <v>6171</v>
      </c>
      <c r="E2337" t="s">
        <v>6171</v>
      </c>
      <c r="M2337" t="s">
        <v>302</v>
      </c>
      <c r="N2337" t="s">
        <v>259</v>
      </c>
      <c r="P2337" t="s">
        <v>260</v>
      </c>
      <c r="Q2337" t="s">
        <v>260</v>
      </c>
      <c r="R2337" t="s">
        <v>283</v>
      </c>
      <c r="S2337" t="s">
        <v>21</v>
      </c>
      <c r="T2337">
        <v>100</v>
      </c>
      <c r="U2337" s="9">
        <v>45748</v>
      </c>
      <c r="W2337" t="s">
        <v>262</v>
      </c>
    </row>
    <row r="2338" spans="1:25" x14ac:dyDescent="0.3">
      <c r="A2338" t="s">
        <v>21</v>
      </c>
      <c r="B2338" t="s">
        <v>6172</v>
      </c>
      <c r="C2338" t="s">
        <v>439</v>
      </c>
      <c r="D2338" t="s">
        <v>6173</v>
      </c>
      <c r="E2338" t="s">
        <v>6173</v>
      </c>
      <c r="M2338" t="s">
        <v>302</v>
      </c>
      <c r="N2338" t="s">
        <v>259</v>
      </c>
      <c r="P2338" t="s">
        <v>260</v>
      </c>
      <c r="Q2338" t="s">
        <v>260</v>
      </c>
      <c r="R2338" t="s">
        <v>283</v>
      </c>
      <c r="S2338" t="s">
        <v>21</v>
      </c>
      <c r="T2338">
        <v>100</v>
      </c>
      <c r="U2338" s="9">
        <v>45748</v>
      </c>
      <c r="W2338" t="s">
        <v>262</v>
      </c>
    </row>
    <row r="2339" spans="1:25" x14ac:dyDescent="0.3">
      <c r="A2339" t="s">
        <v>21</v>
      </c>
      <c r="B2339" t="s">
        <v>6174</v>
      </c>
      <c r="C2339" t="s">
        <v>439</v>
      </c>
      <c r="D2339" t="s">
        <v>6175</v>
      </c>
      <c r="E2339" t="s">
        <v>6175</v>
      </c>
      <c r="M2339" t="s">
        <v>302</v>
      </c>
      <c r="N2339" t="s">
        <v>259</v>
      </c>
      <c r="P2339" t="s">
        <v>260</v>
      </c>
      <c r="Q2339" t="s">
        <v>260</v>
      </c>
      <c r="R2339" t="s">
        <v>283</v>
      </c>
      <c r="S2339" t="s">
        <v>21</v>
      </c>
      <c r="T2339">
        <v>100</v>
      </c>
      <c r="U2339" s="9">
        <v>45748</v>
      </c>
      <c r="W2339" t="s">
        <v>262</v>
      </c>
    </row>
    <row r="2340" spans="1:25" x14ac:dyDescent="0.3">
      <c r="A2340" t="s">
        <v>21</v>
      </c>
      <c r="B2340" t="s">
        <v>6176</v>
      </c>
      <c r="C2340" t="s">
        <v>439</v>
      </c>
      <c r="D2340" t="s">
        <v>6177</v>
      </c>
      <c r="E2340" t="s">
        <v>6177</v>
      </c>
      <c r="M2340" t="s">
        <v>302</v>
      </c>
      <c r="N2340" t="s">
        <v>259</v>
      </c>
      <c r="P2340" t="s">
        <v>260</v>
      </c>
      <c r="Q2340" t="s">
        <v>260</v>
      </c>
      <c r="R2340" t="s">
        <v>283</v>
      </c>
      <c r="S2340" t="s">
        <v>21</v>
      </c>
      <c r="T2340">
        <v>100</v>
      </c>
      <c r="U2340" s="9">
        <v>45717</v>
      </c>
      <c r="W2340" t="s">
        <v>262</v>
      </c>
    </row>
    <row r="2341" spans="1:25" x14ac:dyDescent="0.3">
      <c r="A2341" t="s">
        <v>21</v>
      </c>
      <c r="B2341" t="s">
        <v>6178</v>
      </c>
      <c r="C2341" t="s">
        <v>528</v>
      </c>
      <c r="D2341" t="s">
        <v>3457</v>
      </c>
      <c r="E2341" t="s">
        <v>3457</v>
      </c>
      <c r="M2341" t="s">
        <v>411</v>
      </c>
      <c r="N2341" t="s">
        <v>259</v>
      </c>
      <c r="P2341" t="s">
        <v>260</v>
      </c>
      <c r="Q2341" t="s">
        <v>260</v>
      </c>
      <c r="R2341" t="s">
        <v>293</v>
      </c>
      <c r="S2341" t="s">
        <v>21</v>
      </c>
      <c r="T2341">
        <v>100</v>
      </c>
      <c r="W2341" t="s">
        <v>262</v>
      </c>
    </row>
    <row r="2342" spans="1:25" x14ac:dyDescent="0.3">
      <c r="A2342" t="s">
        <v>21</v>
      </c>
      <c r="B2342" t="s">
        <v>6179</v>
      </c>
      <c r="C2342" t="s">
        <v>6180</v>
      </c>
      <c r="D2342" t="s">
        <v>6181</v>
      </c>
      <c r="E2342" t="s">
        <v>6181</v>
      </c>
      <c r="M2342" t="s">
        <v>411</v>
      </c>
      <c r="N2342" t="s">
        <v>259</v>
      </c>
      <c r="P2342" t="s">
        <v>260</v>
      </c>
      <c r="Q2342" t="s">
        <v>260</v>
      </c>
      <c r="R2342" t="s">
        <v>283</v>
      </c>
      <c r="S2342" t="s">
        <v>21</v>
      </c>
      <c r="T2342">
        <v>100</v>
      </c>
      <c r="W2342" t="s">
        <v>262</v>
      </c>
    </row>
    <row r="2343" spans="1:25" x14ac:dyDescent="0.3">
      <c r="A2343" t="s">
        <v>21</v>
      </c>
      <c r="B2343" t="s">
        <v>6182</v>
      </c>
      <c r="C2343" t="s">
        <v>270</v>
      </c>
      <c r="D2343" t="s">
        <v>6183</v>
      </c>
      <c r="E2343" t="s">
        <v>6183</v>
      </c>
      <c r="G2343" t="s">
        <v>6184</v>
      </c>
      <c r="M2343" t="s">
        <v>297</v>
      </c>
      <c r="N2343" t="s">
        <v>276</v>
      </c>
      <c r="P2343" t="s">
        <v>260</v>
      </c>
      <c r="Q2343" t="s">
        <v>260</v>
      </c>
      <c r="R2343" t="s">
        <v>261</v>
      </c>
      <c r="S2343" t="s">
        <v>21</v>
      </c>
      <c r="T2343">
        <v>100</v>
      </c>
      <c r="W2343" t="s">
        <v>262</v>
      </c>
    </row>
    <row r="2344" spans="1:25" x14ac:dyDescent="0.3">
      <c r="A2344" t="s">
        <v>21</v>
      </c>
      <c r="B2344" t="s">
        <v>6185</v>
      </c>
      <c r="C2344" t="s">
        <v>270</v>
      </c>
      <c r="E2344" t="s">
        <v>6185</v>
      </c>
      <c r="M2344" t="s">
        <v>297</v>
      </c>
      <c r="N2344" t="s">
        <v>276</v>
      </c>
      <c r="P2344" t="s">
        <v>260</v>
      </c>
      <c r="Q2344" t="s">
        <v>260</v>
      </c>
      <c r="R2344" t="s">
        <v>283</v>
      </c>
      <c r="S2344" t="s">
        <v>21</v>
      </c>
      <c r="T2344">
        <v>100</v>
      </c>
      <c r="W2344" t="s">
        <v>262</v>
      </c>
    </row>
    <row r="2345" spans="1:25" x14ac:dyDescent="0.3">
      <c r="A2345" t="s">
        <v>21</v>
      </c>
      <c r="B2345" t="s">
        <v>6186</v>
      </c>
      <c r="C2345" t="s">
        <v>270</v>
      </c>
      <c r="D2345" t="s">
        <v>6187</v>
      </c>
      <c r="E2345" t="s">
        <v>6188</v>
      </c>
      <c r="M2345" t="s">
        <v>411</v>
      </c>
      <c r="N2345" t="s">
        <v>259</v>
      </c>
      <c r="P2345" t="s">
        <v>260</v>
      </c>
      <c r="Q2345" t="s">
        <v>260</v>
      </c>
      <c r="R2345" t="s">
        <v>261</v>
      </c>
      <c r="S2345" t="s">
        <v>21</v>
      </c>
      <c r="T2345">
        <v>100</v>
      </c>
      <c r="W2345" t="s">
        <v>262</v>
      </c>
    </row>
    <row r="2346" spans="1:25" x14ac:dyDescent="0.3">
      <c r="A2346" t="s">
        <v>21</v>
      </c>
      <c r="B2346" t="s">
        <v>6189</v>
      </c>
      <c r="C2346" t="s">
        <v>270</v>
      </c>
      <c r="D2346" t="s">
        <v>6190</v>
      </c>
      <c r="E2346" t="s">
        <v>6189</v>
      </c>
      <c r="H2346" t="s">
        <v>2433</v>
      </c>
      <c r="I2346" t="s">
        <v>1343</v>
      </c>
      <c r="J2346" t="s">
        <v>297</v>
      </c>
      <c r="K2346">
        <v>2104</v>
      </c>
      <c r="L2346" t="s">
        <v>276</v>
      </c>
      <c r="M2346" t="s">
        <v>631</v>
      </c>
      <c r="N2346" t="s">
        <v>276</v>
      </c>
      <c r="P2346" t="s">
        <v>260</v>
      </c>
      <c r="Q2346" t="s">
        <v>260</v>
      </c>
      <c r="R2346" t="s">
        <v>261</v>
      </c>
      <c r="S2346" t="s">
        <v>21</v>
      </c>
      <c r="T2346">
        <v>100</v>
      </c>
      <c r="W2346" t="s">
        <v>262</v>
      </c>
      <c r="X2346">
        <v>-37.008299999999998</v>
      </c>
      <c r="Y2346">
        <v>174.87049999999999</v>
      </c>
    </row>
    <row r="2347" spans="1:25" x14ac:dyDescent="0.3">
      <c r="A2347" t="s">
        <v>21</v>
      </c>
      <c r="B2347" t="s">
        <v>6191</v>
      </c>
      <c r="C2347" t="s">
        <v>270</v>
      </c>
      <c r="D2347" t="s">
        <v>6190</v>
      </c>
      <c r="E2347" t="s">
        <v>6191</v>
      </c>
      <c r="H2347" t="s">
        <v>2433</v>
      </c>
      <c r="I2347" t="s">
        <v>1343</v>
      </c>
      <c r="J2347" t="s">
        <v>297</v>
      </c>
      <c r="K2347">
        <v>2104</v>
      </c>
      <c r="L2347" t="s">
        <v>276</v>
      </c>
      <c r="M2347" t="s">
        <v>631</v>
      </c>
      <c r="N2347" t="s">
        <v>276</v>
      </c>
      <c r="P2347" t="s">
        <v>260</v>
      </c>
      <c r="Q2347" t="s">
        <v>260</v>
      </c>
      <c r="R2347" t="s">
        <v>293</v>
      </c>
      <c r="S2347" t="s">
        <v>21</v>
      </c>
      <c r="T2347">
        <v>100</v>
      </c>
      <c r="W2347" t="s">
        <v>262</v>
      </c>
      <c r="X2347">
        <v>-37.008299999999998</v>
      </c>
      <c r="Y2347">
        <v>174.87049999999999</v>
      </c>
    </row>
    <row r="2348" spans="1:25" x14ac:dyDescent="0.3">
      <c r="A2348" t="s">
        <v>21</v>
      </c>
      <c r="B2348" t="s">
        <v>6192</v>
      </c>
      <c r="C2348" t="s">
        <v>270</v>
      </c>
      <c r="D2348" t="s">
        <v>6190</v>
      </c>
      <c r="E2348" t="s">
        <v>6192</v>
      </c>
      <c r="H2348" t="s">
        <v>2433</v>
      </c>
      <c r="I2348" t="s">
        <v>1343</v>
      </c>
      <c r="J2348" t="s">
        <v>297</v>
      </c>
      <c r="K2348">
        <v>2104</v>
      </c>
      <c r="L2348" t="s">
        <v>276</v>
      </c>
      <c r="M2348" t="s">
        <v>631</v>
      </c>
      <c r="N2348" t="s">
        <v>276</v>
      </c>
      <c r="P2348" t="s">
        <v>260</v>
      </c>
      <c r="Q2348" t="s">
        <v>260</v>
      </c>
      <c r="R2348" t="s">
        <v>261</v>
      </c>
      <c r="S2348" t="s">
        <v>21</v>
      </c>
      <c r="T2348">
        <v>100</v>
      </c>
      <c r="W2348" t="s">
        <v>262</v>
      </c>
      <c r="X2348">
        <v>-37.008299999999998</v>
      </c>
      <c r="Y2348">
        <v>174.87049999999999</v>
      </c>
    </row>
    <row r="2349" spans="1:25" x14ac:dyDescent="0.3">
      <c r="A2349" t="s">
        <v>21</v>
      </c>
      <c r="B2349" t="s">
        <v>6193</v>
      </c>
      <c r="C2349" t="s">
        <v>270</v>
      </c>
      <c r="D2349" t="s">
        <v>2291</v>
      </c>
      <c r="E2349" t="s">
        <v>6194</v>
      </c>
      <c r="H2349" t="s">
        <v>2433</v>
      </c>
      <c r="I2349" t="s">
        <v>1343</v>
      </c>
      <c r="J2349" t="s">
        <v>297</v>
      </c>
      <c r="K2349">
        <v>2104</v>
      </c>
      <c r="L2349" t="s">
        <v>276</v>
      </c>
      <c r="M2349" t="s">
        <v>631</v>
      </c>
      <c r="N2349" t="s">
        <v>276</v>
      </c>
      <c r="P2349" t="s">
        <v>260</v>
      </c>
      <c r="Q2349" t="s">
        <v>260</v>
      </c>
      <c r="R2349" t="s">
        <v>261</v>
      </c>
      <c r="S2349" t="s">
        <v>21</v>
      </c>
      <c r="T2349">
        <v>100</v>
      </c>
      <c r="W2349" t="s">
        <v>262</v>
      </c>
      <c r="X2349">
        <v>-37.008299999999998</v>
      </c>
      <c r="Y2349">
        <v>174.87049999999999</v>
      </c>
    </row>
    <row r="2350" spans="1:25" x14ac:dyDescent="0.3">
      <c r="A2350" t="s">
        <v>21</v>
      </c>
      <c r="B2350" t="s">
        <v>6195</v>
      </c>
      <c r="C2350" t="s">
        <v>1845</v>
      </c>
      <c r="D2350" t="s">
        <v>6196</v>
      </c>
      <c r="E2350" t="s">
        <v>6197</v>
      </c>
      <c r="M2350" t="s">
        <v>379</v>
      </c>
      <c r="N2350" t="s">
        <v>276</v>
      </c>
      <c r="P2350" t="s">
        <v>260</v>
      </c>
      <c r="Q2350" t="s">
        <v>260</v>
      </c>
      <c r="R2350" t="s">
        <v>261</v>
      </c>
      <c r="S2350" t="s">
        <v>21</v>
      </c>
      <c r="T2350">
        <v>100</v>
      </c>
      <c r="W2350" t="s">
        <v>262</v>
      </c>
    </row>
    <row r="2351" spans="1:25" x14ac:dyDescent="0.3">
      <c r="A2351" t="s">
        <v>21</v>
      </c>
      <c r="B2351" t="s">
        <v>6198</v>
      </c>
      <c r="C2351" t="s">
        <v>270</v>
      </c>
      <c r="D2351" t="s">
        <v>6199</v>
      </c>
      <c r="E2351">
        <v>10085</v>
      </c>
      <c r="M2351" t="s">
        <v>631</v>
      </c>
      <c r="N2351" t="s">
        <v>276</v>
      </c>
      <c r="P2351" t="s">
        <v>260</v>
      </c>
      <c r="Q2351" t="s">
        <v>260</v>
      </c>
      <c r="R2351" t="s">
        <v>283</v>
      </c>
      <c r="S2351" t="s">
        <v>21</v>
      </c>
      <c r="T2351">
        <v>100</v>
      </c>
      <c r="W2351" t="s">
        <v>262</v>
      </c>
    </row>
    <row r="2352" spans="1:25" x14ac:dyDescent="0.3">
      <c r="A2352" t="s">
        <v>21</v>
      </c>
      <c r="B2352" t="s">
        <v>6200</v>
      </c>
      <c r="C2352" t="s">
        <v>270</v>
      </c>
      <c r="D2352" t="s">
        <v>6201</v>
      </c>
      <c r="E2352" t="s">
        <v>6202</v>
      </c>
      <c r="M2352" t="s">
        <v>631</v>
      </c>
      <c r="N2352" t="s">
        <v>276</v>
      </c>
      <c r="P2352" t="s">
        <v>260</v>
      </c>
      <c r="Q2352" t="s">
        <v>260</v>
      </c>
      <c r="R2352" t="s">
        <v>283</v>
      </c>
      <c r="S2352" t="s">
        <v>21</v>
      </c>
      <c r="T2352">
        <v>100</v>
      </c>
      <c r="W2352" t="s">
        <v>262</v>
      </c>
    </row>
    <row r="2353" spans="1:26" x14ac:dyDescent="0.3">
      <c r="A2353" t="s">
        <v>21</v>
      </c>
      <c r="B2353" t="s">
        <v>6203</v>
      </c>
      <c r="C2353" t="s">
        <v>270</v>
      </c>
      <c r="D2353" t="s">
        <v>6204</v>
      </c>
      <c r="E2353" t="s">
        <v>6204</v>
      </c>
      <c r="M2353" t="s">
        <v>411</v>
      </c>
      <c r="N2353" t="s">
        <v>259</v>
      </c>
      <c r="P2353" t="s">
        <v>260</v>
      </c>
      <c r="Q2353" t="s">
        <v>260</v>
      </c>
      <c r="R2353" t="s">
        <v>283</v>
      </c>
      <c r="S2353" t="s">
        <v>21</v>
      </c>
      <c r="T2353">
        <v>100</v>
      </c>
      <c r="W2353" t="s">
        <v>262</v>
      </c>
    </row>
    <row r="2354" spans="1:26" x14ac:dyDescent="0.3">
      <c r="A2354" t="s">
        <v>21</v>
      </c>
      <c r="B2354" t="s">
        <v>6205</v>
      </c>
      <c r="C2354" t="s">
        <v>270</v>
      </c>
      <c r="D2354" t="s">
        <v>6206</v>
      </c>
      <c r="E2354">
        <v>64200</v>
      </c>
      <c r="M2354" t="s">
        <v>631</v>
      </c>
      <c r="N2354" t="s">
        <v>276</v>
      </c>
      <c r="P2354" t="s">
        <v>260</v>
      </c>
      <c r="Q2354" t="s">
        <v>260</v>
      </c>
      <c r="R2354" t="s">
        <v>283</v>
      </c>
      <c r="S2354" t="s">
        <v>21</v>
      </c>
      <c r="T2354">
        <v>100</v>
      </c>
      <c r="W2354" t="s">
        <v>262</v>
      </c>
    </row>
    <row r="2355" spans="1:26" x14ac:dyDescent="0.3">
      <c r="A2355" t="s">
        <v>21</v>
      </c>
      <c r="B2355" t="s">
        <v>6207</v>
      </c>
      <c r="C2355" t="s">
        <v>270</v>
      </c>
      <c r="D2355" t="s">
        <v>6208</v>
      </c>
      <c r="E2355">
        <v>64250</v>
      </c>
      <c r="M2355" t="s">
        <v>631</v>
      </c>
      <c r="N2355" t="s">
        <v>276</v>
      </c>
      <c r="P2355" t="s">
        <v>260</v>
      </c>
      <c r="Q2355" t="s">
        <v>260</v>
      </c>
      <c r="R2355" t="s">
        <v>283</v>
      </c>
      <c r="S2355" t="s">
        <v>21</v>
      </c>
      <c r="T2355">
        <v>100</v>
      </c>
      <c r="W2355" t="s">
        <v>262</v>
      </c>
    </row>
    <row r="2356" spans="1:26" x14ac:dyDescent="0.3">
      <c r="A2356" t="s">
        <v>21</v>
      </c>
      <c r="B2356" t="s">
        <v>6209</v>
      </c>
      <c r="C2356" t="s">
        <v>264</v>
      </c>
      <c r="D2356" t="s">
        <v>6210</v>
      </c>
      <c r="M2356" t="s">
        <v>302</v>
      </c>
      <c r="N2356" t="s">
        <v>259</v>
      </c>
      <c r="P2356" t="s">
        <v>260</v>
      </c>
      <c r="Q2356" t="s">
        <v>260</v>
      </c>
      <c r="R2356" t="s">
        <v>283</v>
      </c>
      <c r="S2356" t="s">
        <v>21</v>
      </c>
      <c r="T2356">
        <v>100</v>
      </c>
      <c r="W2356" t="s">
        <v>262</v>
      </c>
    </row>
    <row r="2357" spans="1:26" x14ac:dyDescent="0.3">
      <c r="A2357" t="s">
        <v>21</v>
      </c>
      <c r="B2357" t="s">
        <v>6211</v>
      </c>
      <c r="C2357" t="s">
        <v>270</v>
      </c>
      <c r="D2357" t="s">
        <v>61</v>
      </c>
      <c r="E2357" t="s">
        <v>61</v>
      </c>
      <c r="M2357" t="s">
        <v>411</v>
      </c>
      <c r="N2357" t="s">
        <v>259</v>
      </c>
      <c r="P2357" t="s">
        <v>260</v>
      </c>
      <c r="Q2357" t="s">
        <v>260</v>
      </c>
      <c r="R2357" t="s">
        <v>283</v>
      </c>
      <c r="S2357" t="s">
        <v>21</v>
      </c>
      <c r="T2357">
        <v>100</v>
      </c>
      <c r="W2357" t="s">
        <v>262</v>
      </c>
    </row>
    <row r="2358" spans="1:26" x14ac:dyDescent="0.3">
      <c r="A2358" t="s">
        <v>21</v>
      </c>
      <c r="B2358" t="s">
        <v>6212</v>
      </c>
      <c r="C2358" t="s">
        <v>264</v>
      </c>
      <c r="D2358" t="s">
        <v>6213</v>
      </c>
      <c r="E2358">
        <v>7010</v>
      </c>
      <c r="G2358" t="s">
        <v>6214</v>
      </c>
      <c r="H2358" t="s">
        <v>6215</v>
      </c>
      <c r="I2358" t="s">
        <v>6216</v>
      </c>
      <c r="J2358" t="s">
        <v>335</v>
      </c>
      <c r="K2358">
        <v>3030</v>
      </c>
      <c r="L2358" t="s">
        <v>259</v>
      </c>
      <c r="M2358" t="s">
        <v>282</v>
      </c>
      <c r="N2358" t="s">
        <v>259</v>
      </c>
      <c r="P2358" t="s">
        <v>260</v>
      </c>
      <c r="Q2358" t="s">
        <v>260</v>
      </c>
      <c r="R2358" t="s">
        <v>283</v>
      </c>
      <c r="S2358" t="s">
        <v>21</v>
      </c>
      <c r="T2358">
        <v>100</v>
      </c>
      <c r="W2358" t="s">
        <v>262</v>
      </c>
      <c r="X2358">
        <v>-37.811062</v>
      </c>
      <c r="Y2358">
        <v>144.765567</v>
      </c>
      <c r="Z2358">
        <v>310</v>
      </c>
    </row>
    <row r="2359" spans="1:26" x14ac:dyDescent="0.3">
      <c r="A2359" t="s">
        <v>21</v>
      </c>
      <c r="B2359" t="s">
        <v>6217</v>
      </c>
      <c r="C2359" t="s">
        <v>270</v>
      </c>
      <c r="D2359" t="s">
        <v>6218</v>
      </c>
      <c r="E2359" t="s">
        <v>6218</v>
      </c>
      <c r="M2359" t="s">
        <v>411</v>
      </c>
      <c r="N2359" t="s">
        <v>259</v>
      </c>
      <c r="P2359" t="s">
        <v>260</v>
      </c>
      <c r="Q2359" t="s">
        <v>260</v>
      </c>
      <c r="R2359" t="s">
        <v>283</v>
      </c>
      <c r="S2359" t="s">
        <v>21</v>
      </c>
      <c r="T2359">
        <v>100</v>
      </c>
      <c r="W2359" t="s">
        <v>262</v>
      </c>
    </row>
    <row r="2360" spans="1:26" x14ac:dyDescent="0.3">
      <c r="A2360" t="s">
        <v>21</v>
      </c>
      <c r="B2360" t="s">
        <v>6219</v>
      </c>
      <c r="C2360" t="s">
        <v>528</v>
      </c>
      <c r="D2360" t="s">
        <v>6220</v>
      </c>
      <c r="E2360">
        <v>28</v>
      </c>
      <c r="G2360" t="s">
        <v>6221</v>
      </c>
      <c r="H2360" t="s">
        <v>6222</v>
      </c>
      <c r="I2360" t="s">
        <v>955</v>
      </c>
      <c r="J2360" t="s">
        <v>318</v>
      </c>
      <c r="K2360">
        <v>4814</v>
      </c>
      <c r="L2360" t="s">
        <v>302</v>
      </c>
      <c r="M2360" t="s">
        <v>302</v>
      </c>
      <c r="N2360" t="s">
        <v>259</v>
      </c>
      <c r="P2360" t="s">
        <v>260</v>
      </c>
      <c r="Q2360" t="s">
        <v>260</v>
      </c>
      <c r="R2360" t="s">
        <v>283</v>
      </c>
      <c r="S2360" t="s">
        <v>21</v>
      </c>
      <c r="T2360">
        <v>100</v>
      </c>
      <c r="W2360" t="s">
        <v>262</v>
      </c>
      <c r="X2360">
        <v>-19.267721000000002</v>
      </c>
      <c r="Y2360">
        <v>146.771974</v>
      </c>
      <c r="Z2360">
        <v>310</v>
      </c>
    </row>
    <row r="2361" spans="1:26" x14ac:dyDescent="0.3">
      <c r="A2361" t="s">
        <v>21</v>
      </c>
      <c r="B2361" t="s">
        <v>6223</v>
      </c>
      <c r="C2361" t="s">
        <v>270</v>
      </c>
      <c r="D2361" t="s">
        <v>6224</v>
      </c>
      <c r="E2361">
        <v>64901</v>
      </c>
      <c r="M2361" t="s">
        <v>631</v>
      </c>
      <c r="N2361" t="s">
        <v>276</v>
      </c>
      <c r="P2361" t="s">
        <v>260</v>
      </c>
      <c r="Q2361" t="s">
        <v>260</v>
      </c>
      <c r="R2361" t="s">
        <v>283</v>
      </c>
      <c r="S2361" t="s">
        <v>21</v>
      </c>
      <c r="T2361">
        <v>100</v>
      </c>
      <c r="W2361" t="s">
        <v>262</v>
      </c>
    </row>
    <row r="2362" spans="1:26" x14ac:dyDescent="0.3">
      <c r="A2362" t="s">
        <v>21</v>
      </c>
      <c r="B2362" t="s">
        <v>6225</v>
      </c>
      <c r="C2362" t="s">
        <v>270</v>
      </c>
      <c r="D2362" t="s">
        <v>6226</v>
      </c>
      <c r="E2362">
        <v>64920</v>
      </c>
      <c r="M2362" t="s">
        <v>631</v>
      </c>
      <c r="N2362" t="s">
        <v>276</v>
      </c>
      <c r="P2362" t="s">
        <v>260</v>
      </c>
      <c r="Q2362" t="s">
        <v>260</v>
      </c>
      <c r="R2362" t="s">
        <v>283</v>
      </c>
      <c r="S2362" t="s">
        <v>21</v>
      </c>
      <c r="T2362">
        <v>100</v>
      </c>
      <c r="W2362" t="s">
        <v>262</v>
      </c>
    </row>
    <row r="2363" spans="1:26" x14ac:dyDescent="0.3">
      <c r="A2363" t="s">
        <v>21</v>
      </c>
      <c r="B2363" t="s">
        <v>6227</v>
      </c>
      <c r="C2363" t="s">
        <v>270</v>
      </c>
      <c r="D2363" t="s">
        <v>6228</v>
      </c>
      <c r="E2363">
        <v>64960</v>
      </c>
      <c r="M2363" t="s">
        <v>631</v>
      </c>
      <c r="N2363" t="s">
        <v>276</v>
      </c>
      <c r="P2363" t="s">
        <v>260</v>
      </c>
      <c r="Q2363" t="s">
        <v>260</v>
      </c>
      <c r="R2363" t="s">
        <v>283</v>
      </c>
      <c r="S2363" t="s">
        <v>21</v>
      </c>
      <c r="T2363">
        <v>100</v>
      </c>
      <c r="W2363" t="s">
        <v>262</v>
      </c>
    </row>
    <row r="2364" spans="1:26" x14ac:dyDescent="0.3">
      <c r="A2364" t="s">
        <v>21</v>
      </c>
      <c r="B2364" t="s">
        <v>6229</v>
      </c>
      <c r="C2364" t="s">
        <v>270</v>
      </c>
      <c r="D2364" t="s">
        <v>6230</v>
      </c>
      <c r="E2364">
        <v>10217</v>
      </c>
      <c r="G2364">
        <v>10.217000000000001</v>
      </c>
      <c r="H2364" t="s">
        <v>2433</v>
      </c>
      <c r="I2364" t="s">
        <v>1343</v>
      </c>
      <c r="J2364" t="s">
        <v>297</v>
      </c>
      <c r="K2364">
        <v>2104</v>
      </c>
      <c r="L2364" t="s">
        <v>276</v>
      </c>
      <c r="M2364" t="s">
        <v>631</v>
      </c>
      <c r="N2364" t="s">
        <v>276</v>
      </c>
      <c r="P2364" t="s">
        <v>260</v>
      </c>
      <c r="Q2364" t="s">
        <v>260</v>
      </c>
      <c r="R2364" t="s">
        <v>283</v>
      </c>
      <c r="S2364" t="s">
        <v>21</v>
      </c>
      <c r="T2364">
        <v>100</v>
      </c>
      <c r="W2364" t="s">
        <v>262</v>
      </c>
      <c r="X2364">
        <v>-37.008299999999998</v>
      </c>
      <c r="Y2364">
        <v>174.87049999999999</v>
      </c>
    </row>
    <row r="2365" spans="1:26" x14ac:dyDescent="0.3">
      <c r="A2365" t="s">
        <v>21</v>
      </c>
      <c r="B2365" t="s">
        <v>6231</v>
      </c>
      <c r="C2365" t="s">
        <v>270</v>
      </c>
      <c r="D2365" t="s">
        <v>1682</v>
      </c>
      <c r="E2365">
        <v>63990</v>
      </c>
      <c r="H2365" t="s">
        <v>2433</v>
      </c>
      <c r="I2365" t="s">
        <v>1343</v>
      </c>
      <c r="J2365" t="s">
        <v>297</v>
      </c>
      <c r="K2365">
        <v>2104</v>
      </c>
      <c r="L2365" t="s">
        <v>276</v>
      </c>
      <c r="M2365" t="s">
        <v>631</v>
      </c>
      <c r="N2365" t="s">
        <v>276</v>
      </c>
      <c r="P2365" t="s">
        <v>260</v>
      </c>
      <c r="Q2365" t="s">
        <v>260</v>
      </c>
      <c r="R2365" t="s">
        <v>283</v>
      </c>
      <c r="S2365" t="s">
        <v>21</v>
      </c>
      <c r="T2365">
        <v>100</v>
      </c>
      <c r="W2365" t="s">
        <v>262</v>
      </c>
      <c r="X2365">
        <v>-37.008299999999998</v>
      </c>
      <c r="Y2365">
        <v>174.87049999999999</v>
      </c>
    </row>
    <row r="2366" spans="1:26" x14ac:dyDescent="0.3">
      <c r="A2366" t="s">
        <v>21</v>
      </c>
      <c r="B2366" t="s">
        <v>6232</v>
      </c>
      <c r="C2366" t="s">
        <v>278</v>
      </c>
      <c r="D2366" t="s">
        <v>6233</v>
      </c>
      <c r="E2366" t="s">
        <v>6233</v>
      </c>
      <c r="M2366" t="s">
        <v>6234</v>
      </c>
      <c r="N2366" t="s">
        <v>259</v>
      </c>
      <c r="P2366" t="s">
        <v>260</v>
      </c>
      <c r="Q2366" t="s">
        <v>260</v>
      </c>
      <c r="R2366" t="s">
        <v>283</v>
      </c>
      <c r="S2366" t="s">
        <v>21</v>
      </c>
      <c r="T2366">
        <v>100</v>
      </c>
      <c r="V2366" s="9">
        <v>45748</v>
      </c>
      <c r="W2366" t="s">
        <v>262</v>
      </c>
    </row>
    <row r="2367" spans="1:26" x14ac:dyDescent="0.3">
      <c r="A2367" t="s">
        <v>21</v>
      </c>
      <c r="B2367" t="s">
        <v>6235</v>
      </c>
      <c r="C2367" t="s">
        <v>270</v>
      </c>
      <c r="D2367" t="s">
        <v>6236</v>
      </c>
      <c r="E2367" t="s">
        <v>6237</v>
      </c>
      <c r="H2367" t="s">
        <v>6238</v>
      </c>
      <c r="I2367" t="s">
        <v>730</v>
      </c>
      <c r="J2367" t="s">
        <v>730</v>
      </c>
      <c r="K2367">
        <v>3600</v>
      </c>
      <c r="L2367" t="s">
        <v>276</v>
      </c>
      <c r="M2367" t="s">
        <v>730</v>
      </c>
      <c r="N2367" t="s">
        <v>276</v>
      </c>
      <c r="P2367" t="s">
        <v>260</v>
      </c>
      <c r="Q2367" t="s">
        <v>260</v>
      </c>
      <c r="R2367" t="s">
        <v>283</v>
      </c>
      <c r="S2367" t="s">
        <v>21</v>
      </c>
      <c r="T2367">
        <v>100</v>
      </c>
      <c r="W2367" t="s">
        <v>262</v>
      </c>
      <c r="X2367">
        <v>-37.369399999999999</v>
      </c>
      <c r="Y2367">
        <v>175.666</v>
      </c>
    </row>
    <row r="2368" spans="1:26" x14ac:dyDescent="0.3">
      <c r="A2368" t="s">
        <v>21</v>
      </c>
      <c r="B2368" t="s">
        <v>6239</v>
      </c>
      <c r="C2368" t="s">
        <v>299</v>
      </c>
      <c r="D2368" t="s">
        <v>6240</v>
      </c>
      <c r="E2368" t="s">
        <v>6241</v>
      </c>
      <c r="G2368" t="s">
        <v>2208</v>
      </c>
      <c r="H2368" t="s">
        <v>1141</v>
      </c>
      <c r="I2368" t="s">
        <v>1142</v>
      </c>
      <c r="J2368" t="s">
        <v>258</v>
      </c>
      <c r="K2368">
        <v>7315</v>
      </c>
      <c r="L2368" t="s">
        <v>259</v>
      </c>
      <c r="M2368" t="s">
        <v>257</v>
      </c>
      <c r="N2368" t="s">
        <v>259</v>
      </c>
      <c r="P2368" t="s">
        <v>260</v>
      </c>
      <c r="Q2368" t="s">
        <v>260</v>
      </c>
      <c r="R2368" t="s">
        <v>261</v>
      </c>
      <c r="S2368" t="s">
        <v>21</v>
      </c>
      <c r="T2368">
        <v>100</v>
      </c>
      <c r="W2368" t="s">
        <v>262</v>
      </c>
      <c r="X2368">
        <v>-41.167000000000002</v>
      </c>
      <c r="Y2368">
        <v>146.167</v>
      </c>
      <c r="Z2368">
        <v>310</v>
      </c>
    </row>
    <row r="2369" spans="1:25" x14ac:dyDescent="0.3">
      <c r="A2369" t="s">
        <v>21</v>
      </c>
      <c r="B2369" t="s">
        <v>6242</v>
      </c>
      <c r="C2369" t="s">
        <v>270</v>
      </c>
      <c r="D2369" t="s">
        <v>6243</v>
      </c>
      <c r="E2369" t="s">
        <v>6244</v>
      </c>
      <c r="H2369" t="s">
        <v>2433</v>
      </c>
      <c r="I2369" t="s">
        <v>1343</v>
      </c>
      <c r="J2369" t="s">
        <v>297</v>
      </c>
      <c r="K2369">
        <v>2104</v>
      </c>
      <c r="L2369" t="s">
        <v>276</v>
      </c>
      <c r="M2369" t="s">
        <v>631</v>
      </c>
      <c r="N2369" t="s">
        <v>276</v>
      </c>
      <c r="P2369" t="s">
        <v>260</v>
      </c>
      <c r="Q2369" t="s">
        <v>260</v>
      </c>
      <c r="R2369" t="s">
        <v>283</v>
      </c>
      <c r="S2369" t="s">
        <v>21</v>
      </c>
      <c r="T2369">
        <v>100</v>
      </c>
      <c r="W2369" t="s">
        <v>262</v>
      </c>
      <c r="X2369">
        <v>-37.008299999999998</v>
      </c>
      <c r="Y2369">
        <v>174.87049999999999</v>
      </c>
    </row>
    <row r="2370" spans="1:25" x14ac:dyDescent="0.3">
      <c r="A2370" t="s">
        <v>21</v>
      </c>
      <c r="B2370" t="s">
        <v>6245</v>
      </c>
      <c r="C2370" t="s">
        <v>270</v>
      </c>
      <c r="D2370" t="s">
        <v>6246</v>
      </c>
      <c r="E2370" t="s">
        <v>6247</v>
      </c>
      <c r="H2370" t="s">
        <v>2433</v>
      </c>
      <c r="I2370" t="s">
        <v>1343</v>
      </c>
      <c r="J2370" t="s">
        <v>297</v>
      </c>
      <c r="K2370">
        <v>2104</v>
      </c>
      <c r="L2370" t="s">
        <v>276</v>
      </c>
      <c r="M2370" t="s">
        <v>631</v>
      </c>
      <c r="N2370" t="s">
        <v>276</v>
      </c>
      <c r="P2370" t="s">
        <v>260</v>
      </c>
      <c r="Q2370" t="s">
        <v>260</v>
      </c>
      <c r="R2370" t="s">
        <v>283</v>
      </c>
      <c r="S2370" t="s">
        <v>21</v>
      </c>
      <c r="T2370">
        <v>100</v>
      </c>
      <c r="W2370" t="s">
        <v>262</v>
      </c>
      <c r="X2370">
        <v>-37.008299999999998</v>
      </c>
      <c r="Y2370">
        <v>174.87049999999999</v>
      </c>
    </row>
    <row r="2371" spans="1:25" x14ac:dyDescent="0.3">
      <c r="A2371" t="s">
        <v>21</v>
      </c>
      <c r="B2371" t="s">
        <v>6248</v>
      </c>
      <c r="C2371" t="s">
        <v>270</v>
      </c>
      <c r="D2371" t="s">
        <v>6249</v>
      </c>
      <c r="E2371">
        <v>2000005097</v>
      </c>
      <c r="M2371" t="s">
        <v>631</v>
      </c>
      <c r="N2371" t="s">
        <v>276</v>
      </c>
      <c r="P2371" t="s">
        <v>260</v>
      </c>
      <c r="Q2371" t="s">
        <v>260</v>
      </c>
      <c r="R2371" t="s">
        <v>268</v>
      </c>
      <c r="S2371" t="s">
        <v>21</v>
      </c>
      <c r="T2371">
        <v>100</v>
      </c>
      <c r="W2371" t="s">
        <v>262</v>
      </c>
    </row>
    <row r="2372" spans="1:25" x14ac:dyDescent="0.3">
      <c r="A2372" t="s">
        <v>21</v>
      </c>
      <c r="B2372" t="s">
        <v>6250</v>
      </c>
      <c r="C2372" t="s">
        <v>270</v>
      </c>
      <c r="D2372" t="s">
        <v>6251</v>
      </c>
      <c r="E2372">
        <v>558027</v>
      </c>
      <c r="G2372" t="s">
        <v>6252</v>
      </c>
      <c r="M2372" t="s">
        <v>6253</v>
      </c>
      <c r="N2372" t="s">
        <v>276</v>
      </c>
      <c r="P2372" t="s">
        <v>260</v>
      </c>
      <c r="Q2372" t="s">
        <v>260</v>
      </c>
      <c r="R2372" t="s">
        <v>261</v>
      </c>
      <c r="S2372" t="s">
        <v>21</v>
      </c>
      <c r="T2372">
        <v>100</v>
      </c>
      <c r="W2372" t="s">
        <v>262</v>
      </c>
    </row>
    <row r="2373" spans="1:25" x14ac:dyDescent="0.3">
      <c r="A2373" t="s">
        <v>21</v>
      </c>
      <c r="B2373" t="s">
        <v>6254</v>
      </c>
      <c r="C2373" t="s">
        <v>270</v>
      </c>
      <c r="D2373" t="s">
        <v>6255</v>
      </c>
      <c r="E2373" t="s">
        <v>6255</v>
      </c>
      <c r="F2373" t="s">
        <v>6255</v>
      </c>
      <c r="M2373" t="s">
        <v>297</v>
      </c>
      <c r="N2373" t="s">
        <v>276</v>
      </c>
      <c r="P2373" t="s">
        <v>260</v>
      </c>
      <c r="Q2373" t="s">
        <v>260</v>
      </c>
      <c r="R2373" t="s">
        <v>283</v>
      </c>
      <c r="S2373" t="s">
        <v>21</v>
      </c>
      <c r="T2373">
        <v>100</v>
      </c>
      <c r="W2373" t="s">
        <v>262</v>
      </c>
    </row>
    <row r="2374" spans="1:25" x14ac:dyDescent="0.3">
      <c r="A2374" t="s">
        <v>21</v>
      </c>
      <c r="B2374" t="s">
        <v>6256</v>
      </c>
      <c r="C2374" t="s">
        <v>270</v>
      </c>
      <c r="D2374" t="s">
        <v>6257</v>
      </c>
      <c r="E2374" t="s">
        <v>6257</v>
      </c>
      <c r="M2374" t="s">
        <v>394</v>
      </c>
      <c r="N2374" t="s">
        <v>276</v>
      </c>
      <c r="P2374" t="s">
        <v>260</v>
      </c>
      <c r="Q2374" t="s">
        <v>260</v>
      </c>
      <c r="R2374" t="s">
        <v>283</v>
      </c>
      <c r="S2374" t="s">
        <v>21</v>
      </c>
      <c r="T2374">
        <v>100</v>
      </c>
      <c r="W2374" t="s">
        <v>262</v>
      </c>
    </row>
    <row r="2375" spans="1:25" x14ac:dyDescent="0.3">
      <c r="A2375" t="s">
        <v>21</v>
      </c>
      <c r="B2375" t="s">
        <v>6258</v>
      </c>
      <c r="C2375" t="s">
        <v>270</v>
      </c>
      <c r="D2375" t="s">
        <v>6259</v>
      </c>
      <c r="E2375" t="s">
        <v>6259</v>
      </c>
      <c r="M2375" t="s">
        <v>394</v>
      </c>
      <c r="N2375" t="s">
        <v>276</v>
      </c>
      <c r="P2375" t="s">
        <v>260</v>
      </c>
      <c r="Q2375" t="s">
        <v>260</v>
      </c>
      <c r="R2375" t="s">
        <v>283</v>
      </c>
      <c r="S2375" t="s">
        <v>21</v>
      </c>
      <c r="T2375">
        <v>100</v>
      </c>
      <c r="W2375" t="s">
        <v>262</v>
      </c>
    </row>
    <row r="2376" spans="1:25" x14ac:dyDescent="0.3">
      <c r="A2376" t="s">
        <v>21</v>
      </c>
      <c r="B2376" t="s">
        <v>6260</v>
      </c>
      <c r="C2376" t="s">
        <v>270</v>
      </c>
      <c r="D2376" t="s">
        <v>6261</v>
      </c>
      <c r="E2376" t="s">
        <v>6261</v>
      </c>
      <c r="M2376" t="s">
        <v>394</v>
      </c>
      <c r="N2376" t="s">
        <v>276</v>
      </c>
      <c r="P2376" t="s">
        <v>260</v>
      </c>
      <c r="Q2376" t="s">
        <v>260</v>
      </c>
      <c r="R2376" t="s">
        <v>283</v>
      </c>
      <c r="S2376" t="s">
        <v>21</v>
      </c>
      <c r="T2376">
        <v>100</v>
      </c>
      <c r="W2376" t="s">
        <v>262</v>
      </c>
    </row>
    <row r="2377" spans="1:25" x14ac:dyDescent="0.3">
      <c r="A2377" t="s">
        <v>21</v>
      </c>
      <c r="B2377" t="s">
        <v>6262</v>
      </c>
      <c r="C2377" t="s">
        <v>270</v>
      </c>
      <c r="D2377" t="s">
        <v>6263</v>
      </c>
      <c r="E2377" t="s">
        <v>6263</v>
      </c>
      <c r="M2377" t="s">
        <v>411</v>
      </c>
      <c r="N2377" t="s">
        <v>259</v>
      </c>
      <c r="P2377" t="s">
        <v>260</v>
      </c>
      <c r="Q2377" t="s">
        <v>260</v>
      </c>
      <c r="R2377" t="s">
        <v>283</v>
      </c>
      <c r="S2377" t="s">
        <v>21</v>
      </c>
      <c r="T2377">
        <v>100</v>
      </c>
      <c r="W2377" t="s">
        <v>262</v>
      </c>
    </row>
    <row r="2378" spans="1:25" x14ac:dyDescent="0.3">
      <c r="A2378" t="s">
        <v>21</v>
      </c>
      <c r="B2378" t="s">
        <v>6264</v>
      </c>
      <c r="C2378" t="s">
        <v>270</v>
      </c>
      <c r="D2378" t="s">
        <v>6265</v>
      </c>
      <c r="E2378">
        <v>2000004857</v>
      </c>
      <c r="H2378" t="s">
        <v>2433</v>
      </c>
      <c r="I2378" t="s">
        <v>1343</v>
      </c>
      <c r="J2378" t="s">
        <v>297</v>
      </c>
      <c r="K2378">
        <v>2104</v>
      </c>
      <c r="L2378" t="s">
        <v>276</v>
      </c>
      <c r="M2378" t="s">
        <v>631</v>
      </c>
      <c r="N2378" t="s">
        <v>276</v>
      </c>
      <c r="P2378" t="s">
        <v>260</v>
      </c>
      <c r="Q2378" t="s">
        <v>260</v>
      </c>
      <c r="R2378" t="s">
        <v>268</v>
      </c>
      <c r="S2378" t="s">
        <v>21</v>
      </c>
      <c r="T2378">
        <v>100</v>
      </c>
      <c r="W2378" t="s">
        <v>262</v>
      </c>
      <c r="X2378">
        <v>-37.008299999999998</v>
      </c>
      <c r="Y2378">
        <v>174.87049999999999</v>
      </c>
    </row>
    <row r="2379" spans="1:25" x14ac:dyDescent="0.3">
      <c r="A2379" t="s">
        <v>21</v>
      </c>
      <c r="B2379" t="s">
        <v>6266</v>
      </c>
      <c r="C2379" t="s">
        <v>270</v>
      </c>
      <c r="D2379" t="s">
        <v>6267</v>
      </c>
      <c r="E2379" t="s">
        <v>6267</v>
      </c>
      <c r="M2379" t="s">
        <v>394</v>
      </c>
      <c r="N2379" t="s">
        <v>276</v>
      </c>
      <c r="P2379" t="s">
        <v>260</v>
      </c>
      <c r="Q2379" t="s">
        <v>260</v>
      </c>
      <c r="R2379" t="s">
        <v>283</v>
      </c>
      <c r="S2379" t="s">
        <v>21</v>
      </c>
      <c r="T2379">
        <v>100</v>
      </c>
      <c r="W2379" t="s">
        <v>262</v>
      </c>
    </row>
    <row r="2380" spans="1:25" x14ac:dyDescent="0.3">
      <c r="A2380" t="s">
        <v>21</v>
      </c>
      <c r="B2380" t="s">
        <v>6268</v>
      </c>
      <c r="C2380" t="s">
        <v>270</v>
      </c>
      <c r="D2380" t="s">
        <v>6269</v>
      </c>
      <c r="E2380" t="s">
        <v>6269</v>
      </c>
      <c r="M2380" t="s">
        <v>394</v>
      </c>
      <c r="N2380" t="s">
        <v>276</v>
      </c>
      <c r="P2380" t="s">
        <v>260</v>
      </c>
      <c r="Q2380" t="s">
        <v>260</v>
      </c>
      <c r="R2380" t="s">
        <v>283</v>
      </c>
      <c r="S2380" t="s">
        <v>21</v>
      </c>
      <c r="T2380">
        <v>100</v>
      </c>
      <c r="W2380" t="s">
        <v>262</v>
      </c>
    </row>
    <row r="2381" spans="1:25" x14ac:dyDescent="0.3">
      <c r="A2381" t="s">
        <v>21</v>
      </c>
      <c r="B2381" t="s">
        <v>6270</v>
      </c>
      <c r="C2381" t="s">
        <v>270</v>
      </c>
      <c r="D2381" t="s">
        <v>6271</v>
      </c>
      <c r="E2381" t="s">
        <v>6271</v>
      </c>
      <c r="M2381" t="s">
        <v>394</v>
      </c>
      <c r="N2381" t="s">
        <v>276</v>
      </c>
      <c r="P2381" t="s">
        <v>260</v>
      </c>
      <c r="Q2381" t="s">
        <v>260</v>
      </c>
      <c r="R2381" t="s">
        <v>283</v>
      </c>
      <c r="S2381" t="s">
        <v>21</v>
      </c>
      <c r="T2381">
        <v>100</v>
      </c>
      <c r="W2381" t="s">
        <v>262</v>
      </c>
    </row>
    <row r="2382" spans="1:25" x14ac:dyDescent="0.3">
      <c r="A2382" t="s">
        <v>21</v>
      </c>
      <c r="B2382" t="s">
        <v>6272</v>
      </c>
      <c r="C2382" t="s">
        <v>270</v>
      </c>
      <c r="D2382" t="s">
        <v>6273</v>
      </c>
      <c r="E2382">
        <v>10256</v>
      </c>
      <c r="G2382">
        <v>10.256</v>
      </c>
      <c r="H2382" t="s">
        <v>2433</v>
      </c>
      <c r="I2382" t="s">
        <v>1343</v>
      </c>
      <c r="J2382" t="s">
        <v>297</v>
      </c>
      <c r="K2382">
        <v>2104</v>
      </c>
      <c r="L2382" t="s">
        <v>276</v>
      </c>
      <c r="M2382" t="s">
        <v>631</v>
      </c>
      <c r="N2382" t="s">
        <v>276</v>
      </c>
      <c r="P2382" t="s">
        <v>260</v>
      </c>
      <c r="Q2382" t="s">
        <v>260</v>
      </c>
      <c r="R2382" t="s">
        <v>283</v>
      </c>
      <c r="S2382" t="s">
        <v>21</v>
      </c>
      <c r="T2382">
        <v>100</v>
      </c>
      <c r="W2382" t="s">
        <v>262</v>
      </c>
      <c r="X2382">
        <v>-37.008299999999998</v>
      </c>
      <c r="Y2382">
        <v>174.87049999999999</v>
      </c>
    </row>
    <row r="2383" spans="1:25" x14ac:dyDescent="0.3">
      <c r="A2383" t="s">
        <v>21</v>
      </c>
      <c r="B2383" t="s">
        <v>6274</v>
      </c>
      <c r="C2383" t="s">
        <v>270</v>
      </c>
      <c r="D2383" t="s">
        <v>6275</v>
      </c>
      <c r="E2383" t="s">
        <v>6275</v>
      </c>
      <c r="M2383" t="s">
        <v>394</v>
      </c>
      <c r="N2383" t="s">
        <v>276</v>
      </c>
      <c r="P2383" t="s">
        <v>260</v>
      </c>
      <c r="Q2383" t="s">
        <v>260</v>
      </c>
      <c r="R2383" t="s">
        <v>283</v>
      </c>
      <c r="S2383" t="s">
        <v>21</v>
      </c>
      <c r="T2383">
        <v>100</v>
      </c>
      <c r="W2383" t="s">
        <v>262</v>
      </c>
    </row>
    <row r="2384" spans="1:25" x14ac:dyDescent="0.3">
      <c r="A2384" t="s">
        <v>21</v>
      </c>
      <c r="B2384" t="s">
        <v>6276</v>
      </c>
      <c r="C2384" t="s">
        <v>270</v>
      </c>
      <c r="D2384" t="s">
        <v>6277</v>
      </c>
      <c r="E2384">
        <v>10255</v>
      </c>
      <c r="G2384">
        <v>10.255000000000001</v>
      </c>
      <c r="H2384" t="s">
        <v>2433</v>
      </c>
      <c r="I2384" t="s">
        <v>1343</v>
      </c>
      <c r="J2384" t="s">
        <v>297</v>
      </c>
      <c r="K2384">
        <v>2104</v>
      </c>
      <c r="L2384" t="s">
        <v>276</v>
      </c>
      <c r="M2384" t="s">
        <v>631</v>
      </c>
      <c r="N2384" t="s">
        <v>276</v>
      </c>
      <c r="P2384" t="s">
        <v>260</v>
      </c>
      <c r="Q2384" t="s">
        <v>260</v>
      </c>
      <c r="R2384" t="s">
        <v>283</v>
      </c>
      <c r="S2384" t="s">
        <v>21</v>
      </c>
      <c r="T2384">
        <v>100</v>
      </c>
      <c r="W2384" t="s">
        <v>262</v>
      </c>
      <c r="X2384">
        <v>-37.008299999999998</v>
      </c>
      <c r="Y2384">
        <v>174.87049999999999</v>
      </c>
    </row>
    <row r="2385" spans="1:25" x14ac:dyDescent="0.3">
      <c r="A2385" t="s">
        <v>21</v>
      </c>
      <c r="B2385" t="s">
        <v>6278</v>
      </c>
      <c r="C2385" t="s">
        <v>270</v>
      </c>
      <c r="D2385" t="s">
        <v>6279</v>
      </c>
      <c r="E2385" t="s">
        <v>6279</v>
      </c>
      <c r="M2385" t="s">
        <v>394</v>
      </c>
      <c r="N2385" t="s">
        <v>276</v>
      </c>
      <c r="P2385" t="s">
        <v>260</v>
      </c>
      <c r="Q2385" t="s">
        <v>260</v>
      </c>
      <c r="R2385" t="s">
        <v>283</v>
      </c>
      <c r="S2385" t="s">
        <v>21</v>
      </c>
      <c r="T2385">
        <v>100</v>
      </c>
      <c r="W2385" t="s">
        <v>262</v>
      </c>
    </row>
    <row r="2386" spans="1:25" x14ac:dyDescent="0.3">
      <c r="A2386" t="s">
        <v>21</v>
      </c>
      <c r="B2386" t="s">
        <v>6280</v>
      </c>
      <c r="C2386" t="s">
        <v>270</v>
      </c>
      <c r="D2386" t="s">
        <v>6281</v>
      </c>
      <c r="E2386" t="s">
        <v>6281</v>
      </c>
      <c r="M2386" t="s">
        <v>394</v>
      </c>
      <c r="N2386" t="s">
        <v>276</v>
      </c>
      <c r="P2386" t="s">
        <v>260</v>
      </c>
      <c r="Q2386" t="s">
        <v>260</v>
      </c>
      <c r="R2386" t="s">
        <v>283</v>
      </c>
      <c r="S2386" t="s">
        <v>21</v>
      </c>
      <c r="T2386">
        <v>100</v>
      </c>
      <c r="W2386" t="s">
        <v>262</v>
      </c>
    </row>
    <row r="2387" spans="1:25" x14ac:dyDescent="0.3">
      <c r="A2387" t="s">
        <v>21</v>
      </c>
      <c r="B2387" t="s">
        <v>6282</v>
      </c>
      <c r="C2387" t="s">
        <v>270</v>
      </c>
      <c r="D2387" t="s">
        <v>6283</v>
      </c>
      <c r="E2387" t="s">
        <v>6283</v>
      </c>
      <c r="M2387" t="s">
        <v>394</v>
      </c>
      <c r="N2387" t="s">
        <v>276</v>
      </c>
      <c r="P2387" t="s">
        <v>260</v>
      </c>
      <c r="Q2387" t="s">
        <v>260</v>
      </c>
      <c r="R2387" t="s">
        <v>283</v>
      </c>
      <c r="S2387" t="s">
        <v>21</v>
      </c>
      <c r="T2387">
        <v>100</v>
      </c>
      <c r="W2387" t="s">
        <v>262</v>
      </c>
    </row>
    <row r="2388" spans="1:25" x14ac:dyDescent="0.3">
      <c r="A2388" t="s">
        <v>21</v>
      </c>
      <c r="B2388" t="s">
        <v>6284</v>
      </c>
      <c r="C2388" t="s">
        <v>270</v>
      </c>
      <c r="D2388" t="s">
        <v>6285</v>
      </c>
      <c r="E2388" t="s">
        <v>6285</v>
      </c>
      <c r="M2388" t="s">
        <v>394</v>
      </c>
      <c r="N2388" t="s">
        <v>276</v>
      </c>
      <c r="P2388" t="s">
        <v>260</v>
      </c>
      <c r="Q2388" t="s">
        <v>260</v>
      </c>
      <c r="R2388" t="s">
        <v>283</v>
      </c>
      <c r="S2388" t="s">
        <v>21</v>
      </c>
      <c r="T2388">
        <v>100</v>
      </c>
      <c r="W2388" t="s">
        <v>262</v>
      </c>
    </row>
    <row r="2389" spans="1:25" x14ac:dyDescent="0.3">
      <c r="A2389" t="s">
        <v>21</v>
      </c>
      <c r="B2389" t="s">
        <v>6286</v>
      </c>
      <c r="C2389" t="s">
        <v>270</v>
      </c>
      <c r="D2389" t="s">
        <v>6287</v>
      </c>
      <c r="E2389">
        <v>10258</v>
      </c>
      <c r="G2389">
        <v>10.257999999999999</v>
      </c>
      <c r="H2389" t="s">
        <v>2433</v>
      </c>
      <c r="I2389" t="s">
        <v>1343</v>
      </c>
      <c r="J2389" t="s">
        <v>297</v>
      </c>
      <c r="K2389">
        <v>2104</v>
      </c>
      <c r="L2389" t="s">
        <v>276</v>
      </c>
      <c r="M2389" t="s">
        <v>631</v>
      </c>
      <c r="N2389" t="s">
        <v>276</v>
      </c>
      <c r="P2389" t="s">
        <v>260</v>
      </c>
      <c r="Q2389" t="s">
        <v>260</v>
      </c>
      <c r="R2389" t="s">
        <v>283</v>
      </c>
      <c r="S2389" t="s">
        <v>21</v>
      </c>
      <c r="T2389">
        <v>100</v>
      </c>
      <c r="W2389" t="s">
        <v>262</v>
      </c>
      <c r="X2389">
        <v>-37.008299999999998</v>
      </c>
      <c r="Y2389">
        <v>174.87049999999999</v>
      </c>
    </row>
    <row r="2390" spans="1:25" x14ac:dyDescent="0.3">
      <c r="A2390" t="s">
        <v>21</v>
      </c>
      <c r="B2390" t="s">
        <v>6288</v>
      </c>
      <c r="C2390" t="s">
        <v>270</v>
      </c>
      <c r="D2390" t="s">
        <v>6289</v>
      </c>
      <c r="E2390" t="s">
        <v>6289</v>
      </c>
      <c r="F2390" t="s">
        <v>6289</v>
      </c>
      <c r="M2390" t="s">
        <v>297</v>
      </c>
      <c r="N2390" t="s">
        <v>276</v>
      </c>
      <c r="P2390" t="s">
        <v>260</v>
      </c>
      <c r="Q2390" t="s">
        <v>260</v>
      </c>
      <c r="R2390" t="s">
        <v>283</v>
      </c>
      <c r="S2390" t="s">
        <v>21</v>
      </c>
      <c r="T2390">
        <v>100</v>
      </c>
      <c r="W2390" t="s">
        <v>262</v>
      </c>
    </row>
    <row r="2391" spans="1:25" x14ac:dyDescent="0.3">
      <c r="A2391" t="s">
        <v>21</v>
      </c>
      <c r="B2391" t="s">
        <v>6290</v>
      </c>
      <c r="C2391" t="s">
        <v>270</v>
      </c>
      <c r="D2391" t="s">
        <v>3087</v>
      </c>
      <c r="E2391">
        <v>10083</v>
      </c>
      <c r="M2391" t="s">
        <v>631</v>
      </c>
      <c r="N2391" t="s">
        <v>276</v>
      </c>
      <c r="P2391" t="s">
        <v>260</v>
      </c>
      <c r="Q2391" t="s">
        <v>260</v>
      </c>
      <c r="R2391" t="s">
        <v>283</v>
      </c>
      <c r="S2391" t="s">
        <v>21</v>
      </c>
      <c r="T2391">
        <v>100</v>
      </c>
      <c r="W2391" t="s">
        <v>262</v>
      </c>
    </row>
    <row r="2392" spans="1:25" x14ac:dyDescent="0.3">
      <c r="A2392" t="s">
        <v>21</v>
      </c>
      <c r="B2392" t="s">
        <v>6291</v>
      </c>
      <c r="C2392" t="s">
        <v>270</v>
      </c>
      <c r="D2392" t="s">
        <v>6292</v>
      </c>
      <c r="E2392" t="s">
        <v>6293</v>
      </c>
      <c r="H2392" t="s">
        <v>2433</v>
      </c>
      <c r="I2392" t="s">
        <v>1343</v>
      </c>
      <c r="J2392" t="s">
        <v>297</v>
      </c>
      <c r="K2392">
        <v>2104</v>
      </c>
      <c r="L2392" t="s">
        <v>276</v>
      </c>
      <c r="M2392" t="s">
        <v>631</v>
      </c>
      <c r="N2392" t="s">
        <v>276</v>
      </c>
      <c r="P2392" t="s">
        <v>260</v>
      </c>
      <c r="Q2392" t="s">
        <v>260</v>
      </c>
      <c r="R2392" t="s">
        <v>261</v>
      </c>
      <c r="S2392" t="s">
        <v>21</v>
      </c>
      <c r="T2392">
        <v>100</v>
      </c>
      <c r="W2392" t="s">
        <v>262</v>
      </c>
      <c r="X2392">
        <v>-37.008299999999998</v>
      </c>
      <c r="Y2392">
        <v>174.87049999999999</v>
      </c>
    </row>
    <row r="2393" spans="1:25" x14ac:dyDescent="0.3">
      <c r="A2393" t="s">
        <v>21</v>
      </c>
      <c r="B2393" t="s">
        <v>6294</v>
      </c>
      <c r="C2393" t="s">
        <v>2464</v>
      </c>
      <c r="D2393" t="s">
        <v>6295</v>
      </c>
      <c r="E2393" t="s">
        <v>6296</v>
      </c>
      <c r="G2393" t="s">
        <v>6297</v>
      </c>
      <c r="M2393" t="s">
        <v>297</v>
      </c>
      <c r="N2393" t="s">
        <v>276</v>
      </c>
      <c r="P2393" t="s">
        <v>260</v>
      </c>
      <c r="Q2393" t="s">
        <v>260</v>
      </c>
      <c r="R2393" t="s">
        <v>261</v>
      </c>
      <c r="S2393" t="s">
        <v>21</v>
      </c>
      <c r="T2393">
        <v>100</v>
      </c>
      <c r="W2393" t="s">
        <v>262</v>
      </c>
    </row>
    <row r="2394" spans="1:25" x14ac:dyDescent="0.3">
      <c r="A2394" t="s">
        <v>21</v>
      </c>
      <c r="B2394" t="s">
        <v>6298</v>
      </c>
      <c r="C2394" t="s">
        <v>270</v>
      </c>
      <c r="D2394" t="s">
        <v>6299</v>
      </c>
      <c r="E2394" t="s">
        <v>6300</v>
      </c>
      <c r="H2394" t="s">
        <v>2433</v>
      </c>
      <c r="I2394" t="s">
        <v>1343</v>
      </c>
      <c r="J2394" t="s">
        <v>297</v>
      </c>
      <c r="K2394">
        <v>2104</v>
      </c>
      <c r="L2394" t="s">
        <v>276</v>
      </c>
      <c r="M2394" t="s">
        <v>631</v>
      </c>
      <c r="N2394" t="s">
        <v>276</v>
      </c>
      <c r="P2394" t="s">
        <v>260</v>
      </c>
      <c r="Q2394" t="s">
        <v>260</v>
      </c>
      <c r="R2394" t="s">
        <v>261</v>
      </c>
      <c r="S2394" t="s">
        <v>21</v>
      </c>
      <c r="T2394">
        <v>100</v>
      </c>
      <c r="W2394" t="s">
        <v>262</v>
      </c>
      <c r="X2394">
        <v>-37.008299999999998</v>
      </c>
      <c r="Y2394">
        <v>174.87049999999999</v>
      </c>
    </row>
    <row r="2395" spans="1:25" x14ac:dyDescent="0.3">
      <c r="A2395" t="s">
        <v>21</v>
      </c>
      <c r="B2395" t="s">
        <v>6301</v>
      </c>
      <c r="C2395" t="s">
        <v>289</v>
      </c>
      <c r="D2395" t="s">
        <v>6302</v>
      </c>
      <c r="E2395">
        <v>16013284</v>
      </c>
      <c r="G2395" t="s">
        <v>6303</v>
      </c>
      <c r="H2395" t="s">
        <v>6304</v>
      </c>
      <c r="I2395" t="s">
        <v>6305</v>
      </c>
      <c r="J2395" t="s">
        <v>555</v>
      </c>
      <c r="K2395">
        <v>6005</v>
      </c>
      <c r="M2395" t="s">
        <v>6306</v>
      </c>
      <c r="N2395" t="s">
        <v>259</v>
      </c>
      <c r="P2395" t="s">
        <v>260</v>
      </c>
      <c r="Q2395" t="s">
        <v>260</v>
      </c>
      <c r="R2395" t="s">
        <v>268</v>
      </c>
      <c r="S2395" t="s">
        <v>21</v>
      </c>
      <c r="T2395">
        <v>100</v>
      </c>
      <c r="W2395" t="s">
        <v>262</v>
      </c>
    </row>
    <row r="2396" spans="1:25" x14ac:dyDescent="0.3">
      <c r="A2396" t="s">
        <v>21</v>
      </c>
      <c r="B2396" t="s">
        <v>6307</v>
      </c>
      <c r="C2396" t="s">
        <v>270</v>
      </c>
      <c r="D2396" t="s">
        <v>6308</v>
      </c>
      <c r="E2396" t="s">
        <v>6308</v>
      </c>
      <c r="M2396" t="s">
        <v>411</v>
      </c>
      <c r="N2396" t="s">
        <v>259</v>
      </c>
      <c r="P2396" t="s">
        <v>260</v>
      </c>
      <c r="Q2396" t="s">
        <v>260</v>
      </c>
      <c r="R2396" t="s">
        <v>283</v>
      </c>
      <c r="S2396" t="s">
        <v>21</v>
      </c>
      <c r="T2396">
        <v>100</v>
      </c>
      <c r="W2396" t="s">
        <v>262</v>
      </c>
    </row>
    <row r="2397" spans="1:25" x14ac:dyDescent="0.3">
      <c r="A2397" t="s">
        <v>21</v>
      </c>
      <c r="B2397" t="s">
        <v>6309</v>
      </c>
      <c r="C2397" t="s">
        <v>270</v>
      </c>
      <c r="D2397" t="s">
        <v>6310</v>
      </c>
      <c r="E2397" t="s">
        <v>6311</v>
      </c>
      <c r="H2397" t="s">
        <v>2433</v>
      </c>
      <c r="I2397" t="s">
        <v>1343</v>
      </c>
      <c r="J2397" t="s">
        <v>297</v>
      </c>
      <c r="K2397">
        <v>2104</v>
      </c>
      <c r="L2397" t="s">
        <v>276</v>
      </c>
      <c r="M2397" t="s">
        <v>631</v>
      </c>
      <c r="N2397" t="s">
        <v>276</v>
      </c>
      <c r="P2397" t="s">
        <v>260</v>
      </c>
      <c r="Q2397" t="s">
        <v>260</v>
      </c>
      <c r="R2397" t="s">
        <v>261</v>
      </c>
      <c r="S2397" t="s">
        <v>21</v>
      </c>
      <c r="T2397">
        <v>100</v>
      </c>
      <c r="W2397" t="s">
        <v>262</v>
      </c>
      <c r="X2397">
        <v>-37.008299999999998</v>
      </c>
      <c r="Y2397">
        <v>174.87049999999999</v>
      </c>
    </row>
    <row r="2398" spans="1:25" x14ac:dyDescent="0.3">
      <c r="A2398" t="s">
        <v>21</v>
      </c>
      <c r="B2398" t="s">
        <v>6312</v>
      </c>
      <c r="C2398" t="s">
        <v>270</v>
      </c>
      <c r="D2398" t="s">
        <v>1928</v>
      </c>
      <c r="E2398">
        <v>55932</v>
      </c>
      <c r="H2398" t="s">
        <v>2433</v>
      </c>
      <c r="I2398" t="s">
        <v>1343</v>
      </c>
      <c r="J2398" t="s">
        <v>297</v>
      </c>
      <c r="K2398">
        <v>2104</v>
      </c>
      <c r="L2398" t="s">
        <v>276</v>
      </c>
      <c r="M2398" t="s">
        <v>631</v>
      </c>
      <c r="N2398" t="s">
        <v>276</v>
      </c>
      <c r="P2398" t="s">
        <v>260</v>
      </c>
      <c r="Q2398" t="s">
        <v>260</v>
      </c>
      <c r="R2398" t="s">
        <v>261</v>
      </c>
      <c r="S2398" t="s">
        <v>21</v>
      </c>
      <c r="T2398">
        <v>100</v>
      </c>
      <c r="W2398" t="s">
        <v>262</v>
      </c>
      <c r="X2398">
        <v>-37.008299999999998</v>
      </c>
      <c r="Y2398">
        <v>174.87049999999999</v>
      </c>
    </row>
    <row r="2399" spans="1:25" x14ac:dyDescent="0.3">
      <c r="A2399" t="s">
        <v>21</v>
      </c>
      <c r="B2399" t="s">
        <v>6313</v>
      </c>
      <c r="C2399" t="s">
        <v>270</v>
      </c>
      <c r="D2399" t="s">
        <v>6314</v>
      </c>
      <c r="E2399">
        <v>66209</v>
      </c>
      <c r="H2399" t="s">
        <v>2433</v>
      </c>
      <c r="I2399" t="s">
        <v>1343</v>
      </c>
      <c r="J2399" t="s">
        <v>297</v>
      </c>
      <c r="K2399">
        <v>2104</v>
      </c>
      <c r="L2399" t="s">
        <v>276</v>
      </c>
      <c r="M2399" t="s">
        <v>631</v>
      </c>
      <c r="N2399" t="s">
        <v>276</v>
      </c>
      <c r="P2399" t="s">
        <v>260</v>
      </c>
      <c r="Q2399" t="s">
        <v>260</v>
      </c>
      <c r="R2399" t="s">
        <v>261</v>
      </c>
      <c r="S2399" t="s">
        <v>21</v>
      </c>
      <c r="T2399">
        <v>100</v>
      </c>
      <c r="W2399" t="s">
        <v>262</v>
      </c>
      <c r="X2399">
        <v>-37.008299999999998</v>
      </c>
      <c r="Y2399">
        <v>174.87049999999999</v>
      </c>
    </row>
    <row r="2400" spans="1:25" x14ac:dyDescent="0.3">
      <c r="A2400" t="s">
        <v>21</v>
      </c>
      <c r="B2400" t="s">
        <v>6315</v>
      </c>
      <c r="C2400" t="s">
        <v>270</v>
      </c>
      <c r="D2400" t="s">
        <v>6316</v>
      </c>
      <c r="E2400">
        <v>54103</v>
      </c>
      <c r="M2400" t="s">
        <v>631</v>
      </c>
      <c r="N2400" t="s">
        <v>276</v>
      </c>
      <c r="P2400" t="s">
        <v>260</v>
      </c>
      <c r="Q2400" t="s">
        <v>260</v>
      </c>
      <c r="R2400" t="s">
        <v>261</v>
      </c>
      <c r="S2400" t="s">
        <v>21</v>
      </c>
      <c r="T2400">
        <v>100</v>
      </c>
      <c r="W2400" t="s">
        <v>262</v>
      </c>
    </row>
    <row r="2401" spans="1:28" x14ac:dyDescent="0.3">
      <c r="A2401" t="s">
        <v>21</v>
      </c>
      <c r="B2401" t="s">
        <v>6317</v>
      </c>
      <c r="C2401" t="s">
        <v>270</v>
      </c>
      <c r="D2401" t="s">
        <v>6318</v>
      </c>
      <c r="E2401">
        <v>10171</v>
      </c>
      <c r="G2401">
        <v>10.170999999999999</v>
      </c>
      <c r="H2401" t="s">
        <v>2433</v>
      </c>
      <c r="I2401" t="s">
        <v>1343</v>
      </c>
      <c r="J2401" t="s">
        <v>297</v>
      </c>
      <c r="K2401">
        <v>2104</v>
      </c>
      <c r="L2401" t="s">
        <v>276</v>
      </c>
      <c r="M2401" t="s">
        <v>631</v>
      </c>
      <c r="N2401" t="s">
        <v>276</v>
      </c>
      <c r="P2401" t="s">
        <v>260</v>
      </c>
      <c r="Q2401" t="s">
        <v>260</v>
      </c>
      <c r="R2401" t="s">
        <v>283</v>
      </c>
      <c r="S2401" t="s">
        <v>21</v>
      </c>
      <c r="T2401">
        <v>100</v>
      </c>
      <c r="W2401" t="s">
        <v>262</v>
      </c>
      <c r="X2401">
        <v>-37.008299999999998</v>
      </c>
      <c r="Y2401">
        <v>174.87049999999999</v>
      </c>
    </row>
    <row r="2402" spans="1:28" x14ac:dyDescent="0.3">
      <c r="A2402" t="s">
        <v>21</v>
      </c>
      <c r="B2402" t="s">
        <v>6319</v>
      </c>
      <c r="C2402" t="s">
        <v>270</v>
      </c>
      <c r="D2402" t="s">
        <v>874</v>
      </c>
      <c r="E2402">
        <v>2000008022</v>
      </c>
      <c r="M2402" t="s">
        <v>631</v>
      </c>
      <c r="N2402" t="s">
        <v>276</v>
      </c>
      <c r="P2402" t="s">
        <v>260</v>
      </c>
      <c r="Q2402" t="s">
        <v>260</v>
      </c>
      <c r="R2402" t="s">
        <v>268</v>
      </c>
      <c r="S2402" t="s">
        <v>21</v>
      </c>
      <c r="T2402">
        <v>100</v>
      </c>
      <c r="V2402" s="9">
        <v>45291</v>
      </c>
      <c r="W2402" t="s">
        <v>262</v>
      </c>
    </row>
    <row r="2403" spans="1:28" x14ac:dyDescent="0.3">
      <c r="A2403" t="s">
        <v>21</v>
      </c>
      <c r="B2403" t="s">
        <v>6320</v>
      </c>
      <c r="C2403" t="s">
        <v>270</v>
      </c>
      <c r="D2403" t="s">
        <v>6321</v>
      </c>
      <c r="E2403">
        <v>556630</v>
      </c>
      <c r="M2403" t="s">
        <v>631</v>
      </c>
      <c r="N2403" t="s">
        <v>276</v>
      </c>
      <c r="P2403" t="s">
        <v>260</v>
      </c>
      <c r="Q2403" t="s">
        <v>260</v>
      </c>
      <c r="R2403" t="s">
        <v>261</v>
      </c>
      <c r="S2403" t="s">
        <v>21</v>
      </c>
      <c r="T2403">
        <v>100</v>
      </c>
      <c r="W2403" t="s">
        <v>262</v>
      </c>
    </row>
    <row r="2404" spans="1:28" ht="105" customHeight="1" x14ac:dyDescent="0.3">
      <c r="A2404" t="s">
        <v>21</v>
      </c>
      <c r="B2404" t="s">
        <v>6322</v>
      </c>
      <c r="C2404" t="s">
        <v>270</v>
      </c>
      <c r="D2404" t="s">
        <v>6323</v>
      </c>
      <c r="E2404">
        <v>2000004493</v>
      </c>
      <c r="H2404" s="10" t="s">
        <v>6324</v>
      </c>
      <c r="I2404" t="s">
        <v>754</v>
      </c>
      <c r="K2404">
        <v>4826</v>
      </c>
      <c r="L2404" t="s">
        <v>276</v>
      </c>
      <c r="M2404" t="s">
        <v>631</v>
      </c>
      <c r="N2404" t="s">
        <v>276</v>
      </c>
      <c r="P2404" t="s">
        <v>260</v>
      </c>
      <c r="Q2404" t="s">
        <v>260</v>
      </c>
      <c r="R2404" t="s">
        <v>268</v>
      </c>
      <c r="S2404" t="s">
        <v>21</v>
      </c>
      <c r="T2404">
        <v>100</v>
      </c>
      <c r="W2404" t="s">
        <v>262</v>
      </c>
      <c r="X2404">
        <v>-37.008299999999998</v>
      </c>
      <c r="Y2404">
        <v>174.87049999999999</v>
      </c>
    </row>
    <row r="2405" spans="1:28" x14ac:dyDescent="0.3">
      <c r="A2405" t="s">
        <v>21</v>
      </c>
      <c r="B2405" t="s">
        <v>6325</v>
      </c>
      <c r="C2405" t="s">
        <v>270</v>
      </c>
      <c r="D2405" t="s">
        <v>6326</v>
      </c>
      <c r="E2405">
        <v>54214</v>
      </c>
      <c r="M2405" t="s">
        <v>380</v>
      </c>
      <c r="N2405" t="s">
        <v>276</v>
      </c>
      <c r="P2405" t="s">
        <v>260</v>
      </c>
      <c r="Q2405" t="s">
        <v>260</v>
      </c>
      <c r="R2405" t="s">
        <v>261</v>
      </c>
      <c r="S2405" t="s">
        <v>21</v>
      </c>
      <c r="T2405">
        <v>100</v>
      </c>
      <c r="W2405" t="s">
        <v>262</v>
      </c>
    </row>
    <row r="2406" spans="1:28" x14ac:dyDescent="0.3">
      <c r="A2406" t="s">
        <v>21</v>
      </c>
      <c r="B2406" t="s">
        <v>6327</v>
      </c>
      <c r="C2406" t="s">
        <v>270</v>
      </c>
      <c r="D2406" t="s">
        <v>6328</v>
      </c>
      <c r="E2406">
        <v>561760</v>
      </c>
      <c r="H2406" t="s">
        <v>6329</v>
      </c>
      <c r="I2406" t="s">
        <v>6330</v>
      </c>
      <c r="J2406" t="s">
        <v>390</v>
      </c>
      <c r="K2406">
        <v>8061</v>
      </c>
      <c r="L2406" t="s">
        <v>276</v>
      </c>
      <c r="M2406" t="s">
        <v>390</v>
      </c>
      <c r="N2406" t="s">
        <v>276</v>
      </c>
      <c r="P2406" t="s">
        <v>260</v>
      </c>
      <c r="Q2406" t="s">
        <v>260</v>
      </c>
      <c r="R2406" t="s">
        <v>283</v>
      </c>
      <c r="S2406" t="s">
        <v>21</v>
      </c>
      <c r="T2406">
        <v>100</v>
      </c>
      <c r="W2406" t="s">
        <v>262</v>
      </c>
      <c r="X2406">
        <v>-43.507599999999996</v>
      </c>
      <c r="Y2406">
        <v>172.71459999999999</v>
      </c>
    </row>
    <row r="2407" spans="1:28" x14ac:dyDescent="0.3">
      <c r="A2407" t="s">
        <v>21</v>
      </c>
      <c r="B2407" t="s">
        <v>6331</v>
      </c>
      <c r="C2407" t="s">
        <v>270</v>
      </c>
      <c r="D2407" t="s">
        <v>1377</v>
      </c>
      <c r="E2407">
        <v>66106</v>
      </c>
      <c r="M2407" t="s">
        <v>631</v>
      </c>
      <c r="N2407" t="s">
        <v>276</v>
      </c>
      <c r="P2407" t="s">
        <v>260</v>
      </c>
      <c r="Q2407" t="s">
        <v>260</v>
      </c>
      <c r="R2407" t="s">
        <v>261</v>
      </c>
      <c r="S2407" t="s">
        <v>21</v>
      </c>
      <c r="T2407">
        <v>100</v>
      </c>
      <c r="W2407" t="s">
        <v>262</v>
      </c>
    </row>
    <row r="2408" spans="1:28" x14ac:dyDescent="0.3">
      <c r="A2408" t="s">
        <v>21</v>
      </c>
      <c r="B2408" t="s">
        <v>6332</v>
      </c>
      <c r="C2408" t="s">
        <v>270</v>
      </c>
      <c r="D2408" t="s">
        <v>6333</v>
      </c>
      <c r="E2408">
        <v>66206</v>
      </c>
      <c r="H2408" t="s">
        <v>2433</v>
      </c>
      <c r="I2408" t="s">
        <v>1343</v>
      </c>
      <c r="J2408" t="s">
        <v>297</v>
      </c>
      <c r="K2408">
        <v>2104</v>
      </c>
      <c r="L2408" t="s">
        <v>276</v>
      </c>
      <c r="M2408" t="s">
        <v>631</v>
      </c>
      <c r="N2408" t="s">
        <v>276</v>
      </c>
      <c r="P2408" t="s">
        <v>260</v>
      </c>
      <c r="Q2408" t="s">
        <v>260</v>
      </c>
      <c r="R2408" t="s">
        <v>261</v>
      </c>
      <c r="S2408" t="s">
        <v>21</v>
      </c>
      <c r="T2408">
        <v>100</v>
      </c>
      <c r="W2408" t="s">
        <v>262</v>
      </c>
      <c r="X2408">
        <v>-37.008299999999998</v>
      </c>
      <c r="Y2408">
        <v>174.87049999999999</v>
      </c>
    </row>
    <row r="2409" spans="1:28" x14ac:dyDescent="0.3">
      <c r="A2409" t="s">
        <v>21</v>
      </c>
      <c r="B2409" t="s">
        <v>6334</v>
      </c>
      <c r="C2409" t="s">
        <v>270</v>
      </c>
      <c r="D2409" t="s">
        <v>812</v>
      </c>
      <c r="E2409">
        <v>55524</v>
      </c>
      <c r="H2409" t="s">
        <v>6335</v>
      </c>
      <c r="I2409" t="s">
        <v>6336</v>
      </c>
      <c r="J2409" t="s">
        <v>6336</v>
      </c>
      <c r="K2409">
        <v>871</v>
      </c>
      <c r="L2409" t="s">
        <v>276</v>
      </c>
      <c r="M2409" t="s">
        <v>814</v>
      </c>
      <c r="N2409" t="s">
        <v>276</v>
      </c>
      <c r="P2409" t="s">
        <v>260</v>
      </c>
      <c r="Q2409" t="s">
        <v>260</v>
      </c>
      <c r="R2409" t="s">
        <v>261</v>
      </c>
      <c r="S2409" t="s">
        <v>21</v>
      </c>
      <c r="T2409">
        <v>100</v>
      </c>
      <c r="W2409" t="s">
        <v>262</v>
      </c>
      <c r="X2409">
        <v>-36.602200000000003</v>
      </c>
      <c r="Y2409">
        <v>174.59209999999999</v>
      </c>
    </row>
    <row r="2410" spans="1:28" x14ac:dyDescent="0.3">
      <c r="A2410" t="s">
        <v>21</v>
      </c>
      <c r="B2410" t="s">
        <v>6337</v>
      </c>
      <c r="C2410" t="s">
        <v>270</v>
      </c>
      <c r="D2410" t="s">
        <v>6338</v>
      </c>
      <c r="E2410" t="s">
        <v>6339</v>
      </c>
      <c r="H2410" t="s">
        <v>6340</v>
      </c>
      <c r="I2410" t="s">
        <v>6341</v>
      </c>
      <c r="J2410" t="s">
        <v>403</v>
      </c>
      <c r="K2410">
        <v>6021</v>
      </c>
      <c r="L2410" t="s">
        <v>276</v>
      </c>
      <c r="M2410" t="s">
        <v>1276</v>
      </c>
      <c r="N2410" t="s">
        <v>276</v>
      </c>
      <c r="P2410" t="s">
        <v>260</v>
      </c>
      <c r="Q2410" t="s">
        <v>260</v>
      </c>
      <c r="R2410" t="s">
        <v>261</v>
      </c>
      <c r="S2410" t="s">
        <v>21</v>
      </c>
      <c r="T2410">
        <v>100</v>
      </c>
      <c r="W2410" t="s">
        <v>262</v>
      </c>
      <c r="X2410">
        <v>-41.316699999999997</v>
      </c>
      <c r="Y2410">
        <v>174.7791</v>
      </c>
    </row>
    <row r="2411" spans="1:28" x14ac:dyDescent="0.3">
      <c r="A2411" t="s">
        <v>21</v>
      </c>
      <c r="B2411" t="s">
        <v>6342</v>
      </c>
      <c r="C2411" t="s">
        <v>264</v>
      </c>
      <c r="D2411" t="s">
        <v>6343</v>
      </c>
      <c r="E2411">
        <v>8025</v>
      </c>
      <c r="M2411" t="s">
        <v>307</v>
      </c>
      <c r="N2411" t="s">
        <v>259</v>
      </c>
      <c r="P2411" t="s">
        <v>260</v>
      </c>
      <c r="Q2411" t="s">
        <v>260</v>
      </c>
      <c r="R2411" t="s">
        <v>261</v>
      </c>
      <c r="S2411" t="s">
        <v>21</v>
      </c>
      <c r="T2411">
        <v>100</v>
      </c>
      <c r="W2411" t="s">
        <v>262</v>
      </c>
    </row>
    <row r="2412" spans="1:28" x14ac:dyDescent="0.3">
      <c r="A2412" t="s">
        <v>21</v>
      </c>
      <c r="B2412" t="s">
        <v>6344</v>
      </c>
      <c r="C2412" t="s">
        <v>278</v>
      </c>
      <c r="D2412" t="s">
        <v>6345</v>
      </c>
      <c r="E2412">
        <v>37740110</v>
      </c>
      <c r="M2412" t="s">
        <v>302</v>
      </c>
      <c r="N2412" t="s">
        <v>259</v>
      </c>
      <c r="P2412" t="s">
        <v>260</v>
      </c>
      <c r="Q2412" t="s">
        <v>260</v>
      </c>
      <c r="R2412" t="s">
        <v>283</v>
      </c>
      <c r="S2412" t="s">
        <v>21</v>
      </c>
      <c r="T2412">
        <v>100</v>
      </c>
      <c r="W2412" t="s">
        <v>262</v>
      </c>
    </row>
    <row r="2413" spans="1:28" x14ac:dyDescent="0.3">
      <c r="A2413" t="s">
        <v>21</v>
      </c>
      <c r="B2413" t="s">
        <v>6346</v>
      </c>
      <c r="C2413" t="s">
        <v>270</v>
      </c>
      <c r="D2413" t="s">
        <v>6347</v>
      </c>
      <c r="E2413">
        <v>91304</v>
      </c>
      <c r="M2413" t="s">
        <v>631</v>
      </c>
      <c r="N2413" t="s">
        <v>276</v>
      </c>
      <c r="P2413" t="s">
        <v>260</v>
      </c>
      <c r="Q2413" t="s">
        <v>260</v>
      </c>
      <c r="R2413" t="s">
        <v>293</v>
      </c>
      <c r="S2413" t="s">
        <v>21</v>
      </c>
      <c r="T2413">
        <v>100</v>
      </c>
      <c r="W2413" t="s">
        <v>262</v>
      </c>
      <c r="AB2413" s="9">
        <v>45473</v>
      </c>
    </row>
    <row r="2414" spans="1:28" x14ac:dyDescent="0.3">
      <c r="A2414" t="s">
        <v>21</v>
      </c>
      <c r="B2414" t="s">
        <v>6348</v>
      </c>
      <c r="C2414" t="s">
        <v>270</v>
      </c>
      <c r="D2414" t="s">
        <v>6349</v>
      </c>
      <c r="E2414" t="s">
        <v>6350</v>
      </c>
      <c r="H2414" t="s">
        <v>2433</v>
      </c>
      <c r="I2414" t="s">
        <v>1343</v>
      </c>
      <c r="J2414" t="s">
        <v>297</v>
      </c>
      <c r="K2414">
        <v>2104</v>
      </c>
      <c r="L2414" t="s">
        <v>276</v>
      </c>
      <c r="M2414" t="s">
        <v>631</v>
      </c>
      <c r="N2414" t="s">
        <v>276</v>
      </c>
      <c r="P2414" t="s">
        <v>260</v>
      </c>
      <c r="Q2414" t="s">
        <v>260</v>
      </c>
      <c r="R2414" t="s">
        <v>283</v>
      </c>
      <c r="S2414" t="s">
        <v>21</v>
      </c>
      <c r="T2414">
        <v>100</v>
      </c>
      <c r="W2414" t="s">
        <v>262</v>
      </c>
      <c r="X2414">
        <v>-37.008299999999998</v>
      </c>
      <c r="Y2414">
        <v>174.87049999999999</v>
      </c>
    </row>
    <row r="2415" spans="1:28" x14ac:dyDescent="0.3">
      <c r="A2415" t="s">
        <v>21</v>
      </c>
      <c r="B2415" t="s">
        <v>6351</v>
      </c>
      <c r="C2415" t="s">
        <v>270</v>
      </c>
      <c r="D2415" t="s">
        <v>2166</v>
      </c>
      <c r="E2415" t="s">
        <v>6352</v>
      </c>
      <c r="H2415" t="s">
        <v>2433</v>
      </c>
      <c r="I2415" t="s">
        <v>1343</v>
      </c>
      <c r="J2415" t="s">
        <v>297</v>
      </c>
      <c r="K2415">
        <v>2104</v>
      </c>
      <c r="L2415" t="s">
        <v>276</v>
      </c>
      <c r="M2415" t="s">
        <v>631</v>
      </c>
      <c r="N2415" t="s">
        <v>276</v>
      </c>
      <c r="P2415" t="s">
        <v>260</v>
      </c>
      <c r="Q2415" t="s">
        <v>260</v>
      </c>
      <c r="R2415" t="s">
        <v>283</v>
      </c>
      <c r="S2415" t="s">
        <v>21</v>
      </c>
      <c r="T2415">
        <v>100</v>
      </c>
      <c r="W2415" t="s">
        <v>262</v>
      </c>
      <c r="X2415">
        <v>-37.008299999999998</v>
      </c>
      <c r="Y2415">
        <v>174.87049999999999</v>
      </c>
    </row>
    <row r="2416" spans="1:28" x14ac:dyDescent="0.3">
      <c r="A2416" t="s">
        <v>21</v>
      </c>
      <c r="B2416" t="s">
        <v>6353</v>
      </c>
      <c r="C2416" t="s">
        <v>270</v>
      </c>
      <c r="D2416" t="s">
        <v>4947</v>
      </c>
      <c r="E2416" t="s">
        <v>6354</v>
      </c>
      <c r="M2416" t="s">
        <v>631</v>
      </c>
      <c r="N2416" t="s">
        <v>276</v>
      </c>
      <c r="P2416" t="s">
        <v>260</v>
      </c>
      <c r="Q2416" t="s">
        <v>260</v>
      </c>
      <c r="R2416" t="s">
        <v>283</v>
      </c>
      <c r="S2416" t="s">
        <v>21</v>
      </c>
      <c r="T2416">
        <v>100</v>
      </c>
      <c r="W2416" t="s">
        <v>262</v>
      </c>
    </row>
    <row r="2417" spans="1:26" x14ac:dyDescent="0.3">
      <c r="A2417" t="s">
        <v>21</v>
      </c>
      <c r="B2417" t="s">
        <v>6355</v>
      </c>
      <c r="C2417" t="s">
        <v>270</v>
      </c>
      <c r="D2417" t="s">
        <v>816</v>
      </c>
      <c r="E2417">
        <v>55596</v>
      </c>
      <c r="H2417" t="s">
        <v>6356</v>
      </c>
      <c r="I2417" t="s">
        <v>6357</v>
      </c>
      <c r="J2417" t="s">
        <v>6358</v>
      </c>
      <c r="K2417">
        <v>4501</v>
      </c>
      <c r="L2417" t="s">
        <v>276</v>
      </c>
      <c r="M2417" t="s">
        <v>818</v>
      </c>
      <c r="N2417" t="s">
        <v>276</v>
      </c>
      <c r="P2417" t="s">
        <v>260</v>
      </c>
      <c r="Q2417" t="s">
        <v>260</v>
      </c>
      <c r="R2417" t="s">
        <v>261</v>
      </c>
      <c r="S2417" t="s">
        <v>21</v>
      </c>
      <c r="T2417">
        <v>100</v>
      </c>
      <c r="W2417" t="s">
        <v>262</v>
      </c>
      <c r="X2417">
        <v>-39.9437</v>
      </c>
      <c r="Y2417">
        <v>174.99529999999999</v>
      </c>
    </row>
    <row r="2418" spans="1:26" x14ac:dyDescent="0.3">
      <c r="A2418" t="s">
        <v>21</v>
      </c>
      <c r="B2418" t="s">
        <v>6359</v>
      </c>
      <c r="C2418" t="s">
        <v>270</v>
      </c>
      <c r="D2418" t="s">
        <v>6360</v>
      </c>
      <c r="E2418">
        <v>10178</v>
      </c>
      <c r="G2418">
        <v>10.178000000000001</v>
      </c>
      <c r="H2418" t="s">
        <v>2433</v>
      </c>
      <c r="I2418" t="s">
        <v>1343</v>
      </c>
      <c r="J2418" t="s">
        <v>297</v>
      </c>
      <c r="K2418">
        <v>2104</v>
      </c>
      <c r="L2418" t="s">
        <v>276</v>
      </c>
      <c r="M2418" t="s">
        <v>631</v>
      </c>
      <c r="N2418" t="s">
        <v>276</v>
      </c>
      <c r="P2418" t="s">
        <v>260</v>
      </c>
      <c r="Q2418" t="s">
        <v>260</v>
      </c>
      <c r="R2418" t="s">
        <v>283</v>
      </c>
      <c r="S2418" t="s">
        <v>21</v>
      </c>
      <c r="T2418">
        <v>100</v>
      </c>
      <c r="W2418" t="s">
        <v>262</v>
      </c>
      <c r="X2418">
        <v>-37.008299999999998</v>
      </c>
      <c r="Y2418">
        <v>174.87049999999999</v>
      </c>
    </row>
    <row r="2419" spans="1:26" x14ac:dyDescent="0.3">
      <c r="A2419" t="s">
        <v>21</v>
      </c>
      <c r="B2419" t="s">
        <v>2690</v>
      </c>
      <c r="C2419" t="s">
        <v>299</v>
      </c>
      <c r="D2419" t="s">
        <v>6361</v>
      </c>
      <c r="E2419">
        <v>17081070</v>
      </c>
      <c r="G2419" t="s">
        <v>6362</v>
      </c>
      <c r="H2419" t="s">
        <v>6363</v>
      </c>
      <c r="I2419" t="s">
        <v>2690</v>
      </c>
      <c r="J2419" t="s">
        <v>335</v>
      </c>
      <c r="K2419">
        <v>3677</v>
      </c>
      <c r="L2419" t="s">
        <v>259</v>
      </c>
      <c r="M2419" t="s">
        <v>282</v>
      </c>
      <c r="N2419" t="s">
        <v>259</v>
      </c>
      <c r="P2419" t="s">
        <v>260</v>
      </c>
      <c r="Q2419" t="s">
        <v>260</v>
      </c>
      <c r="R2419" t="s">
        <v>261</v>
      </c>
      <c r="S2419" t="s">
        <v>21</v>
      </c>
      <c r="T2419">
        <v>100</v>
      </c>
      <c r="W2419" t="s">
        <v>262</v>
      </c>
      <c r="X2419">
        <v>-36.332000000000001</v>
      </c>
      <c r="Y2419">
        <v>146.36799999999999</v>
      </c>
      <c r="Z2419">
        <v>310</v>
      </c>
    </row>
    <row r="2420" spans="1:26" x14ac:dyDescent="0.3">
      <c r="A2420" t="s">
        <v>21</v>
      </c>
      <c r="B2420" t="s">
        <v>6364</v>
      </c>
      <c r="C2420" t="s">
        <v>299</v>
      </c>
      <c r="D2420" t="s">
        <v>6365</v>
      </c>
      <c r="E2420">
        <v>49</v>
      </c>
      <c r="G2420" t="s">
        <v>6366</v>
      </c>
      <c r="H2420" t="s">
        <v>6367</v>
      </c>
      <c r="I2420" t="s">
        <v>6368</v>
      </c>
      <c r="J2420" t="s">
        <v>318</v>
      </c>
      <c r="K2420">
        <v>4207</v>
      </c>
      <c r="L2420" t="s">
        <v>259</v>
      </c>
      <c r="M2420" t="s">
        <v>302</v>
      </c>
      <c r="N2420" t="s">
        <v>259</v>
      </c>
      <c r="P2420" t="s">
        <v>260</v>
      </c>
      <c r="Q2420" t="s">
        <v>260</v>
      </c>
      <c r="R2420" t="s">
        <v>283</v>
      </c>
      <c r="S2420" t="s">
        <v>21</v>
      </c>
      <c r="T2420">
        <v>100</v>
      </c>
      <c r="W2420" t="s">
        <v>262</v>
      </c>
      <c r="X2420">
        <v>-27.715437000000001</v>
      </c>
      <c r="Y2420">
        <v>153.20282700000001</v>
      </c>
      <c r="Z2420">
        <v>281</v>
      </c>
    </row>
    <row r="2421" spans="1:26" x14ac:dyDescent="0.3">
      <c r="A2421" t="s">
        <v>21</v>
      </c>
      <c r="B2421" t="s">
        <v>6369</v>
      </c>
      <c r="C2421" t="s">
        <v>270</v>
      </c>
      <c r="D2421" t="s">
        <v>6370</v>
      </c>
      <c r="E2421" t="s">
        <v>6370</v>
      </c>
      <c r="M2421" t="s">
        <v>411</v>
      </c>
      <c r="N2421" t="s">
        <v>259</v>
      </c>
      <c r="P2421" t="s">
        <v>260</v>
      </c>
      <c r="Q2421" t="s">
        <v>260</v>
      </c>
      <c r="R2421" t="s">
        <v>283</v>
      </c>
      <c r="S2421" t="s">
        <v>21</v>
      </c>
      <c r="T2421">
        <v>100</v>
      </c>
      <c r="W2421" t="s">
        <v>262</v>
      </c>
    </row>
    <row r="2422" spans="1:26" x14ac:dyDescent="0.3">
      <c r="A2422" t="s">
        <v>21</v>
      </c>
      <c r="B2422" t="s">
        <v>6371</v>
      </c>
      <c r="C2422" t="s">
        <v>270</v>
      </c>
      <c r="D2422" t="s">
        <v>6372</v>
      </c>
      <c r="E2422" t="s">
        <v>6372</v>
      </c>
      <c r="M2422" t="s">
        <v>394</v>
      </c>
      <c r="N2422" t="s">
        <v>276</v>
      </c>
      <c r="P2422" t="s">
        <v>260</v>
      </c>
      <c r="Q2422" t="s">
        <v>260</v>
      </c>
      <c r="R2422" t="s">
        <v>283</v>
      </c>
      <c r="S2422" t="s">
        <v>21</v>
      </c>
      <c r="T2422">
        <v>100</v>
      </c>
      <c r="W2422" t="s">
        <v>262</v>
      </c>
    </row>
    <row r="2423" spans="1:26" x14ac:dyDescent="0.3">
      <c r="A2423" t="s">
        <v>21</v>
      </c>
      <c r="B2423" t="s">
        <v>6373</v>
      </c>
      <c r="C2423" t="s">
        <v>270</v>
      </c>
      <c r="D2423" t="s">
        <v>6374</v>
      </c>
      <c r="E2423" t="s">
        <v>6374</v>
      </c>
      <c r="F2423" t="s">
        <v>6374</v>
      </c>
      <c r="M2423" t="s">
        <v>297</v>
      </c>
      <c r="N2423" t="s">
        <v>276</v>
      </c>
      <c r="P2423" t="s">
        <v>260</v>
      </c>
      <c r="Q2423" t="s">
        <v>260</v>
      </c>
      <c r="R2423" t="s">
        <v>283</v>
      </c>
      <c r="S2423" t="s">
        <v>21</v>
      </c>
      <c r="T2423">
        <v>100</v>
      </c>
      <c r="W2423" t="s">
        <v>262</v>
      </c>
    </row>
    <row r="2424" spans="1:26" x14ac:dyDescent="0.3">
      <c r="A2424" t="s">
        <v>21</v>
      </c>
      <c r="B2424" t="s">
        <v>6375</v>
      </c>
      <c r="C2424" t="s">
        <v>270</v>
      </c>
      <c r="D2424" t="s">
        <v>5785</v>
      </c>
      <c r="E2424" t="s">
        <v>5785</v>
      </c>
      <c r="M2424" t="s">
        <v>411</v>
      </c>
      <c r="N2424" t="s">
        <v>259</v>
      </c>
      <c r="P2424" t="s">
        <v>260</v>
      </c>
      <c r="Q2424" t="s">
        <v>260</v>
      </c>
      <c r="R2424" t="s">
        <v>283</v>
      </c>
      <c r="S2424" t="s">
        <v>21</v>
      </c>
      <c r="T2424">
        <v>100</v>
      </c>
      <c r="W2424" t="s">
        <v>262</v>
      </c>
    </row>
    <row r="2425" spans="1:26" x14ac:dyDescent="0.3">
      <c r="A2425" t="s">
        <v>21</v>
      </c>
      <c r="B2425" t="s">
        <v>6376</v>
      </c>
      <c r="C2425" t="s">
        <v>270</v>
      </c>
      <c r="D2425" t="s">
        <v>6377</v>
      </c>
      <c r="E2425" t="s">
        <v>6377</v>
      </c>
      <c r="F2425" t="s">
        <v>6377</v>
      </c>
      <c r="M2425" t="s">
        <v>411</v>
      </c>
      <c r="N2425" t="s">
        <v>259</v>
      </c>
      <c r="P2425" t="s">
        <v>260</v>
      </c>
      <c r="Q2425" t="s">
        <v>260</v>
      </c>
      <c r="R2425" t="s">
        <v>283</v>
      </c>
      <c r="S2425" t="s">
        <v>21</v>
      </c>
      <c r="T2425">
        <v>100</v>
      </c>
      <c r="W2425" t="s">
        <v>262</v>
      </c>
    </row>
    <row r="2426" spans="1:26" x14ac:dyDescent="0.3">
      <c r="A2426" t="s">
        <v>21</v>
      </c>
      <c r="B2426" t="s">
        <v>6378</v>
      </c>
      <c r="C2426" t="s">
        <v>270</v>
      </c>
      <c r="D2426" t="s">
        <v>6379</v>
      </c>
      <c r="E2426">
        <v>56795</v>
      </c>
      <c r="M2426" t="s">
        <v>297</v>
      </c>
      <c r="N2426" t="s">
        <v>276</v>
      </c>
      <c r="P2426" t="s">
        <v>260</v>
      </c>
      <c r="Q2426" t="s">
        <v>260</v>
      </c>
      <c r="R2426" t="s">
        <v>283</v>
      </c>
      <c r="S2426" t="s">
        <v>21</v>
      </c>
      <c r="T2426">
        <v>100</v>
      </c>
      <c r="W2426" t="s">
        <v>262</v>
      </c>
    </row>
    <row r="2427" spans="1:26" x14ac:dyDescent="0.3">
      <c r="A2427" t="s">
        <v>21</v>
      </c>
      <c r="B2427" t="s">
        <v>6380</v>
      </c>
      <c r="C2427" t="s">
        <v>270</v>
      </c>
      <c r="D2427" t="s">
        <v>6379</v>
      </c>
      <c r="E2427" t="s">
        <v>6379</v>
      </c>
      <c r="F2427" t="s">
        <v>6379</v>
      </c>
      <c r="M2427" t="s">
        <v>411</v>
      </c>
      <c r="N2427" t="s">
        <v>259</v>
      </c>
      <c r="P2427" t="s">
        <v>260</v>
      </c>
      <c r="Q2427" t="s">
        <v>260</v>
      </c>
      <c r="R2427" t="s">
        <v>283</v>
      </c>
      <c r="S2427" t="s">
        <v>21</v>
      </c>
      <c r="T2427">
        <v>100</v>
      </c>
      <c r="W2427" t="s">
        <v>262</v>
      </c>
    </row>
    <row r="2428" spans="1:26" x14ac:dyDescent="0.3">
      <c r="A2428" t="s">
        <v>21</v>
      </c>
      <c r="B2428" t="s">
        <v>6381</v>
      </c>
      <c r="C2428" t="s">
        <v>270</v>
      </c>
      <c r="D2428" t="s">
        <v>6382</v>
      </c>
      <c r="E2428" t="s">
        <v>6382</v>
      </c>
      <c r="F2428" t="s">
        <v>6382</v>
      </c>
      <c r="M2428" t="s">
        <v>297</v>
      </c>
      <c r="N2428" t="s">
        <v>276</v>
      </c>
      <c r="P2428" t="s">
        <v>260</v>
      </c>
      <c r="Q2428" t="s">
        <v>260</v>
      </c>
      <c r="R2428" t="s">
        <v>283</v>
      </c>
      <c r="S2428" t="s">
        <v>21</v>
      </c>
      <c r="T2428">
        <v>100</v>
      </c>
      <c r="W2428" t="s">
        <v>262</v>
      </c>
    </row>
    <row r="2429" spans="1:26" x14ac:dyDescent="0.3">
      <c r="A2429" t="s">
        <v>21</v>
      </c>
      <c r="B2429" t="s">
        <v>6383</v>
      </c>
      <c r="C2429" t="s">
        <v>270</v>
      </c>
      <c r="D2429" t="s">
        <v>6384</v>
      </c>
      <c r="E2429" t="s">
        <v>6384</v>
      </c>
      <c r="M2429" t="s">
        <v>411</v>
      </c>
      <c r="N2429" t="s">
        <v>259</v>
      </c>
      <c r="P2429" t="s">
        <v>260</v>
      </c>
      <c r="Q2429" t="s">
        <v>260</v>
      </c>
      <c r="R2429" t="s">
        <v>283</v>
      </c>
      <c r="S2429" t="s">
        <v>21</v>
      </c>
      <c r="T2429">
        <v>100</v>
      </c>
      <c r="W2429" t="s">
        <v>262</v>
      </c>
    </row>
    <row r="2430" spans="1:26" x14ac:dyDescent="0.3">
      <c r="A2430" t="s">
        <v>21</v>
      </c>
      <c r="B2430" t="s">
        <v>6385</v>
      </c>
      <c r="C2430" t="s">
        <v>270</v>
      </c>
      <c r="D2430" t="s">
        <v>6386</v>
      </c>
      <c r="E2430">
        <v>56792</v>
      </c>
      <c r="F2430">
        <v>1088880</v>
      </c>
      <c r="H2430" t="s">
        <v>2433</v>
      </c>
      <c r="I2430" t="s">
        <v>1343</v>
      </c>
      <c r="J2430" t="s">
        <v>297</v>
      </c>
      <c r="K2430">
        <v>2104</v>
      </c>
      <c r="L2430" t="s">
        <v>276</v>
      </c>
      <c r="M2430" t="s">
        <v>631</v>
      </c>
      <c r="N2430" t="s">
        <v>276</v>
      </c>
      <c r="P2430" t="s">
        <v>260</v>
      </c>
      <c r="Q2430" t="s">
        <v>260</v>
      </c>
      <c r="R2430" t="s">
        <v>283</v>
      </c>
      <c r="S2430" t="s">
        <v>21</v>
      </c>
      <c r="T2430">
        <v>100</v>
      </c>
      <c r="W2430" t="s">
        <v>262</v>
      </c>
      <c r="X2430">
        <v>-37.008299999999998</v>
      </c>
      <c r="Y2430">
        <v>174.87049999999999</v>
      </c>
    </row>
    <row r="2431" spans="1:26" x14ac:dyDescent="0.3">
      <c r="A2431" t="s">
        <v>21</v>
      </c>
      <c r="B2431" t="s">
        <v>6387</v>
      </c>
      <c r="C2431" t="s">
        <v>270</v>
      </c>
      <c r="D2431" t="s">
        <v>6388</v>
      </c>
      <c r="E2431">
        <v>56902</v>
      </c>
      <c r="H2431" t="s">
        <v>2433</v>
      </c>
      <c r="I2431" t="s">
        <v>1343</v>
      </c>
      <c r="J2431" t="s">
        <v>297</v>
      </c>
      <c r="K2431">
        <v>2104</v>
      </c>
      <c r="L2431" t="s">
        <v>276</v>
      </c>
      <c r="M2431" t="s">
        <v>631</v>
      </c>
      <c r="N2431" t="s">
        <v>276</v>
      </c>
      <c r="P2431" t="s">
        <v>260</v>
      </c>
      <c r="Q2431" t="s">
        <v>260</v>
      </c>
      <c r="R2431" t="s">
        <v>283</v>
      </c>
      <c r="S2431" t="s">
        <v>21</v>
      </c>
      <c r="T2431">
        <v>100</v>
      </c>
      <c r="W2431" t="s">
        <v>262</v>
      </c>
      <c r="X2431">
        <v>-37.008299999999998</v>
      </c>
      <c r="Y2431">
        <v>174.87049999999999</v>
      </c>
    </row>
    <row r="2432" spans="1:26" x14ac:dyDescent="0.3">
      <c r="A2432" t="s">
        <v>21</v>
      </c>
      <c r="B2432" t="s">
        <v>6389</v>
      </c>
      <c r="C2432" t="s">
        <v>270</v>
      </c>
      <c r="D2432" t="s">
        <v>6388</v>
      </c>
      <c r="E2432" t="s">
        <v>6388</v>
      </c>
      <c r="F2432" t="s">
        <v>6388</v>
      </c>
      <c r="M2432" t="s">
        <v>411</v>
      </c>
      <c r="N2432" t="s">
        <v>259</v>
      </c>
      <c r="P2432" t="s">
        <v>260</v>
      </c>
      <c r="Q2432" t="s">
        <v>260</v>
      </c>
      <c r="R2432" t="s">
        <v>283</v>
      </c>
      <c r="S2432" t="s">
        <v>21</v>
      </c>
      <c r="T2432">
        <v>100</v>
      </c>
      <c r="W2432" t="s">
        <v>262</v>
      </c>
    </row>
    <row r="2433" spans="1:25" x14ac:dyDescent="0.3">
      <c r="A2433" t="s">
        <v>21</v>
      </c>
      <c r="B2433" t="s">
        <v>6390</v>
      </c>
      <c r="C2433" t="s">
        <v>299</v>
      </c>
      <c r="D2433" t="s">
        <v>6391</v>
      </c>
      <c r="E2433" t="s">
        <v>6391</v>
      </c>
      <c r="M2433" t="s">
        <v>394</v>
      </c>
      <c r="N2433" t="s">
        <v>276</v>
      </c>
      <c r="P2433" t="s">
        <v>260</v>
      </c>
      <c r="Q2433" t="s">
        <v>260</v>
      </c>
      <c r="R2433" t="s">
        <v>283</v>
      </c>
      <c r="S2433" t="s">
        <v>21</v>
      </c>
      <c r="T2433">
        <v>100</v>
      </c>
      <c r="W2433" t="s">
        <v>262</v>
      </c>
    </row>
    <row r="2434" spans="1:25" x14ac:dyDescent="0.3">
      <c r="A2434" t="s">
        <v>21</v>
      </c>
      <c r="B2434" t="s">
        <v>6392</v>
      </c>
      <c r="C2434" t="s">
        <v>270</v>
      </c>
      <c r="D2434" t="s">
        <v>6393</v>
      </c>
      <c r="E2434" t="s">
        <v>6393</v>
      </c>
      <c r="M2434" t="s">
        <v>394</v>
      </c>
      <c r="N2434" t="s">
        <v>276</v>
      </c>
      <c r="P2434" t="s">
        <v>260</v>
      </c>
      <c r="Q2434" t="s">
        <v>260</v>
      </c>
      <c r="R2434" t="s">
        <v>283</v>
      </c>
      <c r="S2434" t="s">
        <v>21</v>
      </c>
      <c r="T2434">
        <v>100</v>
      </c>
      <c r="W2434" t="s">
        <v>262</v>
      </c>
    </row>
    <row r="2435" spans="1:25" x14ac:dyDescent="0.3">
      <c r="A2435" t="s">
        <v>21</v>
      </c>
      <c r="B2435" t="s">
        <v>6394</v>
      </c>
      <c r="C2435" t="s">
        <v>270</v>
      </c>
      <c r="D2435" t="s">
        <v>6395</v>
      </c>
      <c r="E2435">
        <v>2000004354</v>
      </c>
      <c r="H2435" t="s">
        <v>2433</v>
      </c>
      <c r="I2435" t="s">
        <v>1343</v>
      </c>
      <c r="J2435" t="s">
        <v>297</v>
      </c>
      <c r="K2435">
        <v>2104</v>
      </c>
      <c r="L2435" t="s">
        <v>276</v>
      </c>
      <c r="M2435" t="s">
        <v>631</v>
      </c>
      <c r="N2435" t="s">
        <v>276</v>
      </c>
      <c r="P2435" t="s">
        <v>260</v>
      </c>
      <c r="Q2435" t="s">
        <v>260</v>
      </c>
      <c r="R2435" t="s">
        <v>268</v>
      </c>
      <c r="S2435" t="s">
        <v>21</v>
      </c>
      <c r="T2435">
        <v>100</v>
      </c>
      <c r="W2435" t="s">
        <v>262</v>
      </c>
      <c r="X2435">
        <v>-37.008299999999998</v>
      </c>
      <c r="Y2435">
        <v>174.87049999999999</v>
      </c>
    </row>
    <row r="2436" spans="1:25" x14ac:dyDescent="0.3">
      <c r="A2436" t="s">
        <v>21</v>
      </c>
      <c r="B2436" t="s">
        <v>6396</v>
      </c>
      <c r="C2436" t="s">
        <v>270</v>
      </c>
      <c r="D2436" t="s">
        <v>6397</v>
      </c>
      <c r="E2436">
        <v>550707</v>
      </c>
      <c r="H2436" t="s">
        <v>2433</v>
      </c>
      <c r="I2436" t="s">
        <v>1343</v>
      </c>
      <c r="J2436" t="s">
        <v>297</v>
      </c>
      <c r="K2436">
        <v>2104</v>
      </c>
      <c r="L2436" t="s">
        <v>276</v>
      </c>
      <c r="M2436" t="s">
        <v>631</v>
      </c>
      <c r="N2436" t="s">
        <v>276</v>
      </c>
      <c r="P2436" t="s">
        <v>260</v>
      </c>
      <c r="Q2436" t="s">
        <v>260</v>
      </c>
      <c r="R2436" t="s">
        <v>261</v>
      </c>
      <c r="S2436" t="s">
        <v>21</v>
      </c>
      <c r="T2436">
        <v>100</v>
      </c>
      <c r="W2436" t="s">
        <v>262</v>
      </c>
      <c r="X2436">
        <v>-37.008299999999998</v>
      </c>
      <c r="Y2436">
        <v>174.87049999999999</v>
      </c>
    </row>
    <row r="2437" spans="1:25" x14ac:dyDescent="0.3">
      <c r="A2437" t="s">
        <v>21</v>
      </c>
      <c r="B2437" t="s">
        <v>6398</v>
      </c>
      <c r="C2437" t="s">
        <v>270</v>
      </c>
      <c r="D2437" t="s">
        <v>6399</v>
      </c>
      <c r="E2437">
        <v>550593</v>
      </c>
      <c r="M2437" t="s">
        <v>297</v>
      </c>
      <c r="N2437" t="s">
        <v>276</v>
      </c>
      <c r="P2437" t="s">
        <v>260</v>
      </c>
      <c r="Q2437" t="s">
        <v>260</v>
      </c>
      <c r="R2437" t="s">
        <v>261</v>
      </c>
      <c r="S2437" t="s">
        <v>21</v>
      </c>
      <c r="T2437">
        <v>100</v>
      </c>
      <c r="W2437" t="s">
        <v>262</v>
      </c>
    </row>
    <row r="2438" spans="1:25" x14ac:dyDescent="0.3">
      <c r="A2438" t="s">
        <v>21</v>
      </c>
      <c r="B2438" t="s">
        <v>6400</v>
      </c>
      <c r="C2438" t="s">
        <v>356</v>
      </c>
      <c r="D2438" t="s">
        <v>6401</v>
      </c>
      <c r="E2438">
        <v>552188</v>
      </c>
      <c r="M2438" t="s">
        <v>631</v>
      </c>
      <c r="N2438" t="s">
        <v>276</v>
      </c>
      <c r="P2438" t="s">
        <v>260</v>
      </c>
      <c r="Q2438" t="s">
        <v>260</v>
      </c>
      <c r="R2438" t="s">
        <v>261</v>
      </c>
      <c r="S2438" t="s">
        <v>21</v>
      </c>
      <c r="T2438">
        <v>100</v>
      </c>
      <c r="W2438" t="s">
        <v>262</v>
      </c>
    </row>
    <row r="2439" spans="1:25" x14ac:dyDescent="0.3">
      <c r="A2439" t="s">
        <v>21</v>
      </c>
      <c r="B2439" t="s">
        <v>6402</v>
      </c>
      <c r="C2439" t="s">
        <v>270</v>
      </c>
      <c r="D2439" t="s">
        <v>6403</v>
      </c>
      <c r="E2439">
        <v>552177</v>
      </c>
      <c r="H2439" t="s">
        <v>2433</v>
      </c>
      <c r="I2439" t="s">
        <v>1343</v>
      </c>
      <c r="J2439" t="s">
        <v>297</v>
      </c>
      <c r="K2439">
        <v>2104</v>
      </c>
      <c r="L2439" t="s">
        <v>276</v>
      </c>
      <c r="M2439" t="s">
        <v>631</v>
      </c>
      <c r="N2439" t="s">
        <v>276</v>
      </c>
      <c r="P2439" t="s">
        <v>260</v>
      </c>
      <c r="Q2439" t="s">
        <v>260</v>
      </c>
      <c r="R2439" t="s">
        <v>261</v>
      </c>
      <c r="S2439" t="s">
        <v>21</v>
      </c>
      <c r="T2439">
        <v>100</v>
      </c>
      <c r="W2439" t="s">
        <v>262</v>
      </c>
      <c r="X2439">
        <v>-37.008299999999998</v>
      </c>
      <c r="Y2439">
        <v>174.87049999999999</v>
      </c>
    </row>
    <row r="2440" spans="1:25" x14ac:dyDescent="0.3">
      <c r="A2440" t="s">
        <v>21</v>
      </c>
      <c r="B2440" t="s">
        <v>6404</v>
      </c>
      <c r="C2440" t="s">
        <v>270</v>
      </c>
      <c r="D2440" t="s">
        <v>6405</v>
      </c>
      <c r="E2440">
        <v>552178</v>
      </c>
      <c r="H2440" t="s">
        <v>2433</v>
      </c>
      <c r="I2440" t="s">
        <v>1343</v>
      </c>
      <c r="J2440" t="s">
        <v>297</v>
      </c>
      <c r="K2440">
        <v>2104</v>
      </c>
      <c r="L2440" t="s">
        <v>276</v>
      </c>
      <c r="M2440" t="s">
        <v>631</v>
      </c>
      <c r="N2440" t="s">
        <v>276</v>
      </c>
      <c r="P2440" t="s">
        <v>260</v>
      </c>
      <c r="Q2440" t="s">
        <v>260</v>
      </c>
      <c r="R2440" t="s">
        <v>261</v>
      </c>
      <c r="S2440" t="s">
        <v>21</v>
      </c>
      <c r="T2440">
        <v>100</v>
      </c>
      <c r="W2440" t="s">
        <v>262</v>
      </c>
      <c r="X2440">
        <v>-37.008299999999998</v>
      </c>
      <c r="Y2440">
        <v>174.87049999999999</v>
      </c>
    </row>
    <row r="2441" spans="1:25" x14ac:dyDescent="0.3">
      <c r="A2441" t="s">
        <v>21</v>
      </c>
      <c r="B2441" t="s">
        <v>6406</v>
      </c>
      <c r="C2441" t="s">
        <v>270</v>
      </c>
      <c r="D2441" t="s">
        <v>6407</v>
      </c>
      <c r="E2441">
        <v>552179</v>
      </c>
      <c r="H2441" t="s">
        <v>2433</v>
      </c>
      <c r="I2441" t="s">
        <v>1343</v>
      </c>
      <c r="J2441" t="s">
        <v>297</v>
      </c>
      <c r="K2441">
        <v>2104</v>
      </c>
      <c r="L2441" t="s">
        <v>276</v>
      </c>
      <c r="M2441" t="s">
        <v>631</v>
      </c>
      <c r="N2441" t="s">
        <v>276</v>
      </c>
      <c r="P2441" t="s">
        <v>260</v>
      </c>
      <c r="Q2441" t="s">
        <v>260</v>
      </c>
      <c r="R2441" t="s">
        <v>261</v>
      </c>
      <c r="S2441" t="s">
        <v>21</v>
      </c>
      <c r="T2441">
        <v>100</v>
      </c>
      <c r="W2441" t="s">
        <v>262</v>
      </c>
      <c r="X2441">
        <v>-37.008299999999998</v>
      </c>
      <c r="Y2441">
        <v>174.87049999999999</v>
      </c>
    </row>
    <row r="2442" spans="1:25" x14ac:dyDescent="0.3">
      <c r="A2442" t="s">
        <v>21</v>
      </c>
      <c r="B2442" t="s">
        <v>6408</v>
      </c>
      <c r="C2442" t="s">
        <v>1111</v>
      </c>
      <c r="D2442" t="s">
        <v>6409</v>
      </c>
      <c r="E2442">
        <v>552180</v>
      </c>
      <c r="G2442" t="s">
        <v>6410</v>
      </c>
      <c r="M2442" t="s">
        <v>399</v>
      </c>
      <c r="N2442" t="s">
        <v>276</v>
      </c>
      <c r="P2442" t="s">
        <v>260</v>
      </c>
      <c r="Q2442" t="s">
        <v>260</v>
      </c>
      <c r="R2442" t="s">
        <v>261</v>
      </c>
      <c r="S2442" t="s">
        <v>21</v>
      </c>
      <c r="T2442">
        <v>100</v>
      </c>
      <c r="W2442" t="s">
        <v>262</v>
      </c>
    </row>
    <row r="2443" spans="1:25" x14ac:dyDescent="0.3">
      <c r="A2443" t="s">
        <v>21</v>
      </c>
      <c r="B2443" t="s">
        <v>6411</v>
      </c>
      <c r="C2443" t="s">
        <v>270</v>
      </c>
      <c r="D2443" t="s">
        <v>6412</v>
      </c>
      <c r="E2443">
        <v>552181</v>
      </c>
      <c r="M2443" t="s">
        <v>631</v>
      </c>
      <c r="N2443" t="s">
        <v>276</v>
      </c>
      <c r="P2443" t="s">
        <v>260</v>
      </c>
      <c r="Q2443" t="s">
        <v>260</v>
      </c>
      <c r="R2443" t="s">
        <v>261</v>
      </c>
      <c r="S2443" t="s">
        <v>21</v>
      </c>
      <c r="T2443">
        <v>100</v>
      </c>
      <c r="W2443" t="s">
        <v>262</v>
      </c>
    </row>
    <row r="2444" spans="1:25" x14ac:dyDescent="0.3">
      <c r="A2444" t="s">
        <v>21</v>
      </c>
      <c r="B2444" t="s">
        <v>6413</v>
      </c>
      <c r="C2444" t="s">
        <v>270</v>
      </c>
      <c r="D2444" t="s">
        <v>6414</v>
      </c>
      <c r="E2444">
        <v>552182</v>
      </c>
      <c r="H2444" t="s">
        <v>2433</v>
      </c>
      <c r="I2444" t="s">
        <v>1343</v>
      </c>
      <c r="J2444" t="s">
        <v>297</v>
      </c>
      <c r="K2444">
        <v>2104</v>
      </c>
      <c r="L2444" t="s">
        <v>276</v>
      </c>
      <c r="M2444" t="s">
        <v>631</v>
      </c>
      <c r="N2444" t="s">
        <v>276</v>
      </c>
      <c r="P2444" t="s">
        <v>260</v>
      </c>
      <c r="Q2444" t="s">
        <v>260</v>
      </c>
      <c r="R2444" t="s">
        <v>261</v>
      </c>
      <c r="S2444" t="s">
        <v>21</v>
      </c>
      <c r="T2444">
        <v>100</v>
      </c>
      <c r="W2444" t="s">
        <v>262</v>
      </c>
      <c r="X2444">
        <v>-37.008299999999998</v>
      </c>
      <c r="Y2444">
        <v>174.87049999999999</v>
      </c>
    </row>
    <row r="2445" spans="1:25" x14ac:dyDescent="0.3">
      <c r="A2445" t="s">
        <v>21</v>
      </c>
      <c r="B2445" t="s">
        <v>6415</v>
      </c>
      <c r="C2445" t="s">
        <v>270</v>
      </c>
      <c r="D2445" t="s">
        <v>6416</v>
      </c>
      <c r="E2445">
        <v>552184</v>
      </c>
      <c r="M2445" t="s">
        <v>631</v>
      </c>
      <c r="N2445" t="s">
        <v>276</v>
      </c>
      <c r="P2445" t="s">
        <v>260</v>
      </c>
      <c r="Q2445" t="s">
        <v>260</v>
      </c>
      <c r="R2445" t="s">
        <v>261</v>
      </c>
      <c r="S2445" t="s">
        <v>21</v>
      </c>
      <c r="T2445">
        <v>100</v>
      </c>
      <c r="W2445" t="s">
        <v>262</v>
      </c>
    </row>
    <row r="2446" spans="1:25" x14ac:dyDescent="0.3">
      <c r="A2446" t="s">
        <v>21</v>
      </c>
      <c r="B2446" t="s">
        <v>6417</v>
      </c>
      <c r="C2446" t="s">
        <v>270</v>
      </c>
      <c r="D2446" t="s">
        <v>6418</v>
      </c>
      <c r="E2446">
        <v>552183</v>
      </c>
      <c r="F2446">
        <v>552183</v>
      </c>
      <c r="M2446" t="s">
        <v>399</v>
      </c>
      <c r="N2446" t="s">
        <v>276</v>
      </c>
      <c r="P2446" t="s">
        <v>260</v>
      </c>
      <c r="Q2446" t="s">
        <v>260</v>
      </c>
      <c r="R2446" t="s">
        <v>261</v>
      </c>
      <c r="S2446" t="s">
        <v>21</v>
      </c>
      <c r="T2446">
        <v>100</v>
      </c>
      <c r="W2446" t="s">
        <v>262</v>
      </c>
    </row>
    <row r="2447" spans="1:25" x14ac:dyDescent="0.3">
      <c r="A2447" t="s">
        <v>21</v>
      </c>
      <c r="B2447" t="s">
        <v>6419</v>
      </c>
      <c r="C2447" t="s">
        <v>1111</v>
      </c>
      <c r="D2447" t="s">
        <v>6420</v>
      </c>
      <c r="E2447">
        <v>552176</v>
      </c>
      <c r="G2447" t="s">
        <v>6421</v>
      </c>
      <c r="M2447" t="s">
        <v>399</v>
      </c>
      <c r="N2447" t="s">
        <v>276</v>
      </c>
      <c r="P2447" t="s">
        <v>260</v>
      </c>
      <c r="Q2447" t="s">
        <v>260</v>
      </c>
      <c r="R2447" t="s">
        <v>261</v>
      </c>
      <c r="S2447" t="s">
        <v>21</v>
      </c>
      <c r="T2447">
        <v>100</v>
      </c>
      <c r="W2447" t="s">
        <v>262</v>
      </c>
    </row>
    <row r="2448" spans="1:25" x14ac:dyDescent="0.3">
      <c r="A2448" t="s">
        <v>21</v>
      </c>
      <c r="B2448" t="s">
        <v>6422</v>
      </c>
      <c r="C2448" t="s">
        <v>270</v>
      </c>
      <c r="D2448" t="s">
        <v>6423</v>
      </c>
      <c r="E2448" t="s">
        <v>6424</v>
      </c>
      <c r="M2448" t="s">
        <v>631</v>
      </c>
      <c r="N2448" t="s">
        <v>276</v>
      </c>
      <c r="P2448" t="s">
        <v>260</v>
      </c>
      <c r="Q2448" t="s">
        <v>260</v>
      </c>
      <c r="R2448" t="s">
        <v>283</v>
      </c>
      <c r="S2448" t="s">
        <v>21</v>
      </c>
      <c r="T2448">
        <v>100</v>
      </c>
      <c r="W2448" t="s">
        <v>262</v>
      </c>
    </row>
    <row r="2449" spans="1:25" x14ac:dyDescent="0.3">
      <c r="A2449" t="s">
        <v>21</v>
      </c>
      <c r="B2449" t="s">
        <v>6425</v>
      </c>
      <c r="C2449" t="s">
        <v>2464</v>
      </c>
      <c r="D2449" t="s">
        <v>6426</v>
      </c>
      <c r="E2449" t="s">
        <v>6427</v>
      </c>
      <c r="G2449" t="s">
        <v>6428</v>
      </c>
      <c r="M2449" t="s">
        <v>297</v>
      </c>
      <c r="N2449" t="s">
        <v>276</v>
      </c>
      <c r="P2449" t="s">
        <v>260</v>
      </c>
      <c r="Q2449" t="s">
        <v>260</v>
      </c>
      <c r="R2449" t="s">
        <v>261</v>
      </c>
      <c r="S2449" t="s">
        <v>21</v>
      </c>
      <c r="T2449">
        <v>100</v>
      </c>
      <c r="W2449" t="s">
        <v>262</v>
      </c>
    </row>
    <row r="2450" spans="1:25" ht="405" customHeight="1" x14ac:dyDescent="0.3">
      <c r="A2450" t="s">
        <v>21</v>
      </c>
      <c r="B2450" t="s">
        <v>6429</v>
      </c>
      <c r="C2450" t="s">
        <v>2894</v>
      </c>
      <c r="D2450" t="s">
        <v>2091</v>
      </c>
      <c r="E2450">
        <v>55856</v>
      </c>
      <c r="G2450" s="10" t="s">
        <v>6430</v>
      </c>
      <c r="M2450" t="s">
        <v>403</v>
      </c>
      <c r="N2450" t="s">
        <v>276</v>
      </c>
      <c r="P2450" t="s">
        <v>260</v>
      </c>
      <c r="Q2450" t="s">
        <v>260</v>
      </c>
      <c r="R2450" t="s">
        <v>261</v>
      </c>
      <c r="S2450" t="s">
        <v>21</v>
      </c>
      <c r="T2450">
        <v>100</v>
      </c>
      <c r="W2450" t="s">
        <v>262</v>
      </c>
    </row>
    <row r="2451" spans="1:25" x14ac:dyDescent="0.3">
      <c r="A2451" t="s">
        <v>21</v>
      </c>
      <c r="B2451" t="s">
        <v>6431</v>
      </c>
      <c r="C2451" t="s">
        <v>2894</v>
      </c>
      <c r="D2451" t="s">
        <v>820</v>
      </c>
      <c r="E2451">
        <v>55602</v>
      </c>
      <c r="G2451" t="s">
        <v>6432</v>
      </c>
      <c r="H2451" t="s">
        <v>6433</v>
      </c>
      <c r="I2451" t="s">
        <v>3976</v>
      </c>
      <c r="J2451" t="s">
        <v>703</v>
      </c>
      <c r="K2451">
        <v>5012</v>
      </c>
      <c r="M2451" t="s">
        <v>403</v>
      </c>
      <c r="N2451" t="s">
        <v>276</v>
      </c>
      <c r="P2451" t="s">
        <v>260</v>
      </c>
      <c r="Q2451" t="s">
        <v>260</v>
      </c>
      <c r="R2451" t="s">
        <v>261</v>
      </c>
      <c r="S2451" t="s">
        <v>21</v>
      </c>
      <c r="T2451">
        <v>100</v>
      </c>
      <c r="W2451" t="s">
        <v>262</v>
      </c>
    </row>
    <row r="2452" spans="1:25" ht="240" customHeight="1" x14ac:dyDescent="0.3">
      <c r="A2452" t="s">
        <v>21</v>
      </c>
      <c r="B2452" t="s">
        <v>6434</v>
      </c>
      <c r="C2452" t="s">
        <v>264</v>
      </c>
      <c r="D2452" t="s">
        <v>6435</v>
      </c>
      <c r="E2452">
        <v>91727</v>
      </c>
      <c r="G2452" s="10" t="s">
        <v>6436</v>
      </c>
      <c r="H2452" s="10" t="s">
        <v>6437</v>
      </c>
      <c r="I2452" t="s">
        <v>403</v>
      </c>
      <c r="K2452">
        <v>6011</v>
      </c>
      <c r="M2452" t="s">
        <v>403</v>
      </c>
      <c r="N2452" t="s">
        <v>276</v>
      </c>
      <c r="P2452" t="s">
        <v>260</v>
      </c>
      <c r="Q2452" t="s">
        <v>260</v>
      </c>
      <c r="R2452" t="s">
        <v>261</v>
      </c>
      <c r="S2452" t="s">
        <v>21</v>
      </c>
      <c r="T2452">
        <v>100</v>
      </c>
      <c r="W2452" t="s">
        <v>262</v>
      </c>
    </row>
    <row r="2453" spans="1:25" x14ac:dyDescent="0.3">
      <c r="A2453" t="s">
        <v>21</v>
      </c>
      <c r="B2453" t="s">
        <v>6438</v>
      </c>
      <c r="C2453" t="s">
        <v>270</v>
      </c>
      <c r="D2453" t="s">
        <v>6439</v>
      </c>
      <c r="E2453">
        <v>91286</v>
      </c>
      <c r="G2453" t="s">
        <v>6440</v>
      </c>
      <c r="H2453" t="s">
        <v>6441</v>
      </c>
      <c r="I2453" t="s">
        <v>6442</v>
      </c>
      <c r="J2453" t="s">
        <v>822</v>
      </c>
      <c r="K2453">
        <v>5024</v>
      </c>
      <c r="L2453" t="s">
        <v>276</v>
      </c>
      <c r="M2453" t="s">
        <v>822</v>
      </c>
      <c r="N2453" t="s">
        <v>276</v>
      </c>
      <c r="P2453" t="s">
        <v>260</v>
      </c>
      <c r="Q2453" t="s">
        <v>260</v>
      </c>
      <c r="R2453" t="s">
        <v>293</v>
      </c>
      <c r="S2453" t="s">
        <v>21</v>
      </c>
      <c r="T2453">
        <v>100</v>
      </c>
      <c r="W2453" t="s">
        <v>262</v>
      </c>
      <c r="X2453">
        <v>-41.108699999999999</v>
      </c>
      <c r="Y2453">
        <v>174.89070000000001</v>
      </c>
    </row>
    <row r="2454" spans="1:25" ht="240" customHeight="1" x14ac:dyDescent="0.3">
      <c r="A2454" t="s">
        <v>21</v>
      </c>
      <c r="B2454" t="s">
        <v>6443</v>
      </c>
      <c r="C2454" t="s">
        <v>264</v>
      </c>
      <c r="D2454" t="s">
        <v>6444</v>
      </c>
      <c r="E2454">
        <v>91403</v>
      </c>
      <c r="G2454" s="10" t="s">
        <v>6445</v>
      </c>
      <c r="H2454" s="10" t="s">
        <v>6446</v>
      </c>
      <c r="I2454" t="s">
        <v>403</v>
      </c>
      <c r="K2454">
        <v>6011</v>
      </c>
      <c r="M2454" t="s">
        <v>403</v>
      </c>
      <c r="N2454" t="s">
        <v>276</v>
      </c>
      <c r="P2454" t="s">
        <v>260</v>
      </c>
      <c r="Q2454" t="s">
        <v>260</v>
      </c>
      <c r="R2454" t="s">
        <v>261</v>
      </c>
      <c r="S2454" t="s">
        <v>21</v>
      </c>
      <c r="T2454">
        <v>100</v>
      </c>
      <c r="W2454" t="s">
        <v>262</v>
      </c>
    </row>
    <row r="2455" spans="1:25" x14ac:dyDescent="0.3">
      <c r="A2455" t="s">
        <v>21</v>
      </c>
      <c r="B2455" t="s">
        <v>6447</v>
      </c>
      <c r="C2455" t="s">
        <v>270</v>
      </c>
      <c r="D2455" t="s">
        <v>2169</v>
      </c>
      <c r="E2455" t="s">
        <v>6448</v>
      </c>
      <c r="M2455" t="s">
        <v>631</v>
      </c>
      <c r="N2455" t="s">
        <v>276</v>
      </c>
      <c r="P2455" t="s">
        <v>260</v>
      </c>
      <c r="Q2455" t="s">
        <v>260</v>
      </c>
      <c r="R2455" t="s">
        <v>283</v>
      </c>
      <c r="S2455" t="s">
        <v>21</v>
      </c>
      <c r="T2455">
        <v>100</v>
      </c>
      <c r="W2455" t="s">
        <v>262</v>
      </c>
    </row>
    <row r="2456" spans="1:25" x14ac:dyDescent="0.3">
      <c r="A2456" t="s">
        <v>21</v>
      </c>
      <c r="B2456" t="s">
        <v>6449</v>
      </c>
      <c r="C2456" t="s">
        <v>270</v>
      </c>
      <c r="D2456" t="s">
        <v>6450</v>
      </c>
      <c r="E2456">
        <v>10143</v>
      </c>
      <c r="G2456">
        <v>10.143000000000001</v>
      </c>
      <c r="H2456" t="s">
        <v>2433</v>
      </c>
      <c r="I2456" t="s">
        <v>1343</v>
      </c>
      <c r="J2456" t="s">
        <v>297</v>
      </c>
      <c r="K2456">
        <v>2104</v>
      </c>
      <c r="L2456" t="s">
        <v>276</v>
      </c>
      <c r="M2456" t="s">
        <v>631</v>
      </c>
      <c r="N2456" t="s">
        <v>276</v>
      </c>
      <c r="P2456" t="s">
        <v>260</v>
      </c>
      <c r="Q2456" t="s">
        <v>260</v>
      </c>
      <c r="R2456" t="s">
        <v>283</v>
      </c>
      <c r="S2456" t="s">
        <v>21</v>
      </c>
      <c r="T2456">
        <v>100</v>
      </c>
      <c r="W2456" t="s">
        <v>262</v>
      </c>
      <c r="X2456">
        <v>-37.008299999999998</v>
      </c>
      <c r="Y2456">
        <v>174.87049999999999</v>
      </c>
    </row>
    <row r="2457" spans="1:25" x14ac:dyDescent="0.3">
      <c r="A2457" t="s">
        <v>21</v>
      </c>
      <c r="B2457" t="s">
        <v>6451</v>
      </c>
      <c r="C2457" t="s">
        <v>270</v>
      </c>
      <c r="D2457" t="s">
        <v>6452</v>
      </c>
      <c r="E2457">
        <v>10240</v>
      </c>
      <c r="G2457">
        <v>10.24</v>
      </c>
      <c r="H2457" t="s">
        <v>2433</v>
      </c>
      <c r="I2457" t="s">
        <v>1343</v>
      </c>
      <c r="J2457" t="s">
        <v>297</v>
      </c>
      <c r="K2457">
        <v>2104</v>
      </c>
      <c r="L2457" t="s">
        <v>276</v>
      </c>
      <c r="M2457" t="s">
        <v>631</v>
      </c>
      <c r="N2457" t="s">
        <v>276</v>
      </c>
      <c r="P2457" t="s">
        <v>260</v>
      </c>
      <c r="Q2457" t="s">
        <v>260</v>
      </c>
      <c r="R2457" t="s">
        <v>283</v>
      </c>
      <c r="S2457" t="s">
        <v>21</v>
      </c>
      <c r="T2457">
        <v>100</v>
      </c>
      <c r="W2457" t="s">
        <v>262</v>
      </c>
      <c r="X2457">
        <v>-37.008299999999998</v>
      </c>
      <c r="Y2457">
        <v>174.87049999999999</v>
      </c>
    </row>
    <row r="2458" spans="1:25" x14ac:dyDescent="0.3">
      <c r="A2458" t="s">
        <v>21</v>
      </c>
      <c r="B2458" t="s">
        <v>6453</v>
      </c>
      <c r="C2458" t="s">
        <v>270</v>
      </c>
      <c r="D2458" t="s">
        <v>820</v>
      </c>
      <c r="E2458">
        <v>55602</v>
      </c>
      <c r="H2458" t="s">
        <v>821</v>
      </c>
      <c r="I2458" t="s">
        <v>822</v>
      </c>
      <c r="J2458" t="s">
        <v>822</v>
      </c>
      <c r="K2458">
        <v>5022</v>
      </c>
      <c r="L2458" t="s">
        <v>276</v>
      </c>
      <c r="M2458" t="s">
        <v>822</v>
      </c>
      <c r="N2458" t="s">
        <v>276</v>
      </c>
      <c r="P2458" t="s">
        <v>260</v>
      </c>
      <c r="Q2458" t="s">
        <v>260</v>
      </c>
      <c r="R2458" t="s">
        <v>261</v>
      </c>
      <c r="S2458" t="s">
        <v>21</v>
      </c>
      <c r="T2458">
        <v>100</v>
      </c>
      <c r="W2458" t="s">
        <v>262</v>
      </c>
      <c r="X2458">
        <v>-41.1387</v>
      </c>
      <c r="Y2458">
        <v>174.83269999999999</v>
      </c>
    </row>
    <row r="2459" spans="1:25" x14ac:dyDescent="0.3">
      <c r="A2459" t="s">
        <v>21</v>
      </c>
      <c r="B2459" t="s">
        <v>6454</v>
      </c>
      <c r="C2459" t="s">
        <v>270</v>
      </c>
      <c r="D2459" t="s">
        <v>6455</v>
      </c>
      <c r="E2459" t="s">
        <v>6456</v>
      </c>
      <c r="H2459" t="s">
        <v>2433</v>
      </c>
      <c r="I2459" t="s">
        <v>1343</v>
      </c>
      <c r="J2459" t="s">
        <v>297</v>
      </c>
      <c r="K2459">
        <v>2104</v>
      </c>
      <c r="L2459" t="s">
        <v>276</v>
      </c>
      <c r="M2459" t="s">
        <v>631</v>
      </c>
      <c r="N2459" t="s">
        <v>276</v>
      </c>
      <c r="P2459" t="s">
        <v>260</v>
      </c>
      <c r="Q2459" t="s">
        <v>260</v>
      </c>
      <c r="R2459" t="s">
        <v>261</v>
      </c>
      <c r="S2459" t="s">
        <v>21</v>
      </c>
      <c r="T2459">
        <v>100</v>
      </c>
      <c r="W2459" t="s">
        <v>262</v>
      </c>
      <c r="X2459">
        <v>-37.008299999999998</v>
      </c>
      <c r="Y2459">
        <v>174.87049999999999</v>
      </c>
    </row>
    <row r="2460" spans="1:25" x14ac:dyDescent="0.3">
      <c r="A2460" t="s">
        <v>21</v>
      </c>
      <c r="B2460" t="s">
        <v>6457</v>
      </c>
      <c r="C2460" t="s">
        <v>270</v>
      </c>
      <c r="D2460" t="s">
        <v>1075</v>
      </c>
      <c r="E2460">
        <v>3522</v>
      </c>
      <c r="H2460" t="s">
        <v>2433</v>
      </c>
      <c r="I2460" t="s">
        <v>1343</v>
      </c>
      <c r="J2460" t="s">
        <v>297</v>
      </c>
      <c r="K2460">
        <v>2104</v>
      </c>
      <c r="L2460" t="s">
        <v>276</v>
      </c>
      <c r="M2460" t="s">
        <v>631</v>
      </c>
      <c r="N2460" t="s">
        <v>276</v>
      </c>
      <c r="P2460" t="s">
        <v>260</v>
      </c>
      <c r="Q2460" t="s">
        <v>260</v>
      </c>
      <c r="R2460" t="s">
        <v>261</v>
      </c>
      <c r="S2460" t="s">
        <v>21</v>
      </c>
      <c r="T2460">
        <v>100</v>
      </c>
      <c r="W2460" t="s">
        <v>262</v>
      </c>
      <c r="X2460">
        <v>-37.008299999999998</v>
      </c>
      <c r="Y2460">
        <v>174.87049999999999</v>
      </c>
    </row>
    <row r="2461" spans="1:25" x14ac:dyDescent="0.3">
      <c r="A2461" t="s">
        <v>21</v>
      </c>
      <c r="B2461" t="s">
        <v>6458</v>
      </c>
      <c r="C2461" t="s">
        <v>1845</v>
      </c>
      <c r="D2461" t="s">
        <v>2403</v>
      </c>
      <c r="E2461" t="s">
        <v>6459</v>
      </c>
      <c r="M2461" t="s">
        <v>403</v>
      </c>
      <c r="N2461" t="s">
        <v>276</v>
      </c>
      <c r="P2461" t="s">
        <v>260</v>
      </c>
      <c r="Q2461" t="s">
        <v>260</v>
      </c>
      <c r="R2461" t="s">
        <v>261</v>
      </c>
      <c r="S2461" t="s">
        <v>21</v>
      </c>
      <c r="T2461">
        <v>100</v>
      </c>
      <c r="W2461" t="s">
        <v>262</v>
      </c>
    </row>
    <row r="2462" spans="1:25" x14ac:dyDescent="0.3">
      <c r="A2462" t="s">
        <v>21</v>
      </c>
      <c r="B2462" t="s">
        <v>6460</v>
      </c>
      <c r="C2462" t="s">
        <v>270</v>
      </c>
      <c r="D2462" t="s">
        <v>6461</v>
      </c>
      <c r="E2462">
        <v>10241</v>
      </c>
      <c r="G2462">
        <v>10.241</v>
      </c>
      <c r="H2462" t="s">
        <v>2433</v>
      </c>
      <c r="I2462" t="s">
        <v>1343</v>
      </c>
      <c r="J2462" t="s">
        <v>297</v>
      </c>
      <c r="K2462">
        <v>2104</v>
      </c>
      <c r="L2462" t="s">
        <v>276</v>
      </c>
      <c r="M2462" t="s">
        <v>631</v>
      </c>
      <c r="N2462" t="s">
        <v>276</v>
      </c>
      <c r="P2462" t="s">
        <v>260</v>
      </c>
      <c r="Q2462" t="s">
        <v>260</v>
      </c>
      <c r="R2462" t="s">
        <v>283</v>
      </c>
      <c r="S2462" t="s">
        <v>21</v>
      </c>
      <c r="T2462">
        <v>100</v>
      </c>
      <c r="W2462" t="s">
        <v>262</v>
      </c>
      <c r="X2462">
        <v>-37.008299999999998</v>
      </c>
      <c r="Y2462">
        <v>174.87049999999999</v>
      </c>
    </row>
    <row r="2463" spans="1:25" x14ac:dyDescent="0.3">
      <c r="A2463" t="s">
        <v>21</v>
      </c>
      <c r="B2463" t="s">
        <v>6462</v>
      </c>
      <c r="C2463" t="s">
        <v>270</v>
      </c>
      <c r="D2463" t="s">
        <v>6463</v>
      </c>
      <c r="E2463" t="s">
        <v>6463</v>
      </c>
      <c r="F2463" t="s">
        <v>6463</v>
      </c>
      <c r="M2463" t="s">
        <v>297</v>
      </c>
      <c r="N2463" t="s">
        <v>276</v>
      </c>
      <c r="P2463" t="s">
        <v>260</v>
      </c>
      <c r="Q2463" t="s">
        <v>260</v>
      </c>
      <c r="R2463" t="s">
        <v>283</v>
      </c>
      <c r="S2463" t="s">
        <v>21</v>
      </c>
      <c r="T2463">
        <v>100</v>
      </c>
      <c r="W2463" t="s">
        <v>262</v>
      </c>
    </row>
    <row r="2464" spans="1:25" x14ac:dyDescent="0.3">
      <c r="A2464" t="s">
        <v>21</v>
      </c>
      <c r="B2464" t="s">
        <v>6464</v>
      </c>
      <c r="C2464" t="s">
        <v>270</v>
      </c>
      <c r="D2464" t="s">
        <v>6465</v>
      </c>
      <c r="E2464">
        <v>66204</v>
      </c>
      <c r="H2464" t="s">
        <v>2433</v>
      </c>
      <c r="I2464" t="s">
        <v>1343</v>
      </c>
      <c r="J2464" t="s">
        <v>297</v>
      </c>
      <c r="K2464">
        <v>2104</v>
      </c>
      <c r="L2464" t="s">
        <v>276</v>
      </c>
      <c r="M2464" t="s">
        <v>631</v>
      </c>
      <c r="N2464" t="s">
        <v>276</v>
      </c>
      <c r="P2464" t="s">
        <v>260</v>
      </c>
      <c r="Q2464" t="s">
        <v>260</v>
      </c>
      <c r="R2464" t="s">
        <v>261</v>
      </c>
      <c r="S2464" t="s">
        <v>21</v>
      </c>
      <c r="T2464">
        <v>100</v>
      </c>
      <c r="W2464" t="s">
        <v>262</v>
      </c>
      <c r="X2464">
        <v>-37.008299999999998</v>
      </c>
      <c r="Y2464">
        <v>174.87049999999999</v>
      </c>
    </row>
    <row r="2465" spans="1:25" x14ac:dyDescent="0.3">
      <c r="A2465" t="s">
        <v>21</v>
      </c>
      <c r="B2465" t="s">
        <v>6466</v>
      </c>
      <c r="C2465" t="s">
        <v>270</v>
      </c>
      <c r="D2465" t="s">
        <v>6467</v>
      </c>
      <c r="E2465">
        <v>10141</v>
      </c>
      <c r="G2465">
        <v>10.141</v>
      </c>
      <c r="H2465" t="s">
        <v>2433</v>
      </c>
      <c r="I2465" t="s">
        <v>1343</v>
      </c>
      <c r="J2465" t="s">
        <v>297</v>
      </c>
      <c r="K2465">
        <v>2104</v>
      </c>
      <c r="L2465" t="s">
        <v>276</v>
      </c>
      <c r="M2465" t="s">
        <v>631</v>
      </c>
      <c r="N2465" t="s">
        <v>276</v>
      </c>
      <c r="P2465" t="s">
        <v>260</v>
      </c>
      <c r="Q2465" t="s">
        <v>260</v>
      </c>
      <c r="R2465" t="s">
        <v>283</v>
      </c>
      <c r="S2465" t="s">
        <v>21</v>
      </c>
      <c r="T2465">
        <v>100</v>
      </c>
      <c r="W2465" t="s">
        <v>262</v>
      </c>
      <c r="X2465">
        <v>-37.008299999999998</v>
      </c>
      <c r="Y2465">
        <v>174.87049999999999</v>
      </c>
    </row>
    <row r="2466" spans="1:25" x14ac:dyDescent="0.3">
      <c r="A2466" t="s">
        <v>21</v>
      </c>
      <c r="B2466" t="s">
        <v>6468</v>
      </c>
      <c r="C2466" t="s">
        <v>270</v>
      </c>
      <c r="D2466" t="s">
        <v>6469</v>
      </c>
      <c r="E2466">
        <v>10235</v>
      </c>
      <c r="G2466">
        <v>10.234999999999999</v>
      </c>
      <c r="H2466" t="s">
        <v>2433</v>
      </c>
      <c r="I2466" t="s">
        <v>1343</v>
      </c>
      <c r="J2466" t="s">
        <v>297</v>
      </c>
      <c r="K2466">
        <v>2104</v>
      </c>
      <c r="L2466" t="s">
        <v>276</v>
      </c>
      <c r="M2466" t="s">
        <v>631</v>
      </c>
      <c r="N2466" t="s">
        <v>276</v>
      </c>
      <c r="P2466" t="s">
        <v>260</v>
      </c>
      <c r="Q2466" t="s">
        <v>260</v>
      </c>
      <c r="R2466" t="s">
        <v>283</v>
      </c>
      <c r="S2466" t="s">
        <v>21</v>
      </c>
      <c r="T2466">
        <v>100</v>
      </c>
      <c r="W2466" t="s">
        <v>262</v>
      </c>
      <c r="X2466">
        <v>-37.008299999999998</v>
      </c>
      <c r="Y2466">
        <v>174.87049999999999</v>
      </c>
    </row>
    <row r="2467" spans="1:25" x14ac:dyDescent="0.3">
      <c r="A2467" t="s">
        <v>21</v>
      </c>
      <c r="B2467" t="s">
        <v>6470</v>
      </c>
      <c r="C2467" t="s">
        <v>270</v>
      </c>
      <c r="D2467" t="s">
        <v>6471</v>
      </c>
      <c r="E2467">
        <v>10233</v>
      </c>
      <c r="G2467">
        <v>10.233000000000001</v>
      </c>
      <c r="H2467" t="s">
        <v>2433</v>
      </c>
      <c r="I2467" t="s">
        <v>1343</v>
      </c>
      <c r="J2467" t="s">
        <v>297</v>
      </c>
      <c r="K2467">
        <v>2104</v>
      </c>
      <c r="L2467" t="s">
        <v>276</v>
      </c>
      <c r="M2467" t="s">
        <v>631</v>
      </c>
      <c r="N2467" t="s">
        <v>276</v>
      </c>
      <c r="P2467" t="s">
        <v>260</v>
      </c>
      <c r="Q2467" t="s">
        <v>260</v>
      </c>
      <c r="R2467" t="s">
        <v>283</v>
      </c>
      <c r="S2467" t="s">
        <v>21</v>
      </c>
      <c r="T2467">
        <v>100</v>
      </c>
      <c r="W2467" t="s">
        <v>262</v>
      </c>
      <c r="X2467">
        <v>-37.008299999999998</v>
      </c>
      <c r="Y2467">
        <v>174.87049999999999</v>
      </c>
    </row>
    <row r="2468" spans="1:25" x14ac:dyDescent="0.3">
      <c r="A2468" t="s">
        <v>21</v>
      </c>
      <c r="B2468" t="s">
        <v>6472</v>
      </c>
      <c r="C2468" t="s">
        <v>270</v>
      </c>
      <c r="D2468" t="s">
        <v>6473</v>
      </c>
      <c r="E2468" t="s">
        <v>6473</v>
      </c>
      <c r="M2468" t="s">
        <v>411</v>
      </c>
      <c r="N2468" t="s">
        <v>259</v>
      </c>
      <c r="P2468" t="s">
        <v>260</v>
      </c>
      <c r="Q2468" t="s">
        <v>260</v>
      </c>
      <c r="R2468" t="s">
        <v>283</v>
      </c>
      <c r="S2468" t="s">
        <v>21</v>
      </c>
      <c r="T2468">
        <v>100</v>
      </c>
      <c r="W2468" t="s">
        <v>262</v>
      </c>
    </row>
    <row r="2469" spans="1:25" x14ac:dyDescent="0.3">
      <c r="A2469" t="s">
        <v>21</v>
      </c>
      <c r="B2469" t="s">
        <v>6474</v>
      </c>
      <c r="C2469" t="s">
        <v>539</v>
      </c>
      <c r="D2469" t="s">
        <v>6475</v>
      </c>
      <c r="E2469" t="s">
        <v>6475</v>
      </c>
      <c r="F2469" t="s">
        <v>6475</v>
      </c>
      <c r="M2469" t="s">
        <v>312</v>
      </c>
      <c r="N2469" t="s">
        <v>259</v>
      </c>
      <c r="P2469" t="s">
        <v>260</v>
      </c>
      <c r="Q2469" t="s">
        <v>260</v>
      </c>
      <c r="R2469" t="s">
        <v>283</v>
      </c>
      <c r="S2469" t="s">
        <v>21</v>
      </c>
      <c r="T2469">
        <v>100</v>
      </c>
      <c r="W2469" t="s">
        <v>262</v>
      </c>
    </row>
    <row r="2470" spans="1:25" x14ac:dyDescent="0.3">
      <c r="A2470" t="s">
        <v>21</v>
      </c>
      <c r="B2470" t="s">
        <v>6476</v>
      </c>
      <c r="C2470" t="s">
        <v>270</v>
      </c>
      <c r="D2470" t="s">
        <v>6477</v>
      </c>
      <c r="E2470">
        <v>10183</v>
      </c>
      <c r="F2470">
        <v>904385</v>
      </c>
      <c r="G2470">
        <v>10.183</v>
      </c>
      <c r="H2470" t="s">
        <v>6478</v>
      </c>
      <c r="I2470" t="s">
        <v>6479</v>
      </c>
      <c r="J2470" t="s">
        <v>6480</v>
      </c>
      <c r="K2470">
        <v>7805</v>
      </c>
      <c r="L2470" t="s">
        <v>276</v>
      </c>
      <c r="M2470" t="s">
        <v>6480</v>
      </c>
      <c r="N2470" t="s">
        <v>276</v>
      </c>
      <c r="P2470" t="s">
        <v>260</v>
      </c>
      <c r="Q2470" t="s">
        <v>260</v>
      </c>
      <c r="R2470" t="s">
        <v>283</v>
      </c>
      <c r="S2470" t="s">
        <v>21</v>
      </c>
      <c r="T2470">
        <v>100</v>
      </c>
      <c r="W2470" t="s">
        <v>262</v>
      </c>
      <c r="X2470">
        <v>-42.500500000000002</v>
      </c>
      <c r="Y2470">
        <v>171.173</v>
      </c>
    </row>
    <row r="2471" spans="1:25" x14ac:dyDescent="0.3">
      <c r="A2471" t="s">
        <v>21</v>
      </c>
      <c r="B2471" t="s">
        <v>6481</v>
      </c>
      <c r="C2471" t="s">
        <v>270</v>
      </c>
      <c r="D2471" t="s">
        <v>6482</v>
      </c>
      <c r="E2471" t="s">
        <v>6483</v>
      </c>
      <c r="H2471" t="s">
        <v>2433</v>
      </c>
      <c r="I2471" t="s">
        <v>1343</v>
      </c>
      <c r="J2471" t="s">
        <v>297</v>
      </c>
      <c r="K2471">
        <v>2104</v>
      </c>
      <c r="L2471" t="s">
        <v>276</v>
      </c>
      <c r="M2471" t="s">
        <v>631</v>
      </c>
      <c r="N2471" t="s">
        <v>276</v>
      </c>
      <c r="P2471" t="s">
        <v>260</v>
      </c>
      <c r="Q2471" t="s">
        <v>260</v>
      </c>
      <c r="R2471" t="s">
        <v>283</v>
      </c>
      <c r="S2471" t="s">
        <v>21</v>
      </c>
      <c r="T2471">
        <v>100</v>
      </c>
      <c r="W2471" t="s">
        <v>262</v>
      </c>
      <c r="X2471">
        <v>-37.008299999999998</v>
      </c>
      <c r="Y2471">
        <v>174.87049999999999</v>
      </c>
    </row>
    <row r="2472" spans="1:25" x14ac:dyDescent="0.3">
      <c r="A2472" t="s">
        <v>21</v>
      </c>
      <c r="B2472" t="s">
        <v>6484</v>
      </c>
      <c r="C2472" t="s">
        <v>270</v>
      </c>
      <c r="D2472" t="s">
        <v>6485</v>
      </c>
      <c r="E2472" t="s">
        <v>6485</v>
      </c>
      <c r="M2472" t="s">
        <v>411</v>
      </c>
      <c r="N2472" t="s">
        <v>259</v>
      </c>
      <c r="P2472" t="s">
        <v>260</v>
      </c>
      <c r="Q2472" t="s">
        <v>260</v>
      </c>
      <c r="R2472" t="s">
        <v>283</v>
      </c>
      <c r="S2472" t="s">
        <v>21</v>
      </c>
      <c r="T2472">
        <v>100</v>
      </c>
      <c r="W2472" t="s">
        <v>262</v>
      </c>
    </row>
    <row r="2473" spans="1:25" x14ac:dyDescent="0.3">
      <c r="A2473" t="s">
        <v>21</v>
      </c>
      <c r="B2473" t="s">
        <v>6486</v>
      </c>
      <c r="C2473" t="s">
        <v>2464</v>
      </c>
      <c r="D2473" t="s">
        <v>6487</v>
      </c>
      <c r="E2473">
        <v>555312</v>
      </c>
      <c r="G2473" t="s">
        <v>6488</v>
      </c>
      <c r="M2473" t="s">
        <v>425</v>
      </c>
      <c r="N2473" t="s">
        <v>276</v>
      </c>
      <c r="P2473" t="s">
        <v>260</v>
      </c>
      <c r="Q2473" t="s">
        <v>260</v>
      </c>
      <c r="R2473" t="s">
        <v>261</v>
      </c>
      <c r="S2473" t="s">
        <v>21</v>
      </c>
      <c r="T2473">
        <v>100</v>
      </c>
      <c r="W2473" t="s">
        <v>262</v>
      </c>
    </row>
    <row r="2474" spans="1:25" x14ac:dyDescent="0.3">
      <c r="A2474" t="s">
        <v>21</v>
      </c>
      <c r="B2474" t="s">
        <v>6489</v>
      </c>
      <c r="C2474" t="s">
        <v>270</v>
      </c>
      <c r="D2474" t="s">
        <v>6490</v>
      </c>
      <c r="E2474">
        <v>2000004914</v>
      </c>
      <c r="H2474" t="s">
        <v>2433</v>
      </c>
      <c r="I2474" t="s">
        <v>1343</v>
      </c>
      <c r="J2474" t="s">
        <v>297</v>
      </c>
      <c r="K2474">
        <v>2104</v>
      </c>
      <c r="L2474" t="s">
        <v>276</v>
      </c>
      <c r="M2474" t="s">
        <v>631</v>
      </c>
      <c r="N2474" t="s">
        <v>276</v>
      </c>
      <c r="P2474" t="s">
        <v>260</v>
      </c>
      <c r="Q2474" t="s">
        <v>260</v>
      </c>
      <c r="R2474" t="s">
        <v>268</v>
      </c>
      <c r="S2474" t="s">
        <v>21</v>
      </c>
      <c r="T2474">
        <v>100</v>
      </c>
      <c r="W2474" t="s">
        <v>262</v>
      </c>
      <c r="X2474">
        <v>-37.008299999999998</v>
      </c>
      <c r="Y2474">
        <v>174.87049999999999</v>
      </c>
    </row>
    <row r="2475" spans="1:25" x14ac:dyDescent="0.3">
      <c r="A2475" t="s">
        <v>21</v>
      </c>
      <c r="B2475" t="s">
        <v>6491</v>
      </c>
      <c r="C2475" t="s">
        <v>270</v>
      </c>
      <c r="D2475" t="s">
        <v>6492</v>
      </c>
      <c r="E2475">
        <v>552604</v>
      </c>
      <c r="H2475" t="s">
        <v>2433</v>
      </c>
      <c r="I2475" t="s">
        <v>1343</v>
      </c>
      <c r="J2475" t="s">
        <v>297</v>
      </c>
      <c r="K2475">
        <v>2104</v>
      </c>
      <c r="L2475" t="s">
        <v>276</v>
      </c>
      <c r="M2475" t="s">
        <v>631</v>
      </c>
      <c r="N2475" t="s">
        <v>276</v>
      </c>
      <c r="P2475" t="s">
        <v>260</v>
      </c>
      <c r="Q2475" t="s">
        <v>260</v>
      </c>
      <c r="R2475" t="s">
        <v>261</v>
      </c>
      <c r="S2475" t="s">
        <v>21</v>
      </c>
      <c r="T2475">
        <v>100</v>
      </c>
      <c r="W2475" t="s">
        <v>262</v>
      </c>
      <c r="X2475">
        <v>-37.008299999999998</v>
      </c>
      <c r="Y2475">
        <v>174.87049999999999</v>
      </c>
    </row>
    <row r="2476" spans="1:25" x14ac:dyDescent="0.3">
      <c r="A2476" t="s">
        <v>21</v>
      </c>
      <c r="B2476" t="s">
        <v>6493</v>
      </c>
      <c r="C2476" t="s">
        <v>270</v>
      </c>
      <c r="D2476" t="s">
        <v>6494</v>
      </c>
      <c r="E2476">
        <v>54940</v>
      </c>
      <c r="G2476" t="s">
        <v>6495</v>
      </c>
      <c r="M2476" t="s">
        <v>403</v>
      </c>
      <c r="N2476" t="s">
        <v>276</v>
      </c>
      <c r="P2476" t="s">
        <v>260</v>
      </c>
      <c r="Q2476" t="s">
        <v>260</v>
      </c>
      <c r="R2476" t="s">
        <v>261</v>
      </c>
      <c r="S2476" t="s">
        <v>21</v>
      </c>
      <c r="T2476">
        <v>100</v>
      </c>
      <c r="W2476" t="s">
        <v>262</v>
      </c>
    </row>
    <row r="2477" spans="1:25" x14ac:dyDescent="0.3">
      <c r="A2477" t="s">
        <v>21</v>
      </c>
      <c r="B2477" t="s">
        <v>6496</v>
      </c>
      <c r="C2477" t="s">
        <v>2630</v>
      </c>
      <c r="D2477" t="s">
        <v>6497</v>
      </c>
      <c r="E2477">
        <v>91413</v>
      </c>
      <c r="G2477" t="s">
        <v>6498</v>
      </c>
      <c r="H2477" t="s">
        <v>6499</v>
      </c>
      <c r="I2477" t="s">
        <v>6500</v>
      </c>
      <c r="K2477">
        <v>3120</v>
      </c>
      <c r="M2477" t="s">
        <v>6501</v>
      </c>
      <c r="N2477" t="s">
        <v>276</v>
      </c>
      <c r="P2477" t="s">
        <v>260</v>
      </c>
      <c r="Q2477" t="s">
        <v>260</v>
      </c>
      <c r="R2477" t="s">
        <v>293</v>
      </c>
      <c r="S2477" t="s">
        <v>21</v>
      </c>
      <c r="T2477">
        <v>100</v>
      </c>
      <c r="W2477" t="s">
        <v>262</v>
      </c>
    </row>
    <row r="2478" spans="1:25" x14ac:dyDescent="0.3">
      <c r="A2478" t="s">
        <v>21</v>
      </c>
      <c r="B2478" t="s">
        <v>6502</v>
      </c>
      <c r="C2478" t="s">
        <v>2464</v>
      </c>
      <c r="D2478" t="s">
        <v>6503</v>
      </c>
      <c r="E2478" t="s">
        <v>6504</v>
      </c>
      <c r="G2478" t="s">
        <v>6505</v>
      </c>
      <c r="M2478" t="s">
        <v>6501</v>
      </c>
      <c r="N2478" t="s">
        <v>276</v>
      </c>
      <c r="P2478" t="s">
        <v>260</v>
      </c>
      <c r="Q2478" t="s">
        <v>260</v>
      </c>
      <c r="R2478" t="s">
        <v>261</v>
      </c>
      <c r="S2478" t="s">
        <v>21</v>
      </c>
      <c r="T2478">
        <v>100</v>
      </c>
      <c r="W2478" t="s">
        <v>262</v>
      </c>
    </row>
    <row r="2479" spans="1:25" x14ac:dyDescent="0.3">
      <c r="A2479" t="s">
        <v>21</v>
      </c>
      <c r="B2479" t="s">
        <v>6506</v>
      </c>
      <c r="C2479" t="s">
        <v>270</v>
      </c>
      <c r="D2479" t="s">
        <v>6507</v>
      </c>
      <c r="E2479" t="s">
        <v>6507</v>
      </c>
      <c r="M2479" t="s">
        <v>394</v>
      </c>
      <c r="N2479" t="s">
        <v>276</v>
      </c>
      <c r="P2479" t="s">
        <v>260</v>
      </c>
      <c r="Q2479" t="s">
        <v>260</v>
      </c>
      <c r="R2479" t="s">
        <v>283</v>
      </c>
      <c r="S2479" t="s">
        <v>21</v>
      </c>
      <c r="T2479">
        <v>100</v>
      </c>
      <c r="W2479" t="s">
        <v>262</v>
      </c>
    </row>
    <row r="2480" spans="1:25" x14ac:dyDescent="0.3">
      <c r="A2480" t="s">
        <v>21</v>
      </c>
      <c r="B2480" t="s">
        <v>6508</v>
      </c>
      <c r="C2480" t="s">
        <v>270</v>
      </c>
      <c r="D2480" t="s">
        <v>824</v>
      </c>
      <c r="E2480">
        <v>55510</v>
      </c>
      <c r="H2480" t="s">
        <v>6509</v>
      </c>
      <c r="I2480" t="s">
        <v>2593</v>
      </c>
      <c r="J2480" t="s">
        <v>352</v>
      </c>
      <c r="K2480">
        <v>110</v>
      </c>
      <c r="L2480" t="s">
        <v>276</v>
      </c>
      <c r="M2480" t="s">
        <v>352</v>
      </c>
      <c r="N2480" t="s">
        <v>276</v>
      </c>
      <c r="P2480" t="s">
        <v>260</v>
      </c>
      <c r="Q2480" t="s">
        <v>260</v>
      </c>
      <c r="R2480" t="s">
        <v>261</v>
      </c>
      <c r="S2480" t="s">
        <v>21</v>
      </c>
      <c r="T2480">
        <v>100</v>
      </c>
      <c r="W2480" t="s">
        <v>262</v>
      </c>
      <c r="X2480">
        <v>-35.743099999999998</v>
      </c>
      <c r="Y2480">
        <v>174.33930000000001</v>
      </c>
    </row>
    <row r="2481" spans="1:28" x14ac:dyDescent="0.3">
      <c r="A2481" t="s">
        <v>21</v>
      </c>
      <c r="B2481" t="s">
        <v>6510</v>
      </c>
      <c r="C2481" t="s">
        <v>270</v>
      </c>
      <c r="D2481" t="s">
        <v>6511</v>
      </c>
      <c r="E2481">
        <v>553184</v>
      </c>
      <c r="F2481">
        <v>553184</v>
      </c>
      <c r="M2481" t="s">
        <v>297</v>
      </c>
      <c r="N2481" t="s">
        <v>276</v>
      </c>
      <c r="P2481" t="s">
        <v>260</v>
      </c>
      <c r="Q2481" t="s">
        <v>260</v>
      </c>
      <c r="R2481" t="s">
        <v>261</v>
      </c>
      <c r="S2481" t="s">
        <v>21</v>
      </c>
      <c r="T2481">
        <v>100</v>
      </c>
      <c r="W2481" t="s">
        <v>262</v>
      </c>
    </row>
    <row r="2482" spans="1:28" x14ac:dyDescent="0.3">
      <c r="A2482" t="s">
        <v>21</v>
      </c>
      <c r="B2482" t="s">
        <v>6512</v>
      </c>
      <c r="C2482" t="s">
        <v>253</v>
      </c>
      <c r="D2482" t="s">
        <v>6513</v>
      </c>
      <c r="E2482" t="s">
        <v>6514</v>
      </c>
      <c r="G2482" t="s">
        <v>6515</v>
      </c>
      <c r="M2482" t="s">
        <v>403</v>
      </c>
      <c r="N2482" t="s">
        <v>276</v>
      </c>
      <c r="P2482" t="s">
        <v>260</v>
      </c>
      <c r="Q2482" t="s">
        <v>260</v>
      </c>
      <c r="R2482" t="s">
        <v>261</v>
      </c>
      <c r="S2482" t="s">
        <v>21</v>
      </c>
      <c r="T2482">
        <v>100</v>
      </c>
      <c r="W2482" t="s">
        <v>262</v>
      </c>
    </row>
    <row r="2483" spans="1:28" x14ac:dyDescent="0.3">
      <c r="A2483" t="s">
        <v>21</v>
      </c>
      <c r="B2483" t="s">
        <v>6516</v>
      </c>
      <c r="C2483" t="s">
        <v>270</v>
      </c>
      <c r="D2483" t="s">
        <v>6517</v>
      </c>
      <c r="E2483" t="s">
        <v>6518</v>
      </c>
      <c r="M2483" t="s">
        <v>403</v>
      </c>
      <c r="N2483" t="s">
        <v>276</v>
      </c>
      <c r="P2483" t="s">
        <v>260</v>
      </c>
      <c r="Q2483" t="s">
        <v>260</v>
      </c>
      <c r="R2483" t="s">
        <v>261</v>
      </c>
      <c r="S2483" t="s">
        <v>21</v>
      </c>
      <c r="T2483">
        <v>100</v>
      </c>
      <c r="W2483" t="s">
        <v>262</v>
      </c>
    </row>
    <row r="2484" spans="1:28" x14ac:dyDescent="0.3">
      <c r="A2484" t="s">
        <v>21</v>
      </c>
      <c r="B2484" t="s">
        <v>6519</v>
      </c>
      <c r="C2484" t="s">
        <v>270</v>
      </c>
      <c r="D2484" t="s">
        <v>6520</v>
      </c>
      <c r="E2484">
        <v>2000004651</v>
      </c>
      <c r="H2484" t="s">
        <v>2433</v>
      </c>
      <c r="I2484" t="s">
        <v>1343</v>
      </c>
      <c r="J2484" t="s">
        <v>297</v>
      </c>
      <c r="K2484">
        <v>2104</v>
      </c>
      <c r="L2484" t="s">
        <v>276</v>
      </c>
      <c r="M2484" t="s">
        <v>631</v>
      </c>
      <c r="N2484" t="s">
        <v>276</v>
      </c>
      <c r="P2484" t="s">
        <v>260</v>
      </c>
      <c r="Q2484" t="s">
        <v>260</v>
      </c>
      <c r="R2484" t="s">
        <v>268</v>
      </c>
      <c r="S2484" t="s">
        <v>21</v>
      </c>
      <c r="T2484">
        <v>100</v>
      </c>
      <c r="W2484" t="s">
        <v>262</v>
      </c>
      <c r="X2484">
        <v>-37.008299999999998</v>
      </c>
      <c r="Y2484">
        <v>174.87049999999999</v>
      </c>
    </row>
    <row r="2485" spans="1:28" x14ac:dyDescent="0.3">
      <c r="A2485" t="s">
        <v>21</v>
      </c>
      <c r="B2485" t="s">
        <v>6521</v>
      </c>
      <c r="C2485" t="s">
        <v>270</v>
      </c>
      <c r="D2485" t="s">
        <v>6522</v>
      </c>
      <c r="E2485">
        <v>91378</v>
      </c>
      <c r="M2485" t="s">
        <v>631</v>
      </c>
      <c r="N2485" t="s">
        <v>276</v>
      </c>
      <c r="P2485" t="s">
        <v>260</v>
      </c>
      <c r="Q2485" t="s">
        <v>260</v>
      </c>
      <c r="R2485" t="s">
        <v>293</v>
      </c>
      <c r="S2485" t="s">
        <v>21</v>
      </c>
      <c r="T2485">
        <v>100</v>
      </c>
      <c r="W2485" t="s">
        <v>262</v>
      </c>
      <c r="AB2485" s="9">
        <v>45473</v>
      </c>
    </row>
    <row r="2486" spans="1:28" x14ac:dyDescent="0.3">
      <c r="A2486" t="s">
        <v>21</v>
      </c>
      <c r="B2486" t="s">
        <v>6523</v>
      </c>
      <c r="C2486" t="s">
        <v>270</v>
      </c>
      <c r="D2486" t="s">
        <v>6524</v>
      </c>
      <c r="E2486" t="s">
        <v>6524</v>
      </c>
      <c r="F2486" t="s">
        <v>6524</v>
      </c>
      <c r="M2486" t="s">
        <v>297</v>
      </c>
      <c r="N2486" t="s">
        <v>276</v>
      </c>
      <c r="P2486" t="s">
        <v>260</v>
      </c>
      <c r="Q2486" t="s">
        <v>260</v>
      </c>
      <c r="R2486" t="s">
        <v>283</v>
      </c>
      <c r="S2486" t="s">
        <v>21</v>
      </c>
      <c r="T2486">
        <v>100</v>
      </c>
      <c r="W2486" t="s">
        <v>262</v>
      </c>
    </row>
    <row r="2487" spans="1:28" x14ac:dyDescent="0.3">
      <c r="A2487" t="s">
        <v>21</v>
      </c>
      <c r="B2487" t="s">
        <v>6525</v>
      </c>
      <c r="C2487" t="s">
        <v>270</v>
      </c>
      <c r="D2487" t="s">
        <v>6526</v>
      </c>
      <c r="E2487" t="s">
        <v>6526</v>
      </c>
      <c r="M2487" t="s">
        <v>411</v>
      </c>
      <c r="N2487" t="s">
        <v>259</v>
      </c>
      <c r="P2487" t="s">
        <v>260</v>
      </c>
      <c r="Q2487" t="s">
        <v>260</v>
      </c>
      <c r="R2487" t="s">
        <v>283</v>
      </c>
      <c r="S2487" t="s">
        <v>21</v>
      </c>
      <c r="T2487">
        <v>100</v>
      </c>
      <c r="W2487" t="s">
        <v>262</v>
      </c>
    </row>
    <row r="2488" spans="1:28" x14ac:dyDescent="0.3">
      <c r="A2488" t="s">
        <v>21</v>
      </c>
      <c r="B2488" t="s">
        <v>6527</v>
      </c>
      <c r="C2488" t="s">
        <v>270</v>
      </c>
      <c r="D2488" t="s">
        <v>6528</v>
      </c>
      <c r="E2488">
        <v>10251</v>
      </c>
      <c r="G2488">
        <v>10.250999999999999</v>
      </c>
      <c r="H2488" t="s">
        <v>2433</v>
      </c>
      <c r="I2488" t="s">
        <v>1343</v>
      </c>
      <c r="J2488" t="s">
        <v>297</v>
      </c>
      <c r="K2488">
        <v>2104</v>
      </c>
      <c r="L2488" t="s">
        <v>276</v>
      </c>
      <c r="M2488" t="s">
        <v>631</v>
      </c>
      <c r="N2488" t="s">
        <v>276</v>
      </c>
      <c r="P2488" t="s">
        <v>260</v>
      </c>
      <c r="Q2488" t="s">
        <v>260</v>
      </c>
      <c r="R2488" t="s">
        <v>283</v>
      </c>
      <c r="S2488" t="s">
        <v>21</v>
      </c>
      <c r="T2488">
        <v>100</v>
      </c>
      <c r="W2488" t="s">
        <v>262</v>
      </c>
      <c r="X2488">
        <v>-37.008299999999998</v>
      </c>
      <c r="Y2488">
        <v>174.87049999999999</v>
      </c>
    </row>
    <row r="2489" spans="1:28" x14ac:dyDescent="0.3">
      <c r="A2489" t="s">
        <v>21</v>
      </c>
      <c r="B2489" t="s">
        <v>6529</v>
      </c>
      <c r="C2489" t="s">
        <v>270</v>
      </c>
      <c r="D2489" t="s">
        <v>1916</v>
      </c>
      <c r="E2489">
        <v>91145</v>
      </c>
      <c r="H2489" t="s">
        <v>2433</v>
      </c>
      <c r="I2489" t="s">
        <v>1343</v>
      </c>
      <c r="J2489" t="s">
        <v>297</v>
      </c>
      <c r="K2489">
        <v>2104</v>
      </c>
      <c r="L2489" t="s">
        <v>276</v>
      </c>
      <c r="M2489" t="s">
        <v>631</v>
      </c>
      <c r="N2489" t="s">
        <v>276</v>
      </c>
      <c r="P2489" t="s">
        <v>260</v>
      </c>
      <c r="Q2489" t="s">
        <v>260</v>
      </c>
      <c r="R2489" t="s">
        <v>293</v>
      </c>
      <c r="S2489" t="s">
        <v>21</v>
      </c>
      <c r="T2489">
        <v>100</v>
      </c>
      <c r="W2489" t="s">
        <v>262</v>
      </c>
      <c r="X2489">
        <v>-37.008299999999998</v>
      </c>
      <c r="Y2489">
        <v>174.87049999999999</v>
      </c>
    </row>
    <row r="2490" spans="1:28" x14ac:dyDescent="0.3">
      <c r="A2490" t="s">
        <v>21</v>
      </c>
      <c r="B2490" t="s">
        <v>6530</v>
      </c>
      <c r="C2490" t="s">
        <v>270</v>
      </c>
      <c r="D2490" t="s">
        <v>6531</v>
      </c>
      <c r="E2490">
        <v>2000004481</v>
      </c>
      <c r="H2490" t="s">
        <v>2433</v>
      </c>
      <c r="I2490" t="s">
        <v>1343</v>
      </c>
      <c r="J2490" t="s">
        <v>297</v>
      </c>
      <c r="K2490">
        <v>2104</v>
      </c>
      <c r="L2490" t="s">
        <v>276</v>
      </c>
      <c r="M2490" t="s">
        <v>631</v>
      </c>
      <c r="N2490" t="s">
        <v>276</v>
      </c>
      <c r="P2490" t="s">
        <v>260</v>
      </c>
      <c r="Q2490" t="s">
        <v>260</v>
      </c>
      <c r="R2490" t="s">
        <v>268</v>
      </c>
      <c r="S2490" t="s">
        <v>21</v>
      </c>
      <c r="T2490">
        <v>100</v>
      </c>
      <c r="W2490" t="s">
        <v>262</v>
      </c>
      <c r="X2490">
        <v>-37.008299999999998</v>
      </c>
      <c r="Y2490">
        <v>174.87049999999999</v>
      </c>
    </row>
    <row r="2491" spans="1:28" x14ac:dyDescent="0.3">
      <c r="A2491" t="s">
        <v>21</v>
      </c>
      <c r="B2491" t="s">
        <v>6532</v>
      </c>
      <c r="C2491" t="s">
        <v>270</v>
      </c>
      <c r="D2491" t="s">
        <v>6533</v>
      </c>
      <c r="E2491">
        <v>558010</v>
      </c>
      <c r="F2491">
        <v>558010</v>
      </c>
      <c r="M2491" t="s">
        <v>685</v>
      </c>
      <c r="N2491" t="s">
        <v>276</v>
      </c>
      <c r="P2491" t="s">
        <v>260</v>
      </c>
      <c r="Q2491" t="s">
        <v>260</v>
      </c>
      <c r="R2491" t="s">
        <v>261</v>
      </c>
      <c r="S2491" t="s">
        <v>21</v>
      </c>
      <c r="T2491">
        <v>100</v>
      </c>
      <c r="W2491" t="s">
        <v>262</v>
      </c>
    </row>
    <row r="2492" spans="1:28" x14ac:dyDescent="0.3">
      <c r="A2492" t="s">
        <v>21</v>
      </c>
      <c r="B2492" t="s">
        <v>6534</v>
      </c>
      <c r="C2492" t="s">
        <v>539</v>
      </c>
      <c r="D2492" t="s">
        <v>6535</v>
      </c>
      <c r="E2492" t="s">
        <v>6535</v>
      </c>
      <c r="M2492" t="s">
        <v>282</v>
      </c>
      <c r="N2492" t="s">
        <v>259</v>
      </c>
      <c r="P2492" t="s">
        <v>260</v>
      </c>
      <c r="Q2492" t="s">
        <v>260</v>
      </c>
      <c r="R2492" t="s">
        <v>261</v>
      </c>
      <c r="S2492" t="s">
        <v>21</v>
      </c>
      <c r="T2492">
        <v>100</v>
      </c>
      <c r="W2492" t="s">
        <v>262</v>
      </c>
    </row>
    <row r="2493" spans="1:28" ht="60" customHeight="1" x14ac:dyDescent="0.3">
      <c r="A2493" t="s">
        <v>21</v>
      </c>
      <c r="B2493" t="s">
        <v>6536</v>
      </c>
      <c r="C2493" t="s">
        <v>2423</v>
      </c>
      <c r="D2493" t="s">
        <v>6537</v>
      </c>
      <c r="E2493">
        <v>3024</v>
      </c>
      <c r="H2493" s="10" t="s">
        <v>6538</v>
      </c>
      <c r="I2493" t="s">
        <v>6539</v>
      </c>
      <c r="J2493" t="s">
        <v>366</v>
      </c>
      <c r="K2493">
        <v>2560</v>
      </c>
      <c r="M2493" t="s">
        <v>6539</v>
      </c>
      <c r="N2493" t="s">
        <v>259</v>
      </c>
      <c r="P2493" t="s">
        <v>260</v>
      </c>
      <c r="Q2493" t="s">
        <v>260</v>
      </c>
      <c r="R2493" t="s">
        <v>513</v>
      </c>
      <c r="S2493" t="s">
        <v>21</v>
      </c>
      <c r="T2493">
        <v>100</v>
      </c>
      <c r="W2493" t="s">
        <v>262</v>
      </c>
      <c r="X2493">
        <v>-34.055033999999999</v>
      </c>
      <c r="Y2493">
        <v>150.807827</v>
      </c>
      <c r="Z2493">
        <v>530</v>
      </c>
    </row>
    <row r="2494" spans="1:28" x14ac:dyDescent="0.3">
      <c r="A2494" t="s">
        <v>21</v>
      </c>
      <c r="B2494" t="s">
        <v>6540</v>
      </c>
      <c r="C2494" t="s">
        <v>2423</v>
      </c>
      <c r="D2494" t="s">
        <v>1776</v>
      </c>
      <c r="E2494">
        <v>3025</v>
      </c>
      <c r="H2494" t="s">
        <v>6541</v>
      </c>
      <c r="I2494" t="s">
        <v>6542</v>
      </c>
      <c r="J2494" t="s">
        <v>366</v>
      </c>
      <c r="K2494">
        <v>2077</v>
      </c>
      <c r="M2494" t="s">
        <v>6542</v>
      </c>
      <c r="N2494" t="s">
        <v>259</v>
      </c>
      <c r="P2494" t="s">
        <v>260</v>
      </c>
      <c r="Q2494" t="s">
        <v>260</v>
      </c>
      <c r="R2494" t="s">
        <v>513</v>
      </c>
      <c r="S2494" t="s">
        <v>21</v>
      </c>
      <c r="T2494">
        <v>100</v>
      </c>
      <c r="W2494" t="s">
        <v>262</v>
      </c>
      <c r="X2494">
        <v>-33.695284000000001</v>
      </c>
      <c r="Y2494">
        <v>151.11370199999999</v>
      </c>
      <c r="Z2494">
        <v>239</v>
      </c>
    </row>
    <row r="2495" spans="1:28" x14ac:dyDescent="0.3">
      <c r="A2495" t="s">
        <v>21</v>
      </c>
      <c r="B2495" t="s">
        <v>6543</v>
      </c>
      <c r="C2495" t="s">
        <v>270</v>
      </c>
      <c r="D2495" t="s">
        <v>6544</v>
      </c>
      <c r="E2495" t="s">
        <v>6545</v>
      </c>
      <c r="H2495" t="s">
        <v>6546</v>
      </c>
      <c r="I2495" t="s">
        <v>749</v>
      </c>
      <c r="J2495" t="s">
        <v>749</v>
      </c>
      <c r="K2495">
        <v>9300</v>
      </c>
      <c r="L2495" t="s">
        <v>276</v>
      </c>
      <c r="M2495" t="s">
        <v>749</v>
      </c>
      <c r="N2495" t="s">
        <v>276</v>
      </c>
      <c r="P2495" t="s">
        <v>260</v>
      </c>
      <c r="Q2495" t="s">
        <v>260</v>
      </c>
      <c r="R2495" t="s">
        <v>261</v>
      </c>
      <c r="S2495" t="s">
        <v>21</v>
      </c>
      <c r="T2495">
        <v>100</v>
      </c>
      <c r="W2495" t="s">
        <v>262</v>
      </c>
      <c r="X2495">
        <v>-45.031100000000002</v>
      </c>
      <c r="Y2495">
        <v>168.66300000000001</v>
      </c>
    </row>
    <row r="2496" spans="1:28" x14ac:dyDescent="0.3">
      <c r="A2496" t="s">
        <v>21</v>
      </c>
      <c r="B2496" t="s">
        <v>6547</v>
      </c>
      <c r="C2496" t="s">
        <v>439</v>
      </c>
      <c r="D2496" t="s">
        <v>876</v>
      </c>
      <c r="E2496" t="s">
        <v>876</v>
      </c>
      <c r="M2496" t="s">
        <v>282</v>
      </c>
      <c r="N2496" t="s">
        <v>259</v>
      </c>
      <c r="P2496" t="s">
        <v>260</v>
      </c>
      <c r="Q2496" t="s">
        <v>260</v>
      </c>
      <c r="R2496" t="s">
        <v>283</v>
      </c>
      <c r="S2496" t="s">
        <v>21</v>
      </c>
      <c r="T2496">
        <v>100</v>
      </c>
      <c r="W2496" t="s">
        <v>262</v>
      </c>
    </row>
    <row r="2497" spans="1:26" x14ac:dyDescent="0.3">
      <c r="A2497" t="s">
        <v>21</v>
      </c>
      <c r="B2497" t="s">
        <v>6548</v>
      </c>
      <c r="C2497" t="s">
        <v>439</v>
      </c>
      <c r="D2497" t="s">
        <v>876</v>
      </c>
      <c r="E2497" t="s">
        <v>876</v>
      </c>
      <c r="M2497" t="s">
        <v>282</v>
      </c>
      <c r="N2497" t="s">
        <v>259</v>
      </c>
      <c r="P2497" t="s">
        <v>260</v>
      </c>
      <c r="Q2497" t="s">
        <v>260</v>
      </c>
      <c r="R2497" t="s">
        <v>283</v>
      </c>
      <c r="S2497" t="s">
        <v>21</v>
      </c>
      <c r="T2497">
        <v>100</v>
      </c>
      <c r="W2497" t="s">
        <v>262</v>
      </c>
    </row>
    <row r="2498" spans="1:26" x14ac:dyDescent="0.3">
      <c r="A2498" t="s">
        <v>21</v>
      </c>
      <c r="B2498" t="s">
        <v>6549</v>
      </c>
      <c r="C2498" t="s">
        <v>270</v>
      </c>
      <c r="D2498" t="s">
        <v>3905</v>
      </c>
      <c r="E2498">
        <v>1018</v>
      </c>
      <c r="M2498" t="s">
        <v>312</v>
      </c>
      <c r="N2498" t="s">
        <v>259</v>
      </c>
      <c r="P2498" t="s">
        <v>260</v>
      </c>
      <c r="Q2498" t="s">
        <v>260</v>
      </c>
      <c r="R2498" t="s">
        <v>1625</v>
      </c>
      <c r="S2498" t="s">
        <v>21</v>
      </c>
      <c r="T2498">
        <v>100</v>
      </c>
      <c r="W2498" t="s">
        <v>262</v>
      </c>
      <c r="X2498">
        <v>-33.793999999999997</v>
      </c>
      <c r="Y2498">
        <v>151.13900000000001</v>
      </c>
      <c r="Z2498">
        <v>729</v>
      </c>
    </row>
    <row r="2499" spans="1:26" x14ac:dyDescent="0.3">
      <c r="A2499" t="s">
        <v>21</v>
      </c>
      <c r="B2499" t="s">
        <v>6550</v>
      </c>
      <c r="C2499" t="s">
        <v>299</v>
      </c>
      <c r="D2499" t="s">
        <v>6551</v>
      </c>
      <c r="G2499" t="s">
        <v>6552</v>
      </c>
      <c r="H2499" t="s">
        <v>6553</v>
      </c>
      <c r="I2499" t="s">
        <v>526</v>
      </c>
      <c r="J2499" t="s">
        <v>335</v>
      </c>
      <c r="L2499" t="s">
        <v>259</v>
      </c>
      <c r="M2499" t="s">
        <v>282</v>
      </c>
      <c r="N2499" t="s">
        <v>259</v>
      </c>
      <c r="P2499" t="s">
        <v>260</v>
      </c>
      <c r="Q2499" t="s">
        <v>260</v>
      </c>
      <c r="R2499" t="s">
        <v>283</v>
      </c>
      <c r="S2499" t="s">
        <v>21</v>
      </c>
      <c r="T2499">
        <v>100</v>
      </c>
      <c r="W2499" t="s">
        <v>262</v>
      </c>
      <c r="X2499">
        <v>-37.836927000000003</v>
      </c>
      <c r="Y2499">
        <v>144.975583</v>
      </c>
      <c r="Z2499">
        <v>310</v>
      </c>
    </row>
    <row r="2500" spans="1:26" x14ac:dyDescent="0.3">
      <c r="A2500" t="s">
        <v>21</v>
      </c>
      <c r="B2500" t="s">
        <v>6554</v>
      </c>
      <c r="C2500" t="s">
        <v>270</v>
      </c>
      <c r="D2500" t="s">
        <v>6555</v>
      </c>
      <c r="E2500">
        <v>55914</v>
      </c>
      <c r="H2500" t="s">
        <v>2433</v>
      </c>
      <c r="I2500" t="s">
        <v>1343</v>
      </c>
      <c r="J2500" t="s">
        <v>297</v>
      </c>
      <c r="K2500">
        <v>2104</v>
      </c>
      <c r="L2500" t="s">
        <v>276</v>
      </c>
      <c r="M2500" t="s">
        <v>631</v>
      </c>
      <c r="N2500" t="s">
        <v>276</v>
      </c>
      <c r="P2500" t="s">
        <v>260</v>
      </c>
      <c r="Q2500" t="s">
        <v>260</v>
      </c>
      <c r="R2500" t="s">
        <v>261</v>
      </c>
      <c r="S2500" t="s">
        <v>21</v>
      </c>
      <c r="T2500">
        <v>100</v>
      </c>
      <c r="W2500" t="s">
        <v>262</v>
      </c>
      <c r="X2500">
        <v>-37.008299999999998</v>
      </c>
      <c r="Y2500">
        <v>174.87049999999999</v>
      </c>
    </row>
    <row r="2501" spans="1:26" x14ac:dyDescent="0.3">
      <c r="A2501" t="s">
        <v>21</v>
      </c>
      <c r="B2501" t="s">
        <v>6556</v>
      </c>
      <c r="C2501" t="s">
        <v>270</v>
      </c>
      <c r="D2501" t="s">
        <v>6557</v>
      </c>
      <c r="E2501">
        <v>10014</v>
      </c>
      <c r="G2501" t="s">
        <v>6558</v>
      </c>
      <c r="M2501" t="s">
        <v>394</v>
      </c>
      <c r="N2501" t="s">
        <v>276</v>
      </c>
      <c r="P2501" t="s">
        <v>260</v>
      </c>
      <c r="Q2501" t="s">
        <v>260</v>
      </c>
      <c r="R2501" t="s">
        <v>283</v>
      </c>
      <c r="S2501" t="s">
        <v>21</v>
      </c>
      <c r="T2501">
        <v>100</v>
      </c>
      <c r="W2501" t="s">
        <v>262</v>
      </c>
    </row>
    <row r="2571" spans="7:28" x14ac:dyDescent="0.3">
      <c r="AB2571" s="9"/>
    </row>
    <row r="2573" spans="7:28" x14ac:dyDescent="0.3">
      <c r="AB2573" s="9"/>
    </row>
    <row r="2575" spans="7:28" x14ac:dyDescent="0.3">
      <c r="G2575" s="10"/>
    </row>
    <row r="2586" spans="7:7" x14ac:dyDescent="0.3">
      <c r="G2586" s="10"/>
    </row>
    <row r="2662" spans="27:27" x14ac:dyDescent="0.3">
      <c r="AA2662" s="9"/>
    </row>
    <row r="2689" spans="7:22" x14ac:dyDescent="0.3">
      <c r="G2689" s="10"/>
    </row>
    <row r="2691" spans="7:22" x14ac:dyDescent="0.3">
      <c r="V2691" s="9"/>
    </row>
    <row r="2692" spans="7:22" x14ac:dyDescent="0.3">
      <c r="U2692" s="9"/>
    </row>
    <row r="2768" spans="7:7" x14ac:dyDescent="0.3">
      <c r="G2768" s="10"/>
    </row>
    <row r="3010" spans="7:7" x14ac:dyDescent="0.3">
      <c r="G3010" s="10"/>
    </row>
    <row r="3011" spans="7:7" x14ac:dyDescent="0.3">
      <c r="G3011" s="10"/>
    </row>
    <row r="3012" spans="7:7" x14ac:dyDescent="0.3">
      <c r="G3012" s="10"/>
    </row>
    <row r="3013" spans="7:7" x14ac:dyDescent="0.3">
      <c r="G3013" s="10"/>
    </row>
    <row r="3023" spans="7:7" x14ac:dyDescent="0.3">
      <c r="G3023" s="10"/>
    </row>
    <row r="3030" spans="8:8" x14ac:dyDescent="0.3">
      <c r="H3030" s="10"/>
    </row>
    <row r="3051" spans="27:27" x14ac:dyDescent="0.3">
      <c r="AA3051" s="9"/>
    </row>
    <row r="3088" spans="7:7" x14ac:dyDescent="0.3">
      <c r="G3088" s="10"/>
    </row>
    <row r="3089" spans="7:7" x14ac:dyDescent="0.3">
      <c r="G3089" s="10"/>
    </row>
    <row r="3105" spans="7:7" x14ac:dyDescent="0.3">
      <c r="G3105" s="10"/>
    </row>
    <row r="3130" spans="28:28" x14ac:dyDescent="0.3">
      <c r="AB3130" s="9"/>
    </row>
    <row r="3152" spans="28:28" x14ac:dyDescent="0.3">
      <c r="AB3152" s="9"/>
    </row>
    <row r="3166" spans="7:7" x14ac:dyDescent="0.3">
      <c r="G3166" s="10"/>
    </row>
    <row r="3194" spans="28:28" x14ac:dyDescent="0.3">
      <c r="AB3194" s="9"/>
    </row>
    <row r="3215" spans="7:7" x14ac:dyDescent="0.3">
      <c r="G3215" s="10"/>
    </row>
    <row r="3218" spans="21:28" x14ac:dyDescent="0.3">
      <c r="AA3218" s="9"/>
      <c r="AB3218" s="9"/>
    </row>
    <row r="3221" spans="21:28" x14ac:dyDescent="0.3">
      <c r="U3221" s="9"/>
      <c r="AA3221" s="9"/>
    </row>
    <row r="3244" spans="7:7" x14ac:dyDescent="0.3">
      <c r="G3244" s="10"/>
    </row>
    <row r="3261" spans="21:21" x14ac:dyDescent="0.3">
      <c r="U3261" s="9"/>
    </row>
    <row r="3265" spans="21:27" x14ac:dyDescent="0.3">
      <c r="AA3265" s="9"/>
    </row>
    <row r="3269" spans="21:27" x14ac:dyDescent="0.3">
      <c r="U3269" s="9"/>
    </row>
    <row r="3270" spans="21:27" x14ac:dyDescent="0.3">
      <c r="U3270" s="9"/>
    </row>
    <row r="3271" spans="21:27" x14ac:dyDescent="0.3">
      <c r="U3271" s="9"/>
    </row>
    <row r="3272" spans="21:27" x14ac:dyDescent="0.3">
      <c r="U3272" s="9"/>
    </row>
    <row r="3273" spans="21:27" x14ac:dyDescent="0.3">
      <c r="U3273" s="9"/>
    </row>
    <row r="3274" spans="21:27" x14ac:dyDescent="0.3">
      <c r="U3274" s="9"/>
    </row>
    <row r="3275" spans="21:27" x14ac:dyDescent="0.3">
      <c r="U3275" s="9"/>
    </row>
    <row r="3338" spans="8:22" x14ac:dyDescent="0.3">
      <c r="V3338" s="9"/>
    </row>
    <row r="3339" spans="8:22" x14ac:dyDescent="0.3">
      <c r="U3339" s="9"/>
    </row>
    <row r="3341" spans="8:22" x14ac:dyDescent="0.3">
      <c r="H3341" s="10"/>
    </row>
    <row r="3350" spans="28:28" x14ac:dyDescent="0.3">
      <c r="AB3350" s="9"/>
    </row>
    <row r="3387" spans="7:8" x14ac:dyDescent="0.3">
      <c r="G3387" s="10"/>
    </row>
    <row r="3389" spans="7:8" x14ac:dyDescent="0.3">
      <c r="G3389" s="10"/>
      <c r="H3389" s="10"/>
    </row>
    <row r="3391" spans="7:8" x14ac:dyDescent="0.3">
      <c r="G3391" s="10"/>
      <c r="H3391" s="10"/>
    </row>
    <row r="3426" spans="8:28" x14ac:dyDescent="0.3">
      <c r="AB3426" s="9"/>
    </row>
    <row r="3437" spans="8:28" x14ac:dyDescent="0.3">
      <c r="H3437" s="10"/>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6"/>
  <sheetViews>
    <sheetView zoomScaleNormal="100" workbookViewId="0">
      <selection activeCell="D31" sqref="D31"/>
    </sheetView>
  </sheetViews>
  <sheetFormatPr defaultColWidth="8.5546875" defaultRowHeight="14.4" x14ac:dyDescent="0.3"/>
  <cols>
    <col min="4" max="4" width="47.109375" customWidth="1"/>
    <col min="10" max="10" width="51.33203125" customWidth="1"/>
  </cols>
  <sheetData>
    <row r="1" spans="1:35" x14ac:dyDescent="0.3">
      <c r="A1" t="s">
        <v>6559</v>
      </c>
      <c r="B1" t="s">
        <v>6560</v>
      </c>
      <c r="C1" t="s">
        <v>225</v>
      </c>
      <c r="D1" t="s">
        <v>2</v>
      </c>
      <c r="E1" t="s">
        <v>6561</v>
      </c>
      <c r="F1" t="s">
        <v>6562</v>
      </c>
      <c r="G1" t="s">
        <v>6563</v>
      </c>
      <c r="H1" t="s">
        <v>6564</v>
      </c>
      <c r="I1" t="s">
        <v>6565</v>
      </c>
      <c r="J1" t="s">
        <v>7</v>
      </c>
      <c r="K1" t="s">
        <v>8</v>
      </c>
      <c r="L1" t="s">
        <v>6566</v>
      </c>
      <c r="M1" t="s">
        <v>6567</v>
      </c>
      <c r="N1" t="s">
        <v>250</v>
      </c>
      <c r="O1" t="s">
        <v>6568</v>
      </c>
      <c r="P1" t="s">
        <v>6569</v>
      </c>
      <c r="Q1" t="s">
        <v>6570</v>
      </c>
      <c r="R1" t="s">
        <v>6571</v>
      </c>
      <c r="S1" t="s">
        <v>6572</v>
      </c>
      <c r="T1" t="s">
        <v>6573</v>
      </c>
      <c r="U1" t="s">
        <v>6574</v>
      </c>
      <c r="V1" t="s">
        <v>6575</v>
      </c>
      <c r="W1" t="s">
        <v>6576</v>
      </c>
      <c r="X1" t="s">
        <v>6577</v>
      </c>
      <c r="Y1" t="s">
        <v>6578</v>
      </c>
      <c r="Z1" t="s">
        <v>6579</v>
      </c>
      <c r="AA1" t="s">
        <v>6580</v>
      </c>
      <c r="AB1" t="s">
        <v>6581</v>
      </c>
      <c r="AC1" t="s">
        <v>6582</v>
      </c>
      <c r="AD1" t="s">
        <v>6583</v>
      </c>
      <c r="AE1" t="s">
        <v>6584</v>
      </c>
      <c r="AF1" t="s">
        <v>6585</v>
      </c>
      <c r="AG1" t="s">
        <v>6586</v>
      </c>
      <c r="AH1" t="s">
        <v>6587</v>
      </c>
      <c r="AI1" t="s">
        <v>6588</v>
      </c>
    </row>
    <row r="2" spans="1:35" x14ac:dyDescent="0.3">
      <c r="A2">
        <v>6044548</v>
      </c>
      <c r="B2">
        <v>6325209</v>
      </c>
      <c r="C2" t="s">
        <v>21</v>
      </c>
      <c r="D2" t="s">
        <v>5366</v>
      </c>
      <c r="E2" t="s">
        <v>5368</v>
      </c>
      <c r="F2" t="s">
        <v>6589</v>
      </c>
      <c r="G2" t="s">
        <v>24</v>
      </c>
      <c r="I2" t="s">
        <v>21</v>
      </c>
      <c r="J2" t="s">
        <v>6590</v>
      </c>
      <c r="K2" t="s">
        <v>5366</v>
      </c>
      <c r="L2" t="s">
        <v>26</v>
      </c>
      <c r="AF2" t="s">
        <v>6591</v>
      </c>
      <c r="AG2" t="s">
        <v>6592</v>
      </c>
      <c r="AH2" t="s">
        <v>6592</v>
      </c>
      <c r="AI2" s="12">
        <v>45735.809027777803</v>
      </c>
    </row>
    <row r="3" spans="1:35" x14ac:dyDescent="0.3">
      <c r="A3">
        <v>6044557</v>
      </c>
      <c r="B3">
        <v>6325210</v>
      </c>
      <c r="C3" t="s">
        <v>21</v>
      </c>
      <c r="D3" t="s">
        <v>106</v>
      </c>
      <c r="E3" t="s">
        <v>107</v>
      </c>
      <c r="F3" t="s">
        <v>6589</v>
      </c>
      <c r="G3" t="s">
        <v>24</v>
      </c>
      <c r="I3" t="s">
        <v>21</v>
      </c>
      <c r="J3" t="s">
        <v>6593</v>
      </c>
      <c r="K3" t="s">
        <v>106</v>
      </c>
      <c r="L3" t="s">
        <v>26</v>
      </c>
      <c r="AF3" t="s">
        <v>6591</v>
      </c>
      <c r="AG3" t="s">
        <v>6592</v>
      </c>
      <c r="AH3" t="s">
        <v>6592</v>
      </c>
      <c r="AI3" s="12">
        <v>45735.809027777803</v>
      </c>
    </row>
    <row r="4" spans="1:35" x14ac:dyDescent="0.3">
      <c r="A4">
        <v>6044537</v>
      </c>
      <c r="B4">
        <v>6325211</v>
      </c>
      <c r="C4" t="s">
        <v>21</v>
      </c>
      <c r="D4" t="s">
        <v>174</v>
      </c>
      <c r="E4" t="s">
        <v>175</v>
      </c>
      <c r="F4" t="s">
        <v>6589</v>
      </c>
      <c r="G4" t="s">
        <v>24</v>
      </c>
      <c r="I4" t="s">
        <v>21</v>
      </c>
      <c r="J4" t="s">
        <v>6594</v>
      </c>
      <c r="K4" t="s">
        <v>174</v>
      </c>
      <c r="L4" t="s">
        <v>26</v>
      </c>
      <c r="AF4" t="s">
        <v>6591</v>
      </c>
      <c r="AG4" t="s">
        <v>6592</v>
      </c>
      <c r="AH4" t="s">
        <v>6592</v>
      </c>
      <c r="AI4" s="12">
        <v>45735.809027777803</v>
      </c>
    </row>
    <row r="5" spans="1:35" x14ac:dyDescent="0.3">
      <c r="A5">
        <v>6044561</v>
      </c>
      <c r="B5">
        <v>6325212</v>
      </c>
      <c r="C5" t="s">
        <v>21</v>
      </c>
      <c r="D5" t="s">
        <v>102</v>
      </c>
      <c r="E5" t="s">
        <v>103</v>
      </c>
      <c r="F5" t="s">
        <v>6589</v>
      </c>
      <c r="G5" t="s">
        <v>24</v>
      </c>
      <c r="I5" t="s">
        <v>21</v>
      </c>
      <c r="J5" t="s">
        <v>6595</v>
      </c>
      <c r="K5" t="s">
        <v>102</v>
      </c>
      <c r="L5" t="s">
        <v>26</v>
      </c>
      <c r="AF5" t="s">
        <v>6591</v>
      </c>
      <c r="AG5" t="s">
        <v>6592</v>
      </c>
      <c r="AH5" t="s">
        <v>6592</v>
      </c>
      <c r="AI5" s="12">
        <v>45735.809027777803</v>
      </c>
    </row>
    <row r="6" spans="1:35" x14ac:dyDescent="0.3">
      <c r="A6">
        <v>6046098</v>
      </c>
      <c r="B6">
        <v>6325213</v>
      </c>
      <c r="C6" t="s">
        <v>21</v>
      </c>
      <c r="D6" t="s">
        <v>5375</v>
      </c>
      <c r="E6" t="s">
        <v>882</v>
      </c>
      <c r="F6" t="s">
        <v>6589</v>
      </c>
      <c r="G6" t="s">
        <v>24</v>
      </c>
      <c r="I6" t="s">
        <v>21</v>
      </c>
      <c r="J6" t="s">
        <v>6596</v>
      </c>
      <c r="K6" t="s">
        <v>5375</v>
      </c>
      <c r="L6" t="s">
        <v>26</v>
      </c>
      <c r="AF6" t="s">
        <v>6591</v>
      </c>
      <c r="AG6" t="s">
        <v>6592</v>
      </c>
      <c r="AH6" t="s">
        <v>6592</v>
      </c>
      <c r="AI6" s="12">
        <v>45735.809027777803</v>
      </c>
    </row>
    <row r="7" spans="1:35" x14ac:dyDescent="0.3">
      <c r="A7">
        <v>6046337</v>
      </c>
      <c r="B7">
        <v>6325214</v>
      </c>
      <c r="C7" t="s">
        <v>21</v>
      </c>
      <c r="D7" t="s">
        <v>5382</v>
      </c>
      <c r="E7" t="s">
        <v>5383</v>
      </c>
      <c r="F7" t="s">
        <v>6589</v>
      </c>
      <c r="G7" t="s">
        <v>24</v>
      </c>
      <c r="I7" t="s">
        <v>21</v>
      </c>
      <c r="J7" t="s">
        <v>6597</v>
      </c>
      <c r="K7" t="s">
        <v>5382</v>
      </c>
      <c r="L7" t="s">
        <v>26</v>
      </c>
      <c r="AF7" t="s">
        <v>6591</v>
      </c>
      <c r="AG7" t="s">
        <v>6592</v>
      </c>
      <c r="AH7" t="s">
        <v>6592</v>
      </c>
      <c r="AI7" s="12">
        <v>45735.809027777803</v>
      </c>
    </row>
    <row r="8" spans="1:35" x14ac:dyDescent="0.3">
      <c r="A8">
        <v>6046339</v>
      </c>
      <c r="B8">
        <v>6325215</v>
      </c>
      <c r="C8" t="s">
        <v>21</v>
      </c>
      <c r="D8" t="s">
        <v>97</v>
      </c>
      <c r="E8" t="s">
        <v>98</v>
      </c>
      <c r="F8" t="s">
        <v>6589</v>
      </c>
      <c r="G8" t="s">
        <v>24</v>
      </c>
      <c r="I8" t="s">
        <v>21</v>
      </c>
      <c r="J8" t="s">
        <v>6598</v>
      </c>
      <c r="K8" t="s">
        <v>97</v>
      </c>
      <c r="L8" t="s">
        <v>26</v>
      </c>
      <c r="AF8" t="s">
        <v>6591</v>
      </c>
      <c r="AG8" t="s">
        <v>6592</v>
      </c>
      <c r="AH8" t="s">
        <v>6592</v>
      </c>
      <c r="AI8" s="12">
        <v>45735.809027777803</v>
      </c>
    </row>
    <row r="9" spans="1:35" x14ac:dyDescent="0.3">
      <c r="A9">
        <v>6046332</v>
      </c>
      <c r="B9">
        <v>6325216</v>
      </c>
      <c r="C9" t="s">
        <v>21</v>
      </c>
      <c r="D9" t="s">
        <v>48</v>
      </c>
      <c r="E9" t="s">
        <v>49</v>
      </c>
      <c r="F9" t="s">
        <v>6589</v>
      </c>
      <c r="G9" t="s">
        <v>24</v>
      </c>
      <c r="I9" t="s">
        <v>21</v>
      </c>
      <c r="J9" t="s">
        <v>6599</v>
      </c>
      <c r="K9" t="s">
        <v>48</v>
      </c>
      <c r="L9" t="s">
        <v>26</v>
      </c>
      <c r="AF9" t="s">
        <v>6591</v>
      </c>
      <c r="AG9" t="s">
        <v>6592</v>
      </c>
      <c r="AH9" t="s">
        <v>6592</v>
      </c>
      <c r="AI9" s="12">
        <v>45735.809027777803</v>
      </c>
    </row>
    <row r="10" spans="1:35" x14ac:dyDescent="0.3">
      <c r="A10">
        <v>6044562</v>
      </c>
      <c r="B10">
        <v>6325217</v>
      </c>
      <c r="C10" t="s">
        <v>21</v>
      </c>
      <c r="D10" t="s">
        <v>122</v>
      </c>
      <c r="E10" t="s">
        <v>123</v>
      </c>
      <c r="F10" t="s">
        <v>6589</v>
      </c>
      <c r="G10" t="s">
        <v>24</v>
      </c>
      <c r="I10" t="s">
        <v>21</v>
      </c>
      <c r="J10" t="s">
        <v>6600</v>
      </c>
      <c r="K10" t="s">
        <v>122</v>
      </c>
      <c r="L10" t="s">
        <v>26</v>
      </c>
      <c r="AF10" t="s">
        <v>6591</v>
      </c>
      <c r="AG10" t="s">
        <v>6592</v>
      </c>
      <c r="AH10" t="s">
        <v>6592</v>
      </c>
      <c r="AI10" s="12">
        <v>45735.809027777803</v>
      </c>
    </row>
    <row r="11" spans="1:35" x14ac:dyDescent="0.3">
      <c r="A11">
        <v>6044532</v>
      </c>
      <c r="B11">
        <v>6325218</v>
      </c>
      <c r="C11" t="s">
        <v>21</v>
      </c>
      <c r="D11" t="s">
        <v>5387</v>
      </c>
      <c r="E11" t="s">
        <v>5388</v>
      </c>
      <c r="F11" t="s">
        <v>6589</v>
      </c>
      <c r="G11" t="s">
        <v>24</v>
      </c>
      <c r="I11" t="s">
        <v>21</v>
      </c>
      <c r="J11" t="s">
        <v>6601</v>
      </c>
      <c r="K11" t="s">
        <v>5387</v>
      </c>
      <c r="L11" t="s">
        <v>26</v>
      </c>
      <c r="AF11" t="s">
        <v>6591</v>
      </c>
      <c r="AG11" t="s">
        <v>6592</v>
      </c>
      <c r="AH11" t="s">
        <v>6592</v>
      </c>
      <c r="AI11" s="12">
        <v>45735.809027777803</v>
      </c>
    </row>
    <row r="12" spans="1:35" x14ac:dyDescent="0.3">
      <c r="A12">
        <v>6044560</v>
      </c>
      <c r="B12">
        <v>6325219</v>
      </c>
      <c r="C12" t="s">
        <v>21</v>
      </c>
      <c r="D12" t="s">
        <v>132</v>
      </c>
      <c r="E12" t="s">
        <v>133</v>
      </c>
      <c r="F12" t="s">
        <v>6589</v>
      </c>
      <c r="G12" t="s">
        <v>24</v>
      </c>
      <c r="I12" t="s">
        <v>21</v>
      </c>
      <c r="J12" t="s">
        <v>6602</v>
      </c>
      <c r="K12" t="s">
        <v>132</v>
      </c>
      <c r="L12" t="s">
        <v>26</v>
      </c>
      <c r="AF12" t="s">
        <v>6591</v>
      </c>
      <c r="AG12" t="s">
        <v>6592</v>
      </c>
      <c r="AH12" t="s">
        <v>6592</v>
      </c>
      <c r="AI12" s="12">
        <v>45735.809027777803</v>
      </c>
    </row>
    <row r="13" spans="1:35" x14ac:dyDescent="0.3">
      <c r="A13">
        <v>6046338</v>
      </c>
      <c r="B13">
        <v>6325220</v>
      </c>
      <c r="C13" t="s">
        <v>21</v>
      </c>
      <c r="D13" t="s">
        <v>5398</v>
      </c>
      <c r="E13" t="s">
        <v>5399</v>
      </c>
      <c r="F13" t="s">
        <v>6589</v>
      </c>
      <c r="G13" t="s">
        <v>24</v>
      </c>
      <c r="I13" t="s">
        <v>21</v>
      </c>
      <c r="J13" t="s">
        <v>6603</v>
      </c>
      <c r="K13" t="s">
        <v>5398</v>
      </c>
      <c r="L13" t="s">
        <v>26</v>
      </c>
      <c r="AF13" t="s">
        <v>6591</v>
      </c>
      <c r="AG13" t="s">
        <v>6592</v>
      </c>
      <c r="AH13" t="s">
        <v>6592</v>
      </c>
      <c r="AI13" s="12">
        <v>45735.809027777803</v>
      </c>
    </row>
    <row r="14" spans="1:35" x14ac:dyDescent="0.3">
      <c r="A14">
        <v>6044549</v>
      </c>
      <c r="B14">
        <v>6325221</v>
      </c>
      <c r="C14" t="s">
        <v>21</v>
      </c>
      <c r="D14" t="s">
        <v>179</v>
      </c>
      <c r="E14" t="s">
        <v>180</v>
      </c>
      <c r="F14" t="s">
        <v>6589</v>
      </c>
      <c r="G14" t="s">
        <v>24</v>
      </c>
      <c r="I14" t="s">
        <v>21</v>
      </c>
      <c r="J14" t="s">
        <v>6604</v>
      </c>
      <c r="K14" t="s">
        <v>179</v>
      </c>
      <c r="L14" t="s">
        <v>26</v>
      </c>
      <c r="AF14" t="s">
        <v>6591</v>
      </c>
      <c r="AG14" t="s">
        <v>6592</v>
      </c>
      <c r="AH14" t="s">
        <v>6592</v>
      </c>
      <c r="AI14" s="12">
        <v>45735.809027777803</v>
      </c>
    </row>
    <row r="15" spans="1:35" x14ac:dyDescent="0.3">
      <c r="A15">
        <v>6044547</v>
      </c>
      <c r="B15">
        <v>6325222</v>
      </c>
      <c r="C15" t="s">
        <v>21</v>
      </c>
      <c r="D15" t="s">
        <v>183</v>
      </c>
      <c r="E15" t="s">
        <v>184</v>
      </c>
      <c r="F15" t="s">
        <v>6589</v>
      </c>
      <c r="G15" t="s">
        <v>24</v>
      </c>
      <c r="I15" t="s">
        <v>21</v>
      </c>
      <c r="J15" t="s">
        <v>6605</v>
      </c>
      <c r="K15" t="s">
        <v>183</v>
      </c>
      <c r="L15" t="s">
        <v>26</v>
      </c>
      <c r="AF15" t="s">
        <v>6591</v>
      </c>
      <c r="AG15" t="s">
        <v>6592</v>
      </c>
      <c r="AH15" t="s">
        <v>6592</v>
      </c>
      <c r="AI15" s="12">
        <v>45735.809027777803</v>
      </c>
    </row>
    <row r="16" spans="1:35" x14ac:dyDescent="0.3">
      <c r="A16">
        <v>6046340</v>
      </c>
      <c r="B16">
        <v>6325223</v>
      </c>
      <c r="C16" t="s">
        <v>21</v>
      </c>
      <c r="D16" t="s">
        <v>116</v>
      </c>
      <c r="E16" t="s">
        <v>117</v>
      </c>
      <c r="F16" t="s">
        <v>6589</v>
      </c>
      <c r="G16" t="s">
        <v>24</v>
      </c>
      <c r="I16" t="s">
        <v>21</v>
      </c>
      <c r="J16" t="s">
        <v>6606</v>
      </c>
      <c r="K16" t="s">
        <v>116</v>
      </c>
      <c r="L16" t="s">
        <v>26</v>
      </c>
      <c r="AF16" t="s">
        <v>6591</v>
      </c>
      <c r="AG16" t="s">
        <v>6592</v>
      </c>
      <c r="AH16" t="s">
        <v>6592</v>
      </c>
      <c r="AI16" s="12">
        <v>45735.809027777803</v>
      </c>
    </row>
    <row r="17" spans="1:35" x14ac:dyDescent="0.3">
      <c r="A17">
        <v>6044542</v>
      </c>
      <c r="B17">
        <v>6325224</v>
      </c>
      <c r="C17" t="s">
        <v>21</v>
      </c>
      <c r="D17" t="s">
        <v>87</v>
      </c>
      <c r="E17" t="s">
        <v>88</v>
      </c>
      <c r="F17" t="s">
        <v>6589</v>
      </c>
      <c r="G17" t="s">
        <v>24</v>
      </c>
      <c r="I17" t="s">
        <v>21</v>
      </c>
      <c r="J17" t="s">
        <v>6607</v>
      </c>
      <c r="K17" t="s">
        <v>87</v>
      </c>
      <c r="L17" t="s">
        <v>26</v>
      </c>
      <c r="AF17" t="s">
        <v>6591</v>
      </c>
      <c r="AG17" t="s">
        <v>6592</v>
      </c>
      <c r="AH17" t="s">
        <v>6592</v>
      </c>
      <c r="AI17" s="12">
        <v>45735.809027777803</v>
      </c>
    </row>
    <row r="18" spans="1:35" x14ac:dyDescent="0.3">
      <c r="A18">
        <v>6046344</v>
      </c>
      <c r="B18">
        <v>6325225</v>
      </c>
      <c r="C18" t="s">
        <v>21</v>
      </c>
      <c r="D18" t="s">
        <v>5404</v>
      </c>
      <c r="E18" t="s">
        <v>5405</v>
      </c>
      <c r="F18" t="s">
        <v>6589</v>
      </c>
      <c r="G18" t="s">
        <v>24</v>
      </c>
      <c r="I18" t="s">
        <v>21</v>
      </c>
      <c r="J18" t="s">
        <v>6608</v>
      </c>
      <c r="K18" t="s">
        <v>5404</v>
      </c>
      <c r="L18" t="s">
        <v>26</v>
      </c>
      <c r="AF18" t="s">
        <v>6591</v>
      </c>
      <c r="AG18" t="s">
        <v>6592</v>
      </c>
      <c r="AH18" t="s">
        <v>6592</v>
      </c>
      <c r="AI18" s="12">
        <v>45735.809027777803</v>
      </c>
    </row>
    <row r="19" spans="1:35" x14ac:dyDescent="0.3">
      <c r="A19">
        <v>6046335</v>
      </c>
      <c r="B19">
        <v>6325226</v>
      </c>
      <c r="C19" t="s">
        <v>21</v>
      </c>
      <c r="D19" t="s">
        <v>66</v>
      </c>
      <c r="E19" t="s">
        <v>67</v>
      </c>
      <c r="F19" t="s">
        <v>6589</v>
      </c>
      <c r="G19" t="s">
        <v>24</v>
      </c>
      <c r="I19" t="s">
        <v>21</v>
      </c>
      <c r="J19" t="s">
        <v>6609</v>
      </c>
      <c r="K19" t="s">
        <v>66</v>
      </c>
      <c r="L19" t="s">
        <v>26</v>
      </c>
      <c r="AF19" t="s">
        <v>6591</v>
      </c>
      <c r="AG19" t="s">
        <v>6592</v>
      </c>
      <c r="AH19" t="s">
        <v>6592</v>
      </c>
      <c r="AI19" s="12">
        <v>45735.809027777803</v>
      </c>
    </row>
    <row r="20" spans="1:35" x14ac:dyDescent="0.3">
      <c r="A20">
        <v>6044797</v>
      </c>
      <c r="B20">
        <v>6325227</v>
      </c>
      <c r="C20" t="s">
        <v>21</v>
      </c>
      <c r="D20" t="s">
        <v>5412</v>
      </c>
      <c r="E20" t="s">
        <v>5413</v>
      </c>
      <c r="F20" t="s">
        <v>6589</v>
      </c>
      <c r="G20" t="s">
        <v>24</v>
      </c>
      <c r="I20" t="s">
        <v>21</v>
      </c>
      <c r="J20" t="s">
        <v>6610</v>
      </c>
      <c r="K20" t="s">
        <v>5412</v>
      </c>
      <c r="L20" t="s">
        <v>26</v>
      </c>
      <c r="AF20" t="s">
        <v>6591</v>
      </c>
      <c r="AG20" t="s">
        <v>6592</v>
      </c>
      <c r="AH20" t="s">
        <v>6592</v>
      </c>
      <c r="AI20" s="12">
        <v>45735.809027777803</v>
      </c>
    </row>
    <row r="21" spans="1:35" x14ac:dyDescent="0.3">
      <c r="A21">
        <v>6046341</v>
      </c>
      <c r="B21">
        <v>6325228</v>
      </c>
      <c r="C21" t="s">
        <v>21</v>
      </c>
      <c r="D21" t="s">
        <v>143</v>
      </c>
      <c r="E21" t="s">
        <v>144</v>
      </c>
      <c r="F21" t="s">
        <v>6589</v>
      </c>
      <c r="G21" t="s">
        <v>24</v>
      </c>
      <c r="I21" t="s">
        <v>21</v>
      </c>
      <c r="J21" t="s">
        <v>6611</v>
      </c>
      <c r="K21" t="s">
        <v>143</v>
      </c>
      <c r="L21" t="s">
        <v>26</v>
      </c>
      <c r="AF21" t="s">
        <v>6591</v>
      </c>
      <c r="AG21" t="s">
        <v>6592</v>
      </c>
      <c r="AH21" t="s">
        <v>6592</v>
      </c>
      <c r="AI21" s="12">
        <v>45735.809027777803</v>
      </c>
    </row>
    <row r="22" spans="1:35" x14ac:dyDescent="0.3">
      <c r="A22">
        <v>6046342</v>
      </c>
      <c r="B22">
        <v>6325229</v>
      </c>
      <c r="C22" t="s">
        <v>21</v>
      </c>
      <c r="D22" t="s">
        <v>148</v>
      </c>
      <c r="E22" t="s">
        <v>149</v>
      </c>
      <c r="F22" t="s">
        <v>6589</v>
      </c>
      <c r="G22" t="s">
        <v>24</v>
      </c>
      <c r="I22" t="s">
        <v>21</v>
      </c>
      <c r="J22" t="s">
        <v>6612</v>
      </c>
      <c r="K22" t="s">
        <v>148</v>
      </c>
      <c r="L22" t="s">
        <v>26</v>
      </c>
      <c r="AF22" t="s">
        <v>6591</v>
      </c>
      <c r="AG22" t="s">
        <v>6592</v>
      </c>
      <c r="AH22" t="s">
        <v>6592</v>
      </c>
      <c r="AI22" s="12">
        <v>45735.809027777803</v>
      </c>
    </row>
    <row r="23" spans="1:35" x14ac:dyDescent="0.3">
      <c r="A23">
        <v>6044793</v>
      </c>
      <c r="B23">
        <v>6325230</v>
      </c>
      <c r="C23" t="s">
        <v>21</v>
      </c>
      <c r="D23" t="s">
        <v>76</v>
      </c>
      <c r="E23" t="s">
        <v>77</v>
      </c>
      <c r="F23" t="s">
        <v>6589</v>
      </c>
      <c r="G23" t="s">
        <v>24</v>
      </c>
      <c r="I23" t="s">
        <v>21</v>
      </c>
      <c r="J23" t="s">
        <v>6613</v>
      </c>
      <c r="K23" t="s">
        <v>76</v>
      </c>
      <c r="L23" t="s">
        <v>26</v>
      </c>
      <c r="AF23" t="s">
        <v>6591</v>
      </c>
      <c r="AG23" t="s">
        <v>6592</v>
      </c>
      <c r="AH23" t="s">
        <v>6592</v>
      </c>
      <c r="AI23" s="12">
        <v>45735.809027777803</v>
      </c>
    </row>
    <row r="24" spans="1:35" x14ac:dyDescent="0.3">
      <c r="A24">
        <v>6044552</v>
      </c>
      <c r="B24">
        <v>6325231</v>
      </c>
      <c r="C24" t="s">
        <v>21</v>
      </c>
      <c r="D24" t="s">
        <v>154</v>
      </c>
      <c r="E24" t="s">
        <v>155</v>
      </c>
      <c r="F24" t="s">
        <v>6589</v>
      </c>
      <c r="G24" t="s">
        <v>24</v>
      </c>
      <c r="I24" t="s">
        <v>21</v>
      </c>
      <c r="J24" t="s">
        <v>6614</v>
      </c>
      <c r="K24" t="s">
        <v>154</v>
      </c>
      <c r="L24" t="s">
        <v>26</v>
      </c>
      <c r="AF24" t="s">
        <v>6591</v>
      </c>
      <c r="AG24" t="s">
        <v>6592</v>
      </c>
      <c r="AH24" t="s">
        <v>6592</v>
      </c>
      <c r="AI24" s="12">
        <v>45735.809027777803</v>
      </c>
    </row>
    <row r="25" spans="1:35" x14ac:dyDescent="0.3">
      <c r="A25">
        <v>6044844</v>
      </c>
      <c r="B25">
        <v>6325232</v>
      </c>
      <c r="C25" t="s">
        <v>21</v>
      </c>
      <c r="D25" t="s">
        <v>158</v>
      </c>
      <c r="E25" t="s">
        <v>159</v>
      </c>
      <c r="F25" t="s">
        <v>6589</v>
      </c>
      <c r="G25" t="s">
        <v>24</v>
      </c>
      <c r="I25" t="s">
        <v>21</v>
      </c>
      <c r="J25" t="s">
        <v>6615</v>
      </c>
      <c r="K25" t="s">
        <v>158</v>
      </c>
      <c r="L25" t="s">
        <v>26</v>
      </c>
      <c r="AF25" t="s">
        <v>6591</v>
      </c>
      <c r="AG25" t="s">
        <v>6592</v>
      </c>
      <c r="AH25" t="s">
        <v>6592</v>
      </c>
      <c r="AI25" s="12">
        <v>45735.809027777803</v>
      </c>
    </row>
    <row r="26" spans="1:35" x14ac:dyDescent="0.3">
      <c r="A26">
        <v>6046343</v>
      </c>
      <c r="B26">
        <v>6325233</v>
      </c>
      <c r="C26" t="s">
        <v>21</v>
      </c>
      <c r="D26" t="s">
        <v>166</v>
      </c>
      <c r="E26" t="s">
        <v>167</v>
      </c>
      <c r="F26" t="s">
        <v>6589</v>
      </c>
      <c r="G26" t="s">
        <v>24</v>
      </c>
      <c r="I26" t="s">
        <v>21</v>
      </c>
      <c r="J26" t="s">
        <v>6616</v>
      </c>
      <c r="K26" t="s">
        <v>166</v>
      </c>
      <c r="L26" t="s">
        <v>26</v>
      </c>
      <c r="AF26" t="s">
        <v>6591</v>
      </c>
      <c r="AG26" t="s">
        <v>6592</v>
      </c>
      <c r="AH26" t="s">
        <v>6592</v>
      </c>
      <c r="AI26" s="12">
        <v>45735.809027777803</v>
      </c>
    </row>
    <row r="27" spans="1:35" x14ac:dyDescent="0.3">
      <c r="A27">
        <v>6044554</v>
      </c>
      <c r="B27">
        <v>6325234</v>
      </c>
      <c r="C27" t="s">
        <v>21</v>
      </c>
      <c r="D27" t="s">
        <v>162</v>
      </c>
      <c r="E27" t="s">
        <v>163</v>
      </c>
      <c r="F27" t="s">
        <v>6589</v>
      </c>
      <c r="G27" t="s">
        <v>24</v>
      </c>
      <c r="I27" t="s">
        <v>21</v>
      </c>
      <c r="J27" t="s">
        <v>6617</v>
      </c>
      <c r="K27" t="s">
        <v>162</v>
      </c>
      <c r="L27" t="s">
        <v>26</v>
      </c>
      <c r="AF27" t="s">
        <v>6591</v>
      </c>
      <c r="AG27" t="s">
        <v>6592</v>
      </c>
      <c r="AH27" t="s">
        <v>6592</v>
      </c>
      <c r="AI27" s="12">
        <v>45735.809027777803</v>
      </c>
    </row>
    <row r="28" spans="1:35" x14ac:dyDescent="0.3">
      <c r="A28">
        <v>6044796</v>
      </c>
      <c r="B28">
        <v>6325235</v>
      </c>
      <c r="C28" t="s">
        <v>21</v>
      </c>
      <c r="D28" t="s">
        <v>139</v>
      </c>
      <c r="E28" t="s">
        <v>140</v>
      </c>
      <c r="F28" t="s">
        <v>6589</v>
      </c>
      <c r="G28" t="s">
        <v>24</v>
      </c>
      <c r="I28" t="s">
        <v>21</v>
      </c>
      <c r="J28" t="s">
        <v>6618</v>
      </c>
      <c r="K28" t="s">
        <v>139</v>
      </c>
      <c r="L28" t="s">
        <v>26</v>
      </c>
      <c r="AF28" t="s">
        <v>6591</v>
      </c>
      <c r="AG28" t="s">
        <v>6592</v>
      </c>
      <c r="AH28" t="s">
        <v>6592</v>
      </c>
      <c r="AI28" s="12">
        <v>45735.809027777803</v>
      </c>
    </row>
    <row r="29" spans="1:35" x14ac:dyDescent="0.3">
      <c r="A29">
        <v>6046333</v>
      </c>
      <c r="B29">
        <v>6325236</v>
      </c>
      <c r="C29" t="s">
        <v>21</v>
      </c>
      <c r="D29" t="s">
        <v>55</v>
      </c>
      <c r="E29" t="s">
        <v>56</v>
      </c>
      <c r="F29" t="s">
        <v>6589</v>
      </c>
      <c r="G29" t="s">
        <v>24</v>
      </c>
      <c r="I29" t="s">
        <v>21</v>
      </c>
      <c r="J29" t="s">
        <v>6619</v>
      </c>
      <c r="K29" t="s">
        <v>55</v>
      </c>
      <c r="L29" t="s">
        <v>26</v>
      </c>
      <c r="AF29" t="s">
        <v>6591</v>
      </c>
      <c r="AG29" t="s">
        <v>6592</v>
      </c>
      <c r="AH29" t="s">
        <v>6592</v>
      </c>
      <c r="AI29" s="12">
        <v>45735.809027777803</v>
      </c>
    </row>
    <row r="30" spans="1:35" x14ac:dyDescent="0.3">
      <c r="A30">
        <v>6044536</v>
      </c>
      <c r="B30">
        <v>6325237</v>
      </c>
      <c r="C30" t="s">
        <v>21</v>
      </c>
      <c r="D30" t="s">
        <v>5437</v>
      </c>
      <c r="E30" t="s">
        <v>5439</v>
      </c>
      <c r="F30" t="s">
        <v>6589</v>
      </c>
      <c r="G30" t="s">
        <v>24</v>
      </c>
      <c r="I30" t="s">
        <v>21</v>
      </c>
      <c r="J30" t="s">
        <v>6620</v>
      </c>
      <c r="K30" t="s">
        <v>5437</v>
      </c>
      <c r="L30" t="s">
        <v>26</v>
      </c>
      <c r="AF30" t="s">
        <v>6591</v>
      </c>
      <c r="AG30" t="s">
        <v>6592</v>
      </c>
      <c r="AH30" t="s">
        <v>6592</v>
      </c>
      <c r="AI30" s="12">
        <v>45735.809027777803</v>
      </c>
    </row>
    <row r="31" spans="1:35" x14ac:dyDescent="0.3">
      <c r="A31">
        <v>6046334</v>
      </c>
      <c r="B31">
        <v>6325238</v>
      </c>
      <c r="C31" t="s">
        <v>21</v>
      </c>
      <c r="D31" t="s">
        <v>5446</v>
      </c>
      <c r="E31" t="s">
        <v>5447</v>
      </c>
      <c r="F31" t="s">
        <v>6589</v>
      </c>
      <c r="G31" t="s">
        <v>24</v>
      </c>
      <c r="I31" t="s">
        <v>21</v>
      </c>
      <c r="J31" t="s">
        <v>6621</v>
      </c>
      <c r="K31" t="s">
        <v>5446</v>
      </c>
      <c r="L31" t="s">
        <v>26</v>
      </c>
      <c r="AF31" t="s">
        <v>6591</v>
      </c>
      <c r="AG31" t="s">
        <v>6592</v>
      </c>
      <c r="AH31" t="s">
        <v>6592</v>
      </c>
      <c r="AI31" s="12">
        <v>45735.809027777803</v>
      </c>
    </row>
    <row r="32" spans="1:35" x14ac:dyDescent="0.3">
      <c r="A32">
        <v>6046329</v>
      </c>
      <c r="B32">
        <v>6325239</v>
      </c>
      <c r="C32" t="s">
        <v>21</v>
      </c>
      <c r="D32" t="s">
        <v>37</v>
      </c>
      <c r="E32" t="s">
        <v>38</v>
      </c>
      <c r="F32" t="s">
        <v>6589</v>
      </c>
      <c r="G32" t="s">
        <v>24</v>
      </c>
      <c r="I32" t="s">
        <v>21</v>
      </c>
      <c r="J32" t="s">
        <v>6622</v>
      </c>
      <c r="K32" t="s">
        <v>37</v>
      </c>
      <c r="L32" t="s">
        <v>26</v>
      </c>
      <c r="AF32" t="s">
        <v>6591</v>
      </c>
      <c r="AG32" t="s">
        <v>6592</v>
      </c>
      <c r="AH32" t="s">
        <v>6592</v>
      </c>
      <c r="AI32" s="12">
        <v>45735.809027777803</v>
      </c>
    </row>
    <row r="33" spans="1:35" x14ac:dyDescent="0.3">
      <c r="A33">
        <v>6046328</v>
      </c>
      <c r="B33">
        <v>6325240</v>
      </c>
      <c r="C33" t="s">
        <v>21</v>
      </c>
      <c r="D33" t="s">
        <v>22</v>
      </c>
      <c r="E33" t="s">
        <v>23</v>
      </c>
      <c r="F33" t="s">
        <v>6589</v>
      </c>
      <c r="G33" t="s">
        <v>24</v>
      </c>
      <c r="I33" t="s">
        <v>21</v>
      </c>
      <c r="J33" t="s">
        <v>6623</v>
      </c>
      <c r="K33" t="s">
        <v>22</v>
      </c>
      <c r="L33" t="s">
        <v>26</v>
      </c>
      <c r="AF33" t="s">
        <v>6591</v>
      </c>
      <c r="AG33" t="s">
        <v>6592</v>
      </c>
      <c r="AH33" t="s">
        <v>6592</v>
      </c>
      <c r="AI33" s="12">
        <v>45735.809027777803</v>
      </c>
    </row>
    <row r="34" spans="1:35" x14ac:dyDescent="0.3">
      <c r="A34">
        <v>6044570</v>
      </c>
      <c r="B34">
        <v>6325241</v>
      </c>
      <c r="C34" t="s">
        <v>21</v>
      </c>
      <c r="D34" t="s">
        <v>93</v>
      </c>
      <c r="E34" t="s">
        <v>94</v>
      </c>
      <c r="F34" t="s">
        <v>6589</v>
      </c>
      <c r="G34" t="s">
        <v>24</v>
      </c>
      <c r="I34" t="s">
        <v>21</v>
      </c>
      <c r="J34" t="s">
        <v>6624</v>
      </c>
      <c r="K34" t="s">
        <v>93</v>
      </c>
      <c r="L34" t="s">
        <v>26</v>
      </c>
      <c r="AF34" t="s">
        <v>6591</v>
      </c>
      <c r="AG34" t="s">
        <v>6592</v>
      </c>
      <c r="AH34" t="s">
        <v>6592</v>
      </c>
      <c r="AI34" s="12">
        <v>45735.809027777803</v>
      </c>
    </row>
    <row r="35" spans="1:35" x14ac:dyDescent="0.3">
      <c r="A35">
        <v>6046336</v>
      </c>
      <c r="B35">
        <v>6325242</v>
      </c>
      <c r="C35" t="s">
        <v>21</v>
      </c>
      <c r="D35" t="s">
        <v>71</v>
      </c>
      <c r="E35" t="s">
        <v>72</v>
      </c>
      <c r="F35" t="s">
        <v>6589</v>
      </c>
      <c r="G35" t="s">
        <v>24</v>
      </c>
      <c r="I35" t="s">
        <v>21</v>
      </c>
      <c r="J35" t="s">
        <v>6625</v>
      </c>
      <c r="K35" t="s">
        <v>71</v>
      </c>
      <c r="L35" t="s">
        <v>26</v>
      </c>
      <c r="AF35" t="s">
        <v>6591</v>
      </c>
      <c r="AG35" t="s">
        <v>6592</v>
      </c>
      <c r="AH35" t="s">
        <v>6592</v>
      </c>
      <c r="AI35" s="12">
        <v>45735.809027777803</v>
      </c>
    </row>
    <row r="36" spans="1:35" x14ac:dyDescent="0.3">
      <c r="A36">
        <v>6044550</v>
      </c>
      <c r="B36">
        <v>6222427</v>
      </c>
      <c r="C36" t="s">
        <v>21</v>
      </c>
      <c r="D36" t="s">
        <v>5417</v>
      </c>
      <c r="E36" t="s">
        <v>5419</v>
      </c>
      <c r="F36" t="s">
        <v>6589</v>
      </c>
      <c r="G36" t="s">
        <v>24</v>
      </c>
      <c r="I36" t="s">
        <v>21</v>
      </c>
      <c r="J36" t="s">
        <v>5417</v>
      </c>
      <c r="L36" t="s">
        <v>6626</v>
      </c>
      <c r="P36" t="s">
        <v>6627</v>
      </c>
      <c r="Q36" t="s">
        <v>270</v>
      </c>
      <c r="R36">
        <v>100</v>
      </c>
      <c r="AF36" t="s">
        <v>6591</v>
      </c>
      <c r="AG36" t="s">
        <v>6592</v>
      </c>
      <c r="AH36" t="s">
        <v>6592</v>
      </c>
      <c r="AI36" s="12">
        <v>45831.7277777778</v>
      </c>
    </row>
  </sheetData>
  <autoFilter ref="A1:AI36" xr:uid="{00000000-0009-0000-0000-000004000000}"/>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3"/>
  <sheetViews>
    <sheetView topLeftCell="A63" zoomScaleNormal="100" workbookViewId="0">
      <selection activeCell="D4" sqref="D4:D82"/>
    </sheetView>
  </sheetViews>
  <sheetFormatPr defaultColWidth="8.5546875" defaultRowHeight="14.4" x14ac:dyDescent="0.3"/>
  <cols>
    <col min="1" max="1" width="40" customWidth="1"/>
    <col min="2" max="2" width="35" customWidth="1"/>
    <col min="3" max="4" width="20" customWidth="1"/>
    <col min="5" max="5" width="12" customWidth="1"/>
    <col min="6" max="6" width="14" customWidth="1"/>
  </cols>
  <sheetData>
    <row r="1" spans="1:6" ht="21.75" customHeight="1" x14ac:dyDescent="0.3">
      <c r="A1" s="30" t="s">
        <v>6628</v>
      </c>
      <c r="B1" s="30"/>
      <c r="C1" s="30"/>
      <c r="D1" s="30"/>
      <c r="E1" s="30"/>
      <c r="F1" s="30"/>
    </row>
    <row r="2" spans="1:6" ht="18" customHeight="1" x14ac:dyDescent="0.3">
      <c r="A2" s="31" t="s">
        <v>6651</v>
      </c>
      <c r="B2" s="31"/>
      <c r="C2" s="31"/>
      <c r="D2" s="31"/>
      <c r="E2" s="31"/>
      <c r="F2" s="31"/>
    </row>
    <row r="3" spans="1:6" ht="18" customHeight="1" x14ac:dyDescent="0.3">
      <c r="A3" s="13" t="s">
        <v>17</v>
      </c>
      <c r="B3" s="13" t="s">
        <v>2</v>
      </c>
      <c r="C3" s="13" t="s">
        <v>6629</v>
      </c>
      <c r="D3" s="13" t="s">
        <v>6630</v>
      </c>
      <c r="E3" s="13" t="s">
        <v>6631</v>
      </c>
      <c r="F3" s="13" t="s">
        <v>6632</v>
      </c>
    </row>
    <row r="4" spans="1:6" x14ac:dyDescent="0.3">
      <c r="A4" s="14" t="s">
        <v>30</v>
      </c>
      <c r="B4" s="14" t="s">
        <v>22</v>
      </c>
      <c r="C4" s="15">
        <f>IFERROR(INDEX('FY26 Revenue'!L:L,MATCH(A4,'FY26 Revenue'!C:C,0)),IFERROR(INDEX('FY26 Revenue'!L:L,MATCH(A4,'FY26 Revenue'!B:B,0)),0))</f>
        <v>53.1</v>
      </c>
      <c r="D4" s="15">
        <f>SUMIFS(Account_Setup_and_Data_Load!T:T,Account_Setup_and_Data_Load!L:L,DATE(2026,3,1),Account_Setup_and_Data_Load!R:R,A4)</f>
        <v>53.1</v>
      </c>
      <c r="E4" s="15">
        <f t="shared" ref="E4:E35" si="0">ROUND(D4-C4,4)</f>
        <v>0</v>
      </c>
      <c r="F4" s="16" t="str">
        <f t="shared" ref="F4:F35" si="1">IF(ABS(E4)&lt;=0.001,"OK","MISMATCH")</f>
        <v>OK</v>
      </c>
    </row>
    <row r="5" spans="1:6" x14ac:dyDescent="0.3">
      <c r="A5" s="17" t="s">
        <v>31</v>
      </c>
      <c r="B5" s="17" t="s">
        <v>22</v>
      </c>
      <c r="C5" s="15">
        <f>IFERROR(INDEX('FY26 Revenue'!L:L,MATCH(A5,'FY26 Revenue'!C:C,0)),IFERROR(INDEX('FY26 Revenue'!L:L,MATCH(A5,'FY26 Revenue'!B:B,0)),0))</f>
        <v>54.8</v>
      </c>
      <c r="D5" s="15">
        <f>SUMIFS(Account_Setup_and_Data_Load!T:T,Account_Setup_and_Data_Load!L:L,DATE(2026,3,1),Account_Setup_and_Data_Load!R:R,A5)</f>
        <v>54.8</v>
      </c>
      <c r="E5" s="18">
        <f t="shared" si="0"/>
        <v>0</v>
      </c>
      <c r="F5" s="16" t="str">
        <f t="shared" si="1"/>
        <v>OK</v>
      </c>
    </row>
    <row r="6" spans="1:6" x14ac:dyDescent="0.3">
      <c r="A6" s="14" t="s">
        <v>32</v>
      </c>
      <c r="B6" s="14" t="s">
        <v>22</v>
      </c>
      <c r="C6" s="15">
        <f>IFERROR(INDEX('FY26 Revenue'!L:L,MATCH(A6,'FY26 Revenue'!C:C,0)),IFERROR(INDEX('FY26 Revenue'!L:L,MATCH(A6,'FY26 Revenue'!B:B,0)),0))</f>
        <v>30.6</v>
      </c>
      <c r="D6" s="15">
        <f>SUMIFS(Account_Setup_and_Data_Load!T:T,Account_Setup_and_Data_Load!L:L,DATE(2026,3,1),Account_Setup_and_Data_Load!R:R,A6)</f>
        <v>30.6</v>
      </c>
      <c r="E6" s="15">
        <f t="shared" si="0"/>
        <v>0</v>
      </c>
      <c r="F6" s="16" t="str">
        <f t="shared" si="1"/>
        <v>OK</v>
      </c>
    </row>
    <row r="7" spans="1:6" x14ac:dyDescent="0.3">
      <c r="A7" s="17" t="s">
        <v>33</v>
      </c>
      <c r="B7" s="17" t="s">
        <v>22</v>
      </c>
      <c r="C7" s="15">
        <f>IFERROR(INDEX('FY26 Revenue'!L:L,MATCH(A7,'FY26 Revenue'!C:C,0)),IFERROR(INDEX('FY26 Revenue'!L:L,MATCH(A7,'FY26 Revenue'!B:B,0)),0))</f>
        <v>54.5</v>
      </c>
      <c r="D7" s="15">
        <f>SUMIFS(Account_Setup_and_Data_Load!T:T,Account_Setup_and_Data_Load!L:L,DATE(2026,3,1),Account_Setup_and_Data_Load!R:R,A7)</f>
        <v>54.5</v>
      </c>
      <c r="E7" s="18">
        <f t="shared" si="0"/>
        <v>0</v>
      </c>
      <c r="F7" s="16" t="str">
        <f t="shared" si="1"/>
        <v>OK</v>
      </c>
    </row>
    <row r="8" spans="1:6" x14ac:dyDescent="0.3">
      <c r="A8" s="14" t="s">
        <v>34</v>
      </c>
      <c r="B8" s="14" t="s">
        <v>22</v>
      </c>
      <c r="C8" s="15">
        <f>IFERROR(INDEX('FY26 Revenue'!L:L,MATCH(A8,'FY26 Revenue'!C:C,0)),IFERROR(INDEX('FY26 Revenue'!L:L,MATCH(A8,'FY26 Revenue'!B:B,0)),0))</f>
        <v>15.7</v>
      </c>
      <c r="D8" s="15">
        <f>SUMIFS(Account_Setup_and_Data_Load!T:T,Account_Setup_and_Data_Load!L:L,DATE(2026,3,1),Account_Setup_and_Data_Load!R:R,A8)</f>
        <v>15.7</v>
      </c>
      <c r="E8" s="15">
        <f t="shared" si="0"/>
        <v>0</v>
      </c>
      <c r="F8" s="16" t="str">
        <f t="shared" si="1"/>
        <v>OK</v>
      </c>
    </row>
    <row r="9" spans="1:6" x14ac:dyDescent="0.3">
      <c r="A9" s="17" t="s">
        <v>35</v>
      </c>
      <c r="B9" s="17" t="s">
        <v>22</v>
      </c>
      <c r="C9" s="15">
        <f>IFERROR(INDEX('FY26 Revenue'!L:L,MATCH(A9,'FY26 Revenue'!C:C,0)),IFERROR(INDEX('FY26 Revenue'!L:L,MATCH(A9,'FY26 Revenue'!B:B,0)),0))</f>
        <v>0.3</v>
      </c>
      <c r="D9" s="15">
        <f>SUMIFS(Account_Setup_and_Data_Load!T:T,Account_Setup_and_Data_Load!L:L,DATE(2026,3,1),Account_Setup_and_Data_Load!R:R,A9)</f>
        <v>0.3</v>
      </c>
      <c r="E9" s="18">
        <f t="shared" si="0"/>
        <v>0</v>
      </c>
      <c r="F9" s="16" t="str">
        <f t="shared" si="1"/>
        <v>OK</v>
      </c>
    </row>
    <row r="10" spans="1:6" x14ac:dyDescent="0.3">
      <c r="A10" s="14" t="s">
        <v>36</v>
      </c>
      <c r="B10" s="14" t="s">
        <v>22</v>
      </c>
      <c r="C10" s="15">
        <f>IFERROR(INDEX('FY26 Revenue'!L:L,MATCH(A10,'FY26 Revenue'!C:C,0)),IFERROR(INDEX('FY26 Revenue'!L:L,MATCH(A10,'FY26 Revenue'!B:B,0)),0))</f>
        <v>70.3</v>
      </c>
      <c r="D10" s="15">
        <f>SUMIFS(Account_Setup_and_Data_Load!T:T,Account_Setup_and_Data_Load!L:L,DATE(2026,3,1),Account_Setup_and_Data_Load!R:R,A10)</f>
        <v>70.3</v>
      </c>
      <c r="E10" s="15">
        <f t="shared" si="0"/>
        <v>0</v>
      </c>
      <c r="F10" s="16" t="str">
        <f t="shared" si="1"/>
        <v>OK</v>
      </c>
    </row>
    <row r="11" spans="1:6" x14ac:dyDescent="0.3">
      <c r="A11" s="17" t="s">
        <v>40</v>
      </c>
      <c r="B11" s="17" t="s">
        <v>37</v>
      </c>
      <c r="C11" s="15">
        <f>IFERROR(INDEX('FY26 Revenue'!L:L,MATCH(A11,'FY26 Revenue'!C:C,0)),IFERROR(INDEX('FY26 Revenue'!L:L,MATCH(A11,'FY26 Revenue'!B:B,0)),0))</f>
        <v>38.5</v>
      </c>
      <c r="D11" s="15">
        <f>SUMIFS(Account_Setup_and_Data_Load!T:T,Account_Setup_and_Data_Load!L:L,DATE(2026,3,1),Account_Setup_and_Data_Load!R:R,A11)</f>
        <v>38.5</v>
      </c>
      <c r="E11" s="18">
        <f t="shared" si="0"/>
        <v>0</v>
      </c>
      <c r="F11" s="16" t="str">
        <f t="shared" si="1"/>
        <v>OK</v>
      </c>
    </row>
    <row r="12" spans="1:6" x14ac:dyDescent="0.3">
      <c r="A12" s="14" t="s">
        <v>41</v>
      </c>
      <c r="B12" s="14" t="s">
        <v>37</v>
      </c>
      <c r="C12" s="15">
        <f>IFERROR(INDEX('FY26 Revenue'!L:L,MATCH(A12,'FY26 Revenue'!C:C,0)),IFERROR(INDEX('FY26 Revenue'!L:L,MATCH(A12,'FY26 Revenue'!B:B,0)),0))</f>
        <v>9.3000000000000007</v>
      </c>
      <c r="D12" s="15">
        <f>SUMIFS(Account_Setup_and_Data_Load!T:T,Account_Setup_and_Data_Load!L:L,DATE(2026,3,1),Account_Setup_and_Data_Load!R:R,A12)</f>
        <v>9.3000000000000007</v>
      </c>
      <c r="E12" s="15">
        <f t="shared" si="0"/>
        <v>0</v>
      </c>
      <c r="F12" s="16" t="str">
        <f t="shared" si="1"/>
        <v>OK</v>
      </c>
    </row>
    <row r="13" spans="1:6" x14ac:dyDescent="0.3">
      <c r="A13" s="17" t="s">
        <v>42</v>
      </c>
      <c r="B13" s="17" t="s">
        <v>37</v>
      </c>
      <c r="C13" s="15">
        <f>IFERROR(INDEX('FY26 Revenue'!L:L,MATCH(A13,'FY26 Revenue'!C:C,0)),IFERROR(INDEX('FY26 Revenue'!L:L,MATCH(A13,'FY26 Revenue'!B:B,0)),0))</f>
        <v>3.7</v>
      </c>
      <c r="D13" s="15">
        <f>SUMIFS(Account_Setup_and_Data_Load!T:T,Account_Setup_and_Data_Load!L:L,DATE(2026,3,1),Account_Setup_and_Data_Load!R:R,A13)</f>
        <v>3.7</v>
      </c>
      <c r="E13" s="18">
        <f t="shared" si="0"/>
        <v>0</v>
      </c>
      <c r="F13" s="16" t="str">
        <f t="shared" si="1"/>
        <v>OK</v>
      </c>
    </row>
    <row r="14" spans="1:6" x14ac:dyDescent="0.3">
      <c r="A14" s="14" t="s">
        <v>43</v>
      </c>
      <c r="B14" s="14" t="s">
        <v>37</v>
      </c>
      <c r="C14" s="15">
        <f>IFERROR(INDEX('FY26 Revenue'!L:L,MATCH(A14,'FY26 Revenue'!C:C,0)),IFERROR(INDEX('FY26 Revenue'!L:L,MATCH(A14,'FY26 Revenue'!B:B,0)),0))</f>
        <v>37.200000000000003</v>
      </c>
      <c r="D14" s="15">
        <f>SUMIFS(Account_Setup_and_Data_Load!T:T,Account_Setup_and_Data_Load!L:L,DATE(2026,3,1),Account_Setup_and_Data_Load!R:R,A14)</f>
        <v>37.200000000000003</v>
      </c>
      <c r="E14" s="15">
        <f t="shared" si="0"/>
        <v>0</v>
      </c>
      <c r="F14" s="16" t="str">
        <f t="shared" si="1"/>
        <v>OK</v>
      </c>
    </row>
    <row r="15" spans="1:6" x14ac:dyDescent="0.3">
      <c r="A15" s="17" t="s">
        <v>44</v>
      </c>
      <c r="B15" s="17" t="s">
        <v>37</v>
      </c>
      <c r="C15" s="15">
        <f>IFERROR(INDEX('FY26 Revenue'!L:L,MATCH(A15,'FY26 Revenue'!C:C,0)),IFERROR(INDEX('FY26 Revenue'!L:L,MATCH(A15,'FY26 Revenue'!B:B,0)),0))</f>
        <v>5.8</v>
      </c>
      <c r="D15" s="15">
        <f>SUMIFS(Account_Setup_and_Data_Load!T:T,Account_Setup_and_Data_Load!L:L,DATE(2026,3,1),Account_Setup_and_Data_Load!R:R,A15)</f>
        <v>5.8</v>
      </c>
      <c r="E15" s="18">
        <f t="shared" si="0"/>
        <v>0</v>
      </c>
      <c r="F15" s="16" t="str">
        <f t="shared" si="1"/>
        <v>OK</v>
      </c>
    </row>
    <row r="16" spans="1:6" x14ac:dyDescent="0.3">
      <c r="A16" s="14" t="s">
        <v>45</v>
      </c>
      <c r="B16" s="14" t="s">
        <v>37</v>
      </c>
      <c r="C16" s="15">
        <f>IFERROR(INDEX('FY26 Revenue'!L:L,MATCH(A16,'FY26 Revenue'!C:C,0)),IFERROR(INDEX('FY26 Revenue'!L:L,MATCH(A16,'FY26 Revenue'!B:B,0)),0))</f>
        <v>0</v>
      </c>
      <c r="D16" s="15">
        <f>SUMIFS(Account_Setup_and_Data_Load!T:T,Account_Setup_and_Data_Load!L:L,DATE(2026,3,1),Account_Setup_and_Data_Load!R:R,A16)</f>
        <v>0</v>
      </c>
      <c r="E16" s="15">
        <f t="shared" si="0"/>
        <v>0</v>
      </c>
      <c r="F16" s="16" t="str">
        <f t="shared" si="1"/>
        <v>OK</v>
      </c>
    </row>
    <row r="17" spans="1:6" x14ac:dyDescent="0.3">
      <c r="A17" s="17" t="s">
        <v>46</v>
      </c>
      <c r="B17" s="17" t="s">
        <v>37</v>
      </c>
      <c r="C17" s="15">
        <f>IFERROR(INDEX('FY26 Revenue'!L:L,MATCH(A17,'FY26 Revenue'!C:C,0)),IFERROR(INDEX('FY26 Revenue'!L:L,MATCH(A17,'FY26 Revenue'!B:B,0)),0))</f>
        <v>0</v>
      </c>
      <c r="D17" s="15">
        <f>SUMIFS(Account_Setup_and_Data_Load!T:T,Account_Setup_and_Data_Load!L:L,DATE(2026,3,1),Account_Setup_and_Data_Load!R:R,A17)</f>
        <v>0</v>
      </c>
      <c r="E17" s="18">
        <f t="shared" si="0"/>
        <v>0</v>
      </c>
      <c r="F17" s="16" t="str">
        <f t="shared" si="1"/>
        <v>OK</v>
      </c>
    </row>
    <row r="18" spans="1:6" x14ac:dyDescent="0.3">
      <c r="A18" s="14" t="s">
        <v>47</v>
      </c>
      <c r="B18" s="14" t="s">
        <v>37</v>
      </c>
      <c r="C18" s="15">
        <f>IFERROR(INDEX('FY26 Revenue'!L:L,MATCH(A18,'FY26 Revenue'!C:C,0)),IFERROR(INDEX('FY26 Revenue'!L:L,MATCH(A18,'FY26 Revenue'!B:B,0)),0))</f>
        <v>0.2</v>
      </c>
      <c r="D18" s="15">
        <f>SUMIFS(Account_Setup_and_Data_Load!T:T,Account_Setup_and_Data_Load!L:L,DATE(2026,3,1),Account_Setup_and_Data_Load!R:R,A18)</f>
        <v>0.2</v>
      </c>
      <c r="E18" s="15">
        <f t="shared" si="0"/>
        <v>0</v>
      </c>
      <c r="F18" s="16" t="str">
        <f t="shared" si="1"/>
        <v>OK</v>
      </c>
    </row>
    <row r="19" spans="1:6" x14ac:dyDescent="0.3">
      <c r="A19" s="17" t="s">
        <v>51</v>
      </c>
      <c r="B19" s="17" t="s">
        <v>48</v>
      </c>
      <c r="C19" s="15">
        <f>IFERROR(INDEX('FY26 Revenue'!L:L,MATCH(A19,'FY26 Revenue'!C:C,0)),IFERROR(INDEX('FY26 Revenue'!L:L,MATCH(A19,'FY26 Revenue'!B:B,0)),0))</f>
        <v>0</v>
      </c>
      <c r="D19" s="15">
        <f>SUMIFS(Account_Setup_and_Data_Load!T:T,Account_Setup_and_Data_Load!L:L,DATE(2026,3,1),Account_Setup_and_Data_Load!R:R,A19)</f>
        <v>0</v>
      </c>
      <c r="E19" s="18">
        <f t="shared" si="0"/>
        <v>0</v>
      </c>
      <c r="F19" s="16" t="str">
        <f t="shared" si="1"/>
        <v>OK</v>
      </c>
    </row>
    <row r="20" spans="1:6" x14ac:dyDescent="0.3">
      <c r="A20" s="14" t="s">
        <v>52</v>
      </c>
      <c r="B20" s="14" t="s">
        <v>48</v>
      </c>
      <c r="C20" s="15">
        <f>IFERROR(INDEX('FY26 Revenue'!L:L,MATCH(A20,'FY26 Revenue'!C:C,0)),IFERROR(INDEX('FY26 Revenue'!L:L,MATCH(A20,'FY26 Revenue'!B:B,0)),0))</f>
        <v>0</v>
      </c>
      <c r="D20" s="15">
        <f>SUMIFS(Account_Setup_and_Data_Load!T:T,Account_Setup_and_Data_Load!L:L,DATE(2026,3,1),Account_Setup_and_Data_Load!R:R,A20)</f>
        <v>0</v>
      </c>
      <c r="E20" s="15">
        <f t="shared" si="0"/>
        <v>0</v>
      </c>
      <c r="F20" s="16" t="str">
        <f t="shared" si="1"/>
        <v>OK</v>
      </c>
    </row>
    <row r="21" spans="1:6" x14ac:dyDescent="0.3">
      <c r="A21" s="17" t="s">
        <v>53</v>
      </c>
      <c r="B21" s="17" t="s">
        <v>48</v>
      </c>
      <c r="C21" s="15">
        <f>IFERROR(INDEX('FY26 Revenue'!L:L,MATCH(A21,'FY26 Revenue'!C:C,0)),IFERROR(INDEX('FY26 Revenue'!L:L,MATCH(A21,'FY26 Revenue'!B:B,0)),0))</f>
        <v>22.3</v>
      </c>
      <c r="D21" s="15">
        <f>SUMIFS(Account_Setup_and_Data_Load!T:T,Account_Setup_and_Data_Load!L:L,DATE(2026,3,1),Account_Setup_and_Data_Load!R:R,A21)</f>
        <v>22.3</v>
      </c>
      <c r="E21" s="18">
        <f t="shared" si="0"/>
        <v>0</v>
      </c>
      <c r="F21" s="16" t="str">
        <f t="shared" si="1"/>
        <v>OK</v>
      </c>
    </row>
    <row r="22" spans="1:6" x14ac:dyDescent="0.3">
      <c r="A22" s="14" t="s">
        <v>54</v>
      </c>
      <c r="B22" s="14" t="s">
        <v>48</v>
      </c>
      <c r="C22" s="15">
        <f>IFERROR(INDEX('FY26 Revenue'!L:L,MATCH(A22,'FY26 Revenue'!C:C,0)),IFERROR(INDEX('FY26 Revenue'!L:L,MATCH(A22,'FY26 Revenue'!B:B,0)),0))</f>
        <v>12</v>
      </c>
      <c r="D22" s="15">
        <f>SUMIFS(Account_Setup_and_Data_Load!T:T,Account_Setup_and_Data_Load!L:L,DATE(2026,3,1),Account_Setup_and_Data_Load!R:R,A22)</f>
        <v>12</v>
      </c>
      <c r="E22" s="15">
        <f t="shared" si="0"/>
        <v>0</v>
      </c>
      <c r="F22" s="16" t="str">
        <f t="shared" si="1"/>
        <v>OK</v>
      </c>
    </row>
    <row r="23" spans="1:6" x14ac:dyDescent="0.3">
      <c r="A23" s="17" t="s">
        <v>58</v>
      </c>
      <c r="B23" s="17" t="s">
        <v>55</v>
      </c>
      <c r="C23" s="15">
        <f>IFERROR(INDEX('FY26 Revenue'!L:L,MATCH(A23,'FY26 Revenue'!C:C,0)),IFERROR(INDEX('FY26 Revenue'!L:L,MATCH(A23,'FY26 Revenue'!B:B,0)),0))</f>
        <v>13.3</v>
      </c>
      <c r="D23" s="15">
        <f>SUMIFS(Account_Setup_and_Data_Load!T:T,Account_Setup_and_Data_Load!L:L,DATE(2026,3,1),Account_Setup_and_Data_Load!R:R,A23)</f>
        <v>13.3</v>
      </c>
      <c r="E23" s="18">
        <f t="shared" si="0"/>
        <v>0</v>
      </c>
      <c r="F23" s="16" t="str">
        <f t="shared" si="1"/>
        <v>OK</v>
      </c>
    </row>
    <row r="24" spans="1:6" x14ac:dyDescent="0.3">
      <c r="A24" s="14" t="s">
        <v>59</v>
      </c>
      <c r="B24" s="14" t="s">
        <v>55</v>
      </c>
      <c r="C24" s="15">
        <f>IFERROR(INDEX('FY26 Revenue'!L:L,MATCH(A24,'FY26 Revenue'!C:C,0)),IFERROR(INDEX('FY26 Revenue'!L:L,MATCH(A24,'FY26 Revenue'!B:B,0)),0))</f>
        <v>0</v>
      </c>
      <c r="D24" s="15">
        <f>SUMIFS(Account_Setup_and_Data_Load!T:T,Account_Setup_and_Data_Load!L:L,DATE(2026,3,1),Account_Setup_and_Data_Load!R:R,A24)</f>
        <v>0</v>
      </c>
      <c r="E24" s="15">
        <f t="shared" si="0"/>
        <v>0</v>
      </c>
      <c r="F24" s="16" t="str">
        <f t="shared" si="1"/>
        <v>OK</v>
      </c>
    </row>
    <row r="25" spans="1:6" x14ac:dyDescent="0.3">
      <c r="A25" s="17" t="s">
        <v>63</v>
      </c>
      <c r="B25" s="17" t="s">
        <v>60</v>
      </c>
      <c r="C25" s="15">
        <f>IFERROR(INDEX('FY26 Revenue'!L:L,MATCH(A25,'FY26 Revenue'!C:C,0)),IFERROR(INDEX('FY26 Revenue'!L:L,MATCH(A25,'FY26 Revenue'!B:B,0)),0))</f>
        <v>0</v>
      </c>
      <c r="D25" s="15">
        <f>SUMIFS(Account_Setup_and_Data_Load!T:T,Account_Setup_and_Data_Load!L:L,DATE(2026,3,1),Account_Setup_and_Data_Load!R:R,A25)</f>
        <v>0</v>
      </c>
      <c r="E25" s="18">
        <f t="shared" si="0"/>
        <v>0</v>
      </c>
      <c r="F25" s="16" t="str">
        <f t="shared" si="1"/>
        <v>OK</v>
      </c>
    </row>
    <row r="26" spans="1:6" x14ac:dyDescent="0.3">
      <c r="A26" s="14" t="s">
        <v>64</v>
      </c>
      <c r="B26" s="14" t="s">
        <v>60</v>
      </c>
      <c r="C26" s="15">
        <f>IFERROR(INDEX('FY26 Revenue'!L:L,MATCH(A26,'FY26 Revenue'!C:C,0)),IFERROR(INDEX('FY26 Revenue'!L:L,MATCH(A26,'FY26 Revenue'!B:B,0)),0))</f>
        <v>53.5</v>
      </c>
      <c r="D26" s="15">
        <f>SUMIFS(Account_Setup_and_Data_Load!T:T,Account_Setup_and_Data_Load!L:L,DATE(2026,3,1),Account_Setup_and_Data_Load!R:R,A26)</f>
        <v>53.5</v>
      </c>
      <c r="E26" s="15">
        <f t="shared" si="0"/>
        <v>0</v>
      </c>
      <c r="F26" s="16" t="str">
        <f t="shared" si="1"/>
        <v>OK</v>
      </c>
    </row>
    <row r="27" spans="1:6" x14ac:dyDescent="0.3">
      <c r="A27" s="17" t="s">
        <v>65</v>
      </c>
      <c r="B27" s="17" t="s">
        <v>60</v>
      </c>
      <c r="C27" s="15">
        <f>IFERROR(INDEX('FY26 Revenue'!L:L,MATCH(A27,'FY26 Revenue'!C:C,0)),IFERROR(INDEX('FY26 Revenue'!L:L,MATCH(A27,'FY26 Revenue'!B:B,0)),0))</f>
        <v>16.8</v>
      </c>
      <c r="D27" s="15">
        <f>SUMIFS(Account_Setup_and_Data_Load!T:T,Account_Setup_and_Data_Load!L:L,DATE(2026,3,1),Account_Setup_and_Data_Load!R:R,A27)</f>
        <v>16.8</v>
      </c>
      <c r="E27" s="18">
        <f t="shared" si="0"/>
        <v>0</v>
      </c>
      <c r="F27" s="16" t="str">
        <f t="shared" si="1"/>
        <v>OK</v>
      </c>
    </row>
    <row r="28" spans="1:6" x14ac:dyDescent="0.3">
      <c r="A28" s="14" t="s">
        <v>69</v>
      </c>
      <c r="B28" s="14" t="s">
        <v>66</v>
      </c>
      <c r="C28" s="15">
        <f>IFERROR(INDEX('FY26 Revenue'!L:L,MATCH(A28,'FY26 Revenue'!C:C,0)),IFERROR(INDEX('FY26 Revenue'!L:L,MATCH(A28,'FY26 Revenue'!B:B,0)),0))</f>
        <v>21.4</v>
      </c>
      <c r="D28" s="15">
        <f>SUMIFS(Account_Setup_and_Data_Load!T:T,Account_Setup_and_Data_Load!L:L,DATE(2026,3,1),Account_Setup_and_Data_Load!R:R,A28)</f>
        <v>21.4</v>
      </c>
      <c r="E28" s="15">
        <f t="shared" si="0"/>
        <v>0</v>
      </c>
      <c r="F28" s="16" t="str">
        <f t="shared" si="1"/>
        <v>OK</v>
      </c>
    </row>
    <row r="29" spans="1:6" x14ac:dyDescent="0.3">
      <c r="A29" s="17" t="s">
        <v>70</v>
      </c>
      <c r="B29" s="17" t="s">
        <v>66</v>
      </c>
      <c r="C29" s="15">
        <f>IFERROR(INDEX('FY26 Revenue'!L:L,MATCH(A29,'FY26 Revenue'!C:C,0)),IFERROR(INDEX('FY26 Revenue'!L:L,MATCH(A29,'FY26 Revenue'!B:B,0)),0))</f>
        <v>10.5</v>
      </c>
      <c r="D29" s="15">
        <f>SUMIFS(Account_Setup_and_Data_Load!T:T,Account_Setup_and_Data_Load!L:L,DATE(2026,3,1),Account_Setup_and_Data_Load!R:R,A29)</f>
        <v>10.5</v>
      </c>
      <c r="E29" s="18">
        <f t="shared" si="0"/>
        <v>0</v>
      </c>
      <c r="F29" s="16" t="str">
        <f t="shared" si="1"/>
        <v>OK</v>
      </c>
    </row>
    <row r="30" spans="1:6" x14ac:dyDescent="0.3">
      <c r="A30" s="14" t="s">
        <v>74</v>
      </c>
      <c r="B30" s="14" t="s">
        <v>71</v>
      </c>
      <c r="C30" s="15">
        <f>IFERROR(INDEX('FY26 Revenue'!L:L,MATCH(A30,'FY26 Revenue'!C:C,0)),IFERROR(INDEX('FY26 Revenue'!L:L,MATCH(A30,'FY26 Revenue'!B:B,0)),0))</f>
        <v>13.7</v>
      </c>
      <c r="D30" s="15">
        <f>SUMIFS(Account_Setup_and_Data_Load!T:T,Account_Setup_and_Data_Load!L:L,DATE(2026,3,1),Account_Setup_and_Data_Load!R:R,A30)</f>
        <v>13.7</v>
      </c>
      <c r="E30" s="15">
        <f t="shared" si="0"/>
        <v>0</v>
      </c>
      <c r="F30" s="16" t="str">
        <f t="shared" si="1"/>
        <v>OK</v>
      </c>
    </row>
    <row r="31" spans="1:6" x14ac:dyDescent="0.3">
      <c r="A31" s="17" t="s">
        <v>75</v>
      </c>
      <c r="B31" s="17" t="s">
        <v>71</v>
      </c>
      <c r="C31" s="15">
        <f>IFERROR(INDEX('FY26 Revenue'!L:L,MATCH(A31,'FY26 Revenue'!C:C,0)),IFERROR(INDEX('FY26 Revenue'!L:L,MATCH(A31,'FY26 Revenue'!B:B,0)),0))</f>
        <v>9.6</v>
      </c>
      <c r="D31" s="15">
        <f>SUMIFS(Account_Setup_and_Data_Load!T:T,Account_Setup_and_Data_Load!L:L,DATE(2026,3,1),Account_Setup_and_Data_Load!R:R,A31)</f>
        <v>9.6</v>
      </c>
      <c r="E31" s="18">
        <f t="shared" si="0"/>
        <v>0</v>
      </c>
      <c r="F31" s="16" t="str">
        <f t="shared" si="1"/>
        <v>OK</v>
      </c>
    </row>
    <row r="32" spans="1:6" x14ac:dyDescent="0.3">
      <c r="A32" s="14" t="s">
        <v>79</v>
      </c>
      <c r="B32" s="14" t="s">
        <v>76</v>
      </c>
      <c r="C32" s="15">
        <f>IFERROR(INDEX('FY26 Revenue'!L:L,MATCH(A32,'FY26 Revenue'!C:C,0)),IFERROR(INDEX('FY26 Revenue'!L:L,MATCH(A32,'FY26 Revenue'!B:B,0)),0))</f>
        <v>15.4</v>
      </c>
      <c r="D32" s="15">
        <f>SUMIFS(Account_Setup_and_Data_Load!T:T,Account_Setup_and_Data_Load!L:L,DATE(2026,3,1),Account_Setup_and_Data_Load!R:R,A32)</f>
        <v>15.4</v>
      </c>
      <c r="E32" s="15">
        <f t="shared" si="0"/>
        <v>0</v>
      </c>
      <c r="F32" s="16" t="str">
        <f t="shared" si="1"/>
        <v>OK</v>
      </c>
    </row>
    <row r="33" spans="1:6" x14ac:dyDescent="0.3">
      <c r="A33" s="17" t="s">
        <v>83</v>
      </c>
      <c r="B33" s="17" t="s">
        <v>80</v>
      </c>
      <c r="C33" s="15">
        <f>IFERROR(INDEX('FY26 Revenue'!L:L,MATCH(A33,'FY26 Revenue'!C:C,0)),IFERROR(INDEX('FY26 Revenue'!L:L,MATCH(A33,'FY26 Revenue'!B:B,0)),0))</f>
        <v>0.1</v>
      </c>
      <c r="D33" s="15">
        <f>SUMIFS(Account_Setup_and_Data_Load!T:T,Account_Setup_and_Data_Load!L:L,DATE(2026,3,1),Account_Setup_and_Data_Load!R:R,A33)</f>
        <v>0.1</v>
      </c>
      <c r="E33" s="18">
        <f t="shared" si="0"/>
        <v>0</v>
      </c>
      <c r="F33" s="16" t="str">
        <f t="shared" si="1"/>
        <v>OK</v>
      </c>
    </row>
    <row r="34" spans="1:6" x14ac:dyDescent="0.3">
      <c r="A34" s="14" t="s">
        <v>84</v>
      </c>
      <c r="B34" s="14" t="s">
        <v>80</v>
      </c>
      <c r="C34" s="15">
        <f>IFERROR(INDEX('FY26 Revenue'!L:L,MATCH(A34,'FY26 Revenue'!C:C,0)),IFERROR(INDEX('FY26 Revenue'!L:L,MATCH(A34,'FY26 Revenue'!B:B,0)),0))</f>
        <v>8.5</v>
      </c>
      <c r="D34" s="15">
        <f>SUMIFS(Account_Setup_and_Data_Load!T:T,Account_Setup_and_Data_Load!L:L,DATE(2026,3,1),Account_Setup_and_Data_Load!R:R,A34)</f>
        <v>8.5</v>
      </c>
      <c r="E34" s="15">
        <f t="shared" si="0"/>
        <v>0</v>
      </c>
      <c r="F34" s="16" t="str">
        <f t="shared" si="1"/>
        <v>OK</v>
      </c>
    </row>
    <row r="35" spans="1:6" x14ac:dyDescent="0.3">
      <c r="A35" s="17" t="s">
        <v>85</v>
      </c>
      <c r="B35" s="17" t="s">
        <v>80</v>
      </c>
      <c r="C35" s="15">
        <f>IFERROR(INDEX('FY26 Revenue'!L:L,MATCH(A35,'FY26 Revenue'!C:C,0)),IFERROR(INDEX('FY26 Revenue'!L:L,MATCH(A35,'FY26 Revenue'!B:B,0)),0))</f>
        <v>1.8</v>
      </c>
      <c r="D35" s="15">
        <f>SUMIFS(Account_Setup_and_Data_Load!T:T,Account_Setup_and_Data_Load!L:L,DATE(2026,3,1),Account_Setup_and_Data_Load!R:R,A35)</f>
        <v>1.8</v>
      </c>
      <c r="E35" s="18">
        <f t="shared" si="0"/>
        <v>0</v>
      </c>
      <c r="F35" s="16" t="str">
        <f t="shared" si="1"/>
        <v>OK</v>
      </c>
    </row>
    <row r="36" spans="1:6" x14ac:dyDescent="0.3">
      <c r="A36" s="14" t="s">
        <v>86</v>
      </c>
      <c r="B36" s="14" t="s">
        <v>80</v>
      </c>
      <c r="C36" s="15">
        <f>IFERROR(INDEX('FY26 Revenue'!L:L,MATCH(A36,'FY26 Revenue'!C:C,0)),IFERROR(INDEX('FY26 Revenue'!L:L,MATCH(A36,'FY26 Revenue'!B:B,0)),0))</f>
        <v>0</v>
      </c>
      <c r="D36" s="15">
        <f>SUMIFS(Account_Setup_and_Data_Load!T:T,Account_Setup_and_Data_Load!L:L,DATE(2026,3,1),Account_Setup_and_Data_Load!R:R,A36)</f>
        <v>0</v>
      </c>
      <c r="E36" s="15">
        <f t="shared" ref="E36:E67" si="2">ROUND(D36-C36,4)</f>
        <v>0</v>
      </c>
      <c r="F36" s="16" t="str">
        <f t="shared" ref="F36:F67" si="3">IF(ABS(E36)&lt;=0.001,"OK","MISMATCH")</f>
        <v>OK</v>
      </c>
    </row>
    <row r="37" spans="1:6" x14ac:dyDescent="0.3">
      <c r="A37" s="17" t="s">
        <v>90</v>
      </c>
      <c r="B37" s="17" t="s">
        <v>87</v>
      </c>
      <c r="C37" s="15">
        <f>IFERROR(INDEX('FY26 Revenue'!L:L,MATCH(A37,'FY26 Revenue'!C:C,0)),IFERROR(INDEX('FY26 Revenue'!L:L,MATCH(A37,'FY26 Revenue'!B:B,0)),0))</f>
        <v>0</v>
      </c>
      <c r="D37" s="15">
        <f>SUMIFS(Account_Setup_and_Data_Load!T:T,Account_Setup_and_Data_Load!L:L,DATE(2026,3,1),Account_Setup_and_Data_Load!R:R,A37)</f>
        <v>0</v>
      </c>
      <c r="E37" s="18">
        <f t="shared" si="2"/>
        <v>0</v>
      </c>
      <c r="F37" s="16" t="str">
        <f t="shared" si="3"/>
        <v>OK</v>
      </c>
    </row>
    <row r="38" spans="1:6" x14ac:dyDescent="0.3">
      <c r="A38" s="14" t="s">
        <v>91</v>
      </c>
      <c r="B38" s="14" t="s">
        <v>87</v>
      </c>
      <c r="C38" s="15">
        <f>IFERROR(INDEX('FY26 Revenue'!L:L,MATCH(A38,'FY26 Revenue'!C:C,0)),IFERROR(INDEX('FY26 Revenue'!L:L,MATCH(A38,'FY26 Revenue'!B:B,0)),0))</f>
        <v>0</v>
      </c>
      <c r="D38" s="15">
        <f>SUMIFS(Account_Setup_and_Data_Load!T:T,Account_Setup_and_Data_Load!L:L,DATE(2026,3,1),Account_Setup_and_Data_Load!R:R,A38)</f>
        <v>0</v>
      </c>
      <c r="E38" s="15">
        <f t="shared" si="2"/>
        <v>0</v>
      </c>
      <c r="F38" s="16" t="str">
        <f t="shared" si="3"/>
        <v>OK</v>
      </c>
    </row>
    <row r="39" spans="1:6" x14ac:dyDescent="0.3">
      <c r="A39" s="17" t="s">
        <v>92</v>
      </c>
      <c r="B39" s="17" t="s">
        <v>87</v>
      </c>
      <c r="C39" s="15">
        <f>IFERROR(INDEX('FY26 Revenue'!L:L,MATCH(A39,'FY26 Revenue'!C:C,0)),IFERROR(INDEX('FY26 Revenue'!L:L,MATCH(A39,'FY26 Revenue'!B:B,0)),0))</f>
        <v>1.1000000000000001</v>
      </c>
      <c r="D39" s="15">
        <f>SUMIFS(Account_Setup_and_Data_Load!T:T,Account_Setup_and_Data_Load!L:L,DATE(2026,3,1),Account_Setup_and_Data_Load!R:R,A39)</f>
        <v>1.1000000000000001</v>
      </c>
      <c r="E39" s="18">
        <f t="shared" si="2"/>
        <v>0</v>
      </c>
      <c r="F39" s="16" t="str">
        <f t="shared" si="3"/>
        <v>OK</v>
      </c>
    </row>
    <row r="40" spans="1:6" x14ac:dyDescent="0.3">
      <c r="A40" s="14" t="s">
        <v>96</v>
      </c>
      <c r="B40" s="14" t="s">
        <v>93</v>
      </c>
      <c r="C40" s="15">
        <f>IFERROR(INDEX('FY26 Revenue'!L:L,MATCH(A40,'FY26 Revenue'!C:C,0)),IFERROR(INDEX('FY26 Revenue'!L:L,MATCH(A40,'FY26 Revenue'!B:B,0)),0))</f>
        <v>0</v>
      </c>
      <c r="D40" s="15">
        <f>SUMIFS(Account_Setup_and_Data_Load!T:T,Account_Setup_and_Data_Load!L:L,DATE(2026,3,1),Account_Setup_and_Data_Load!R:R,A40)</f>
        <v>0</v>
      </c>
      <c r="E40" s="15">
        <f t="shared" si="2"/>
        <v>0</v>
      </c>
      <c r="F40" s="16" t="str">
        <f t="shared" si="3"/>
        <v>OK</v>
      </c>
    </row>
    <row r="41" spans="1:6" x14ac:dyDescent="0.3">
      <c r="A41" s="17" t="s">
        <v>100</v>
      </c>
      <c r="B41" s="17" t="s">
        <v>97</v>
      </c>
      <c r="C41" s="15">
        <f>IFERROR(INDEX('FY26 Revenue'!L:L,MATCH(A41,'FY26 Revenue'!C:C,0)),IFERROR(INDEX('FY26 Revenue'!L:L,MATCH(A41,'FY26 Revenue'!B:B,0)),0))</f>
        <v>0</v>
      </c>
      <c r="D41" s="15">
        <f>SUMIFS(Account_Setup_and_Data_Load!T:T,Account_Setup_and_Data_Load!L:L,DATE(2026,3,1),Account_Setup_and_Data_Load!R:R,A41)</f>
        <v>0</v>
      </c>
      <c r="E41" s="18">
        <f t="shared" si="2"/>
        <v>0</v>
      </c>
      <c r="F41" s="16" t="str">
        <f t="shared" si="3"/>
        <v>OK</v>
      </c>
    </row>
    <row r="42" spans="1:6" x14ac:dyDescent="0.3">
      <c r="A42" s="14" t="s">
        <v>101</v>
      </c>
      <c r="B42" s="14" t="s">
        <v>97</v>
      </c>
      <c r="C42" s="15">
        <f>IFERROR(INDEX('FY26 Revenue'!L:L,MATCH(A42,'FY26 Revenue'!C:C,0)),IFERROR(INDEX('FY26 Revenue'!L:L,MATCH(A42,'FY26 Revenue'!B:B,0)),0))</f>
        <v>23.5</v>
      </c>
      <c r="D42" s="15">
        <f>SUMIFS(Account_Setup_and_Data_Load!T:T,Account_Setup_and_Data_Load!L:L,DATE(2026,3,1),Account_Setup_and_Data_Load!R:R,A42)</f>
        <v>23.5</v>
      </c>
      <c r="E42" s="15">
        <f t="shared" si="2"/>
        <v>0</v>
      </c>
      <c r="F42" s="16" t="str">
        <f t="shared" si="3"/>
        <v>OK</v>
      </c>
    </row>
    <row r="43" spans="1:6" x14ac:dyDescent="0.3">
      <c r="A43" s="17" t="s">
        <v>105</v>
      </c>
      <c r="B43" s="17" t="s">
        <v>102</v>
      </c>
      <c r="C43" s="15">
        <f>IFERROR(INDEX('FY26 Revenue'!L:L,MATCH(A43,'FY26 Revenue'!C:C,0)),IFERROR(INDEX('FY26 Revenue'!L:L,MATCH(A43,'FY26 Revenue'!B:B,0)),0))</f>
        <v>19.600000000000001</v>
      </c>
      <c r="D43" s="15">
        <f>SUMIFS(Account_Setup_and_Data_Load!T:T,Account_Setup_and_Data_Load!L:L,DATE(2026,3,1),Account_Setup_and_Data_Load!R:R,A43)</f>
        <v>19.600000000000001</v>
      </c>
      <c r="E43" s="18">
        <f t="shared" si="2"/>
        <v>0</v>
      </c>
      <c r="F43" s="16" t="str">
        <f t="shared" si="3"/>
        <v>OK</v>
      </c>
    </row>
    <row r="44" spans="1:6" x14ac:dyDescent="0.3">
      <c r="A44" s="14" t="s">
        <v>109</v>
      </c>
      <c r="B44" s="14" t="s">
        <v>106</v>
      </c>
      <c r="C44" s="15">
        <f>IFERROR(INDEX('FY26 Revenue'!L:L,MATCH(A44,'FY26 Revenue'!C:C,0)),IFERROR(INDEX('FY26 Revenue'!L:L,MATCH(A44,'FY26 Revenue'!B:B,0)),0))</f>
        <v>0.6</v>
      </c>
      <c r="D44" s="15">
        <f>SUMIFS(Account_Setup_and_Data_Load!T:T,Account_Setup_and_Data_Load!L:L,DATE(2026,3,1),Account_Setup_and_Data_Load!R:R,A44)</f>
        <v>0.6</v>
      </c>
      <c r="E44" s="15">
        <f t="shared" si="2"/>
        <v>0</v>
      </c>
      <c r="F44" s="16" t="str">
        <f t="shared" si="3"/>
        <v>OK</v>
      </c>
    </row>
    <row r="45" spans="1:6" x14ac:dyDescent="0.3">
      <c r="A45" s="17" t="s">
        <v>110</v>
      </c>
      <c r="B45" s="17" t="s">
        <v>106</v>
      </c>
      <c r="C45" s="15">
        <f>IFERROR(INDEX('FY26 Revenue'!L:L,MATCH(A45,'FY26 Revenue'!C:C,0)),IFERROR(INDEX('FY26 Revenue'!L:L,MATCH(A45,'FY26 Revenue'!B:B,0)),0))</f>
        <v>2.5</v>
      </c>
      <c r="D45" s="15">
        <f>SUMIFS(Account_Setup_and_Data_Load!T:T,Account_Setup_and_Data_Load!L:L,DATE(2026,3,1),Account_Setup_and_Data_Load!R:R,A45)</f>
        <v>2.5</v>
      </c>
      <c r="E45" s="18">
        <f t="shared" si="2"/>
        <v>0</v>
      </c>
      <c r="F45" s="16" t="str">
        <f t="shared" si="3"/>
        <v>OK</v>
      </c>
    </row>
    <row r="46" spans="1:6" x14ac:dyDescent="0.3">
      <c r="A46" s="14" t="s">
        <v>111</v>
      </c>
      <c r="B46" s="14" t="s">
        <v>106</v>
      </c>
      <c r="C46" s="15">
        <f>IFERROR(INDEX('FY26 Revenue'!L:L,MATCH(A46,'FY26 Revenue'!C:C,0)),IFERROR(INDEX('FY26 Revenue'!L:L,MATCH(A46,'FY26 Revenue'!B:B,0)),0))</f>
        <v>3.6</v>
      </c>
      <c r="D46" s="15">
        <f>SUMIFS(Account_Setup_and_Data_Load!T:T,Account_Setup_and_Data_Load!L:L,DATE(2026,3,1),Account_Setup_and_Data_Load!R:R,A46)</f>
        <v>3.6</v>
      </c>
      <c r="E46" s="15">
        <f t="shared" si="2"/>
        <v>0</v>
      </c>
      <c r="F46" s="16" t="str">
        <f t="shared" si="3"/>
        <v>OK</v>
      </c>
    </row>
    <row r="47" spans="1:6" x14ac:dyDescent="0.3">
      <c r="A47" s="17" t="s">
        <v>112</v>
      </c>
      <c r="B47" s="17" t="s">
        <v>106</v>
      </c>
      <c r="C47" s="15">
        <f>IFERROR(INDEX('FY26 Revenue'!L:L,MATCH(A47,'FY26 Revenue'!C:C,0)),IFERROR(INDEX('FY26 Revenue'!L:L,MATCH(A47,'FY26 Revenue'!B:B,0)),0))</f>
        <v>1.1000000000000001</v>
      </c>
      <c r="D47" s="15">
        <f>SUMIFS(Account_Setup_and_Data_Load!T:T,Account_Setup_and_Data_Load!L:L,DATE(2026,3,1),Account_Setup_and_Data_Load!R:R,A47)</f>
        <v>1.1000000000000001</v>
      </c>
      <c r="E47" s="18">
        <f t="shared" si="2"/>
        <v>0</v>
      </c>
      <c r="F47" s="16" t="str">
        <f t="shared" si="3"/>
        <v>OK</v>
      </c>
    </row>
    <row r="48" spans="1:6" x14ac:dyDescent="0.3">
      <c r="A48" s="14" t="s">
        <v>113</v>
      </c>
      <c r="B48" s="14" t="s">
        <v>106</v>
      </c>
      <c r="C48" s="15">
        <f>IFERROR(INDEX('FY26 Revenue'!L:L,MATCH(A48,'FY26 Revenue'!C:C,0)),IFERROR(INDEX('FY26 Revenue'!L:L,MATCH(A48,'FY26 Revenue'!B:B,0)),0))</f>
        <v>0</v>
      </c>
      <c r="D48" s="15">
        <f>SUMIFS(Account_Setup_and_Data_Load!T:T,Account_Setup_and_Data_Load!L:L,DATE(2026,3,1),Account_Setup_and_Data_Load!R:R,A48)</f>
        <v>0</v>
      </c>
      <c r="E48" s="15">
        <f t="shared" si="2"/>
        <v>0</v>
      </c>
      <c r="F48" s="16" t="str">
        <f t="shared" si="3"/>
        <v>OK</v>
      </c>
    </row>
    <row r="49" spans="1:6" x14ac:dyDescent="0.3">
      <c r="A49" s="17" t="s">
        <v>114</v>
      </c>
      <c r="B49" s="17" t="s">
        <v>106</v>
      </c>
      <c r="C49" s="15">
        <f>IFERROR(INDEX('FY26 Revenue'!L:L,MATCH(A49,'FY26 Revenue'!C:C,0)),IFERROR(INDEX('FY26 Revenue'!L:L,MATCH(A49,'FY26 Revenue'!B:B,0)),0))</f>
        <v>0</v>
      </c>
      <c r="D49" s="15">
        <f>SUMIFS(Account_Setup_and_Data_Load!T:T,Account_Setup_and_Data_Load!L:L,DATE(2026,3,1),Account_Setup_and_Data_Load!R:R,A49)</f>
        <v>0</v>
      </c>
      <c r="E49" s="18">
        <f t="shared" si="2"/>
        <v>0</v>
      </c>
      <c r="F49" s="16" t="str">
        <f t="shared" si="3"/>
        <v>OK</v>
      </c>
    </row>
    <row r="50" spans="1:6" x14ac:dyDescent="0.3">
      <c r="A50" s="14" t="s">
        <v>115</v>
      </c>
      <c r="B50" s="14" t="s">
        <v>106</v>
      </c>
      <c r="C50" s="15">
        <f>IFERROR(INDEX('FY26 Revenue'!L:L,MATCH(A50,'FY26 Revenue'!C:C,0)),IFERROR(INDEX('FY26 Revenue'!L:L,MATCH(A50,'FY26 Revenue'!B:B,0)),0))</f>
        <v>0.1</v>
      </c>
      <c r="D50" s="15">
        <f>SUMIFS(Account_Setup_and_Data_Load!T:T,Account_Setup_and_Data_Load!L:L,DATE(2026,3,1),Account_Setup_and_Data_Load!R:R,A50)</f>
        <v>0.1</v>
      </c>
      <c r="E50" s="15">
        <f t="shared" si="2"/>
        <v>0</v>
      </c>
      <c r="F50" s="16" t="str">
        <f t="shared" si="3"/>
        <v>OK</v>
      </c>
    </row>
    <row r="51" spans="1:6" x14ac:dyDescent="0.3">
      <c r="A51" s="17" t="s">
        <v>119</v>
      </c>
      <c r="B51" s="17" t="s">
        <v>116</v>
      </c>
      <c r="C51" s="15">
        <f>IFERROR(INDEX('FY26 Revenue'!L:L,MATCH(A51,'FY26 Revenue'!C:C,0)),IFERROR(INDEX('FY26 Revenue'!L:L,MATCH(A51,'FY26 Revenue'!B:B,0)),0))</f>
        <v>1.5</v>
      </c>
      <c r="D51" s="15">
        <f>SUMIFS(Account_Setup_and_Data_Load!T:T,Account_Setup_and_Data_Load!L:L,DATE(2026,3,1),Account_Setup_and_Data_Load!R:R,A51)</f>
        <v>1.5</v>
      </c>
      <c r="E51" s="18">
        <f t="shared" si="2"/>
        <v>0</v>
      </c>
      <c r="F51" s="16" t="str">
        <f t="shared" si="3"/>
        <v>OK</v>
      </c>
    </row>
    <row r="52" spans="1:6" x14ac:dyDescent="0.3">
      <c r="A52" s="14" t="s">
        <v>120</v>
      </c>
      <c r="B52" s="14" t="s">
        <v>116</v>
      </c>
      <c r="C52" s="15">
        <f>IFERROR(INDEX('FY26 Revenue'!L:L,MATCH(A52,'FY26 Revenue'!C:C,0)),IFERROR(INDEX('FY26 Revenue'!L:L,MATCH(A52,'FY26 Revenue'!B:B,0)),0))</f>
        <v>0</v>
      </c>
      <c r="D52" s="15">
        <f>SUMIFS(Account_Setup_and_Data_Load!T:T,Account_Setup_and_Data_Load!L:L,DATE(2026,3,1),Account_Setup_and_Data_Load!R:R,A52)</f>
        <v>0</v>
      </c>
      <c r="E52" s="15">
        <f t="shared" si="2"/>
        <v>0</v>
      </c>
      <c r="F52" s="16" t="str">
        <f t="shared" si="3"/>
        <v>OK</v>
      </c>
    </row>
    <row r="53" spans="1:6" x14ac:dyDescent="0.3">
      <c r="A53" s="17" t="s">
        <v>121</v>
      </c>
      <c r="B53" s="17" t="s">
        <v>116</v>
      </c>
      <c r="C53" s="15">
        <f>IFERROR(INDEX('FY26 Revenue'!L:L,MATCH(A53,'FY26 Revenue'!C:C,0)),IFERROR(INDEX('FY26 Revenue'!L:L,MATCH(A53,'FY26 Revenue'!B:B,0)),0))</f>
        <v>7.8</v>
      </c>
      <c r="D53" s="15">
        <f>SUMIFS(Account_Setup_and_Data_Load!T:T,Account_Setup_and_Data_Load!L:L,DATE(2026,3,1),Account_Setup_and_Data_Load!R:R,A53)</f>
        <v>7.8</v>
      </c>
      <c r="E53" s="18">
        <f t="shared" si="2"/>
        <v>0</v>
      </c>
      <c r="F53" s="16" t="str">
        <f t="shared" si="3"/>
        <v>OK</v>
      </c>
    </row>
    <row r="54" spans="1:6" x14ac:dyDescent="0.3">
      <c r="A54" s="14" t="s">
        <v>125</v>
      </c>
      <c r="B54" s="14" t="s">
        <v>122</v>
      </c>
      <c r="C54" s="15">
        <f>IFERROR(INDEX('FY26 Revenue'!L:L,MATCH(A54,'FY26 Revenue'!C:C,0)),IFERROR(INDEX('FY26 Revenue'!L:L,MATCH(A54,'FY26 Revenue'!B:B,0)),0))</f>
        <v>23.8</v>
      </c>
      <c r="D54" s="15">
        <f>SUMIFS(Account_Setup_and_Data_Load!T:T,Account_Setup_and_Data_Load!L:L,DATE(2026,3,1),Account_Setup_and_Data_Load!R:R,A54)</f>
        <v>23.8</v>
      </c>
      <c r="E54" s="15">
        <f t="shared" si="2"/>
        <v>0</v>
      </c>
      <c r="F54" s="16" t="str">
        <f t="shared" si="3"/>
        <v>OK</v>
      </c>
    </row>
    <row r="55" spans="1:6" x14ac:dyDescent="0.3">
      <c r="A55" s="17" t="s">
        <v>126</v>
      </c>
      <c r="B55" s="17" t="s">
        <v>122</v>
      </c>
      <c r="C55" s="15">
        <f>IFERROR(INDEX('FY26 Revenue'!L:L,MATCH(A55,'FY26 Revenue'!C:C,0)),IFERROR(INDEX('FY26 Revenue'!L:L,MATCH(A55,'FY26 Revenue'!B:B,0)),0))</f>
        <v>0</v>
      </c>
      <c r="D55" s="15">
        <f>SUMIFS(Account_Setup_and_Data_Load!T:T,Account_Setup_and_Data_Load!L:L,DATE(2026,3,1),Account_Setup_and_Data_Load!R:R,A55)</f>
        <v>0</v>
      </c>
      <c r="E55" s="18">
        <f t="shared" si="2"/>
        <v>0</v>
      </c>
      <c r="F55" s="16" t="str">
        <f t="shared" si="3"/>
        <v>OK</v>
      </c>
    </row>
    <row r="56" spans="1:6" x14ac:dyDescent="0.3">
      <c r="A56" s="14" t="s">
        <v>127</v>
      </c>
      <c r="B56" s="14" t="s">
        <v>122</v>
      </c>
      <c r="C56" s="15">
        <f>IFERROR(INDEX('FY26 Revenue'!L:L,MATCH(A56,'FY26 Revenue'!C:C,0)),IFERROR(INDEX('FY26 Revenue'!L:L,MATCH(A56,'FY26 Revenue'!B:B,0)),0))</f>
        <v>0</v>
      </c>
      <c r="D56" s="15">
        <f>SUMIFS(Account_Setup_and_Data_Load!T:T,Account_Setup_and_Data_Load!L:L,DATE(2026,3,1),Account_Setup_and_Data_Load!R:R,A56)</f>
        <v>0</v>
      </c>
      <c r="E56" s="15">
        <f t="shared" si="2"/>
        <v>0</v>
      </c>
      <c r="F56" s="16" t="str">
        <f t="shared" si="3"/>
        <v>OK</v>
      </c>
    </row>
    <row r="57" spans="1:6" x14ac:dyDescent="0.3">
      <c r="A57" s="17" t="s">
        <v>128</v>
      </c>
      <c r="B57" s="17" t="s">
        <v>122</v>
      </c>
      <c r="C57" s="15">
        <f>IFERROR(INDEX('FY26 Revenue'!L:L,MATCH(A57,'FY26 Revenue'!C:C,0)),IFERROR(INDEX('FY26 Revenue'!L:L,MATCH(A57,'FY26 Revenue'!B:B,0)),0))</f>
        <v>25.5</v>
      </c>
      <c r="D57" s="15">
        <f>SUMIFS(Account_Setup_and_Data_Load!T:T,Account_Setup_and_Data_Load!L:L,DATE(2026,3,1),Account_Setup_and_Data_Load!R:R,A57)</f>
        <v>25.5</v>
      </c>
      <c r="E57" s="18">
        <f t="shared" si="2"/>
        <v>0</v>
      </c>
      <c r="F57" s="16" t="str">
        <f t="shared" si="3"/>
        <v>OK</v>
      </c>
    </row>
    <row r="58" spans="1:6" x14ac:dyDescent="0.3">
      <c r="A58" s="14" t="s">
        <v>129</v>
      </c>
      <c r="B58" s="14" t="s">
        <v>122</v>
      </c>
      <c r="C58" s="15">
        <f>IFERROR(INDEX('FY26 Revenue'!L:L,MATCH(A58,'FY26 Revenue'!C:C,0)),IFERROR(INDEX('FY26 Revenue'!L:L,MATCH(A58,'FY26 Revenue'!B:B,0)),0))</f>
        <v>11.2</v>
      </c>
      <c r="D58" s="15">
        <f>SUMIFS(Account_Setup_and_Data_Load!T:T,Account_Setup_and_Data_Load!L:L,DATE(2026,3,1),Account_Setup_and_Data_Load!R:R,A58)</f>
        <v>11.2</v>
      </c>
      <c r="E58" s="15">
        <f t="shared" si="2"/>
        <v>0</v>
      </c>
      <c r="F58" s="16" t="str">
        <f t="shared" si="3"/>
        <v>OK</v>
      </c>
    </row>
    <row r="59" spans="1:6" x14ac:dyDescent="0.3">
      <c r="A59" s="17" t="s">
        <v>130</v>
      </c>
      <c r="B59" s="17" t="s">
        <v>122</v>
      </c>
      <c r="C59" s="15">
        <f>IFERROR(INDEX('FY26 Revenue'!L:L,MATCH(A59,'FY26 Revenue'!C:C,0)),IFERROR(INDEX('FY26 Revenue'!L:L,MATCH(A59,'FY26 Revenue'!B:B,0)),0))</f>
        <v>0</v>
      </c>
      <c r="D59" s="15">
        <f>SUMIFS(Account_Setup_and_Data_Load!T:T,Account_Setup_and_Data_Load!L:L,DATE(2026,3,1),Account_Setup_and_Data_Load!R:R,A59)</f>
        <v>0</v>
      </c>
      <c r="E59" s="18">
        <f t="shared" si="2"/>
        <v>0</v>
      </c>
      <c r="F59" s="16" t="str">
        <f t="shared" si="3"/>
        <v>OK</v>
      </c>
    </row>
    <row r="60" spans="1:6" x14ac:dyDescent="0.3">
      <c r="A60" s="14" t="s">
        <v>131</v>
      </c>
      <c r="B60" s="14" t="s">
        <v>122</v>
      </c>
      <c r="C60" s="15">
        <f>IFERROR(INDEX('FY26 Revenue'!L:L,MATCH(A60,'FY26 Revenue'!C:C,0)),IFERROR(INDEX('FY26 Revenue'!L:L,MATCH(A60,'FY26 Revenue'!B:B,0)),0))</f>
        <v>11.3</v>
      </c>
      <c r="D60" s="15">
        <f>SUMIFS(Account_Setup_and_Data_Load!T:T,Account_Setup_and_Data_Load!L:L,DATE(2026,3,1),Account_Setup_and_Data_Load!R:R,A60)</f>
        <v>11.3</v>
      </c>
      <c r="E60" s="15">
        <f t="shared" si="2"/>
        <v>0</v>
      </c>
      <c r="F60" s="16" t="str">
        <f t="shared" si="3"/>
        <v>OK</v>
      </c>
    </row>
    <row r="61" spans="1:6" x14ac:dyDescent="0.3">
      <c r="A61" s="17" t="s">
        <v>135</v>
      </c>
      <c r="B61" s="17" t="s">
        <v>132</v>
      </c>
      <c r="C61" s="15">
        <f>IFERROR(INDEX('FY26 Revenue'!L:L,MATCH(A61,'FY26 Revenue'!C:C,0)),IFERROR(INDEX('FY26 Revenue'!L:L,MATCH(A61,'FY26 Revenue'!B:B,0)),0))</f>
        <v>3.4</v>
      </c>
      <c r="D61" s="15">
        <f>SUMIFS(Account_Setup_and_Data_Load!T:T,Account_Setup_and_Data_Load!L:L,DATE(2026,3,1),Account_Setup_and_Data_Load!R:R,A61)</f>
        <v>3.4</v>
      </c>
      <c r="E61" s="18">
        <f t="shared" si="2"/>
        <v>0</v>
      </c>
      <c r="F61" s="16" t="str">
        <f t="shared" si="3"/>
        <v>OK</v>
      </c>
    </row>
    <row r="62" spans="1:6" x14ac:dyDescent="0.3">
      <c r="A62" s="14" t="s">
        <v>136</v>
      </c>
      <c r="B62" s="14" t="s">
        <v>132</v>
      </c>
      <c r="C62" s="15">
        <f>IFERROR(INDEX('FY26 Revenue'!L:L,MATCH(A62,'FY26 Revenue'!C:C,0)),IFERROR(INDEX('FY26 Revenue'!L:L,MATCH(A62,'FY26 Revenue'!B:B,0)),0))</f>
        <v>29</v>
      </c>
      <c r="D62" s="15">
        <f>SUMIFS(Account_Setup_and_Data_Load!T:T,Account_Setup_and_Data_Load!L:L,DATE(2026,3,1),Account_Setup_and_Data_Load!R:R,A62)</f>
        <v>29</v>
      </c>
      <c r="E62" s="15">
        <f t="shared" si="2"/>
        <v>0</v>
      </c>
      <c r="F62" s="16" t="str">
        <f t="shared" si="3"/>
        <v>OK</v>
      </c>
    </row>
    <row r="63" spans="1:6" x14ac:dyDescent="0.3">
      <c r="A63" s="17" t="s">
        <v>137</v>
      </c>
      <c r="B63" s="17" t="s">
        <v>132</v>
      </c>
      <c r="C63" s="15">
        <f>IFERROR(INDEX('FY26 Revenue'!L:L,MATCH(A63,'FY26 Revenue'!C:C,0)),IFERROR(INDEX('FY26 Revenue'!L:L,MATCH(A63,'FY26 Revenue'!B:B,0)),0))</f>
        <v>0</v>
      </c>
      <c r="D63" s="15">
        <f>SUMIFS(Account_Setup_and_Data_Load!T:T,Account_Setup_and_Data_Load!L:L,DATE(2026,3,1),Account_Setup_and_Data_Load!R:R,A63)</f>
        <v>0</v>
      </c>
      <c r="E63" s="18">
        <f t="shared" si="2"/>
        <v>0</v>
      </c>
      <c r="F63" s="16" t="str">
        <f t="shared" si="3"/>
        <v>OK</v>
      </c>
    </row>
    <row r="64" spans="1:6" x14ac:dyDescent="0.3">
      <c r="A64" s="14" t="s">
        <v>138</v>
      </c>
      <c r="B64" s="14" t="s">
        <v>132</v>
      </c>
      <c r="C64" s="15">
        <f>IFERROR(INDEX('FY26 Revenue'!L:L,MATCH(A64,'FY26 Revenue'!C:C,0)),IFERROR(INDEX('FY26 Revenue'!L:L,MATCH(A64,'FY26 Revenue'!B:B,0)),0))</f>
        <v>0</v>
      </c>
      <c r="D64" s="15">
        <f>SUMIFS(Account_Setup_and_Data_Load!T:T,Account_Setup_and_Data_Load!L:L,DATE(2026,3,1),Account_Setup_and_Data_Load!R:R,A64)</f>
        <v>0</v>
      </c>
      <c r="E64" s="15">
        <f t="shared" si="2"/>
        <v>0</v>
      </c>
      <c r="F64" s="16" t="str">
        <f t="shared" si="3"/>
        <v>OK</v>
      </c>
    </row>
    <row r="65" spans="1:6" x14ac:dyDescent="0.3">
      <c r="A65" s="17" t="s">
        <v>142</v>
      </c>
      <c r="B65" s="17" t="s">
        <v>139</v>
      </c>
      <c r="C65" s="15">
        <f>IFERROR(INDEX('FY26 Revenue'!L:L,MATCH(A65,'FY26 Revenue'!C:C,0)),IFERROR(INDEX('FY26 Revenue'!L:L,MATCH(A65,'FY26 Revenue'!B:B,0)),0))</f>
        <v>0</v>
      </c>
      <c r="D65" s="15">
        <f>SUMIFS(Account_Setup_and_Data_Load!T:T,Account_Setup_and_Data_Load!L:L,DATE(2026,3,1),Account_Setup_and_Data_Load!R:R,A65)</f>
        <v>0</v>
      </c>
      <c r="E65" s="18">
        <f t="shared" si="2"/>
        <v>0</v>
      </c>
      <c r="F65" s="16" t="str">
        <f t="shared" si="3"/>
        <v>OK</v>
      </c>
    </row>
    <row r="66" spans="1:6" x14ac:dyDescent="0.3">
      <c r="A66" s="14" t="s">
        <v>146</v>
      </c>
      <c r="B66" s="14" t="s">
        <v>143</v>
      </c>
      <c r="C66" s="15">
        <f>IFERROR(INDEX('FY26 Revenue'!L:L,MATCH(A66,'FY26 Revenue'!C:C,0)),IFERROR(INDEX('FY26 Revenue'!L:L,MATCH(A66,'FY26 Revenue'!B:B,0)),0))</f>
        <v>71.8</v>
      </c>
      <c r="D66" s="15">
        <f>SUMIFS(Account_Setup_and_Data_Load!T:T,Account_Setup_and_Data_Load!L:L,DATE(2026,3,1),Account_Setup_and_Data_Load!R:R,A66)</f>
        <v>71.8</v>
      </c>
      <c r="E66" s="15">
        <f t="shared" si="2"/>
        <v>0</v>
      </c>
      <c r="F66" s="16" t="str">
        <f t="shared" si="3"/>
        <v>OK</v>
      </c>
    </row>
    <row r="67" spans="1:6" x14ac:dyDescent="0.3">
      <c r="A67" s="17" t="s">
        <v>147</v>
      </c>
      <c r="B67" s="17" t="s">
        <v>143</v>
      </c>
      <c r="C67" s="15">
        <f>IFERROR(INDEX('FY26 Revenue'!L:L,MATCH(A67,'FY26 Revenue'!C:C,0)),IFERROR(INDEX('FY26 Revenue'!L:L,MATCH(A67,'FY26 Revenue'!B:B,0)),0))</f>
        <v>24.7</v>
      </c>
      <c r="D67" s="15">
        <f>SUMIFS(Account_Setup_and_Data_Load!T:T,Account_Setup_and_Data_Load!L:L,DATE(2026,3,1),Account_Setup_and_Data_Load!R:R,A67)</f>
        <v>24.7</v>
      </c>
      <c r="E67" s="18">
        <f t="shared" si="2"/>
        <v>0</v>
      </c>
      <c r="F67" s="16" t="str">
        <f t="shared" si="3"/>
        <v>OK</v>
      </c>
    </row>
    <row r="68" spans="1:6" x14ac:dyDescent="0.3">
      <c r="A68" s="14" t="s">
        <v>151</v>
      </c>
      <c r="B68" s="14" t="s">
        <v>148</v>
      </c>
      <c r="C68" s="15">
        <f>IFERROR(INDEX('FY26 Revenue'!L:L,MATCH(A68,'FY26 Revenue'!C:C,0)),IFERROR(INDEX('FY26 Revenue'!L:L,MATCH(A68,'FY26 Revenue'!B:B,0)),0))</f>
        <v>7.3</v>
      </c>
      <c r="D68" s="15">
        <f>SUMIFS(Account_Setup_and_Data_Load!T:T,Account_Setup_and_Data_Load!L:L,DATE(2026,3,1),Account_Setup_and_Data_Load!R:R,A68)</f>
        <v>7.3</v>
      </c>
      <c r="E68" s="15">
        <f t="shared" ref="E68:E83" si="4">ROUND(D68-C68,4)</f>
        <v>0</v>
      </c>
      <c r="F68" s="16" t="str">
        <f t="shared" ref="F68:F82" si="5">IF(ABS(E68)&lt;=0.001,"OK","MISMATCH")</f>
        <v>OK</v>
      </c>
    </row>
    <row r="69" spans="1:6" x14ac:dyDescent="0.3">
      <c r="A69" s="17" t="s">
        <v>152</v>
      </c>
      <c r="B69" s="17" t="s">
        <v>148</v>
      </c>
      <c r="C69" s="15">
        <f>IFERROR(INDEX('FY26 Revenue'!L:L,MATCH(A69,'FY26 Revenue'!C:C,0)),IFERROR(INDEX('FY26 Revenue'!L:L,MATCH(A69,'FY26 Revenue'!B:B,0)),0))</f>
        <v>2.2000000000000002</v>
      </c>
      <c r="D69" s="15">
        <f>SUMIFS(Account_Setup_and_Data_Load!T:T,Account_Setup_and_Data_Load!L:L,DATE(2026,3,1),Account_Setup_and_Data_Load!R:R,A69)</f>
        <v>2.2000000000000002</v>
      </c>
      <c r="E69" s="18">
        <f t="shared" si="4"/>
        <v>0</v>
      </c>
      <c r="F69" s="16" t="str">
        <f t="shared" si="5"/>
        <v>OK</v>
      </c>
    </row>
    <row r="70" spans="1:6" x14ac:dyDescent="0.3">
      <c r="A70" s="14" t="s">
        <v>153</v>
      </c>
      <c r="B70" s="14" t="s">
        <v>148</v>
      </c>
      <c r="C70" s="15">
        <f>IFERROR(INDEX('FY26 Revenue'!L:L,MATCH(A70,'FY26 Revenue'!C:C,0)),IFERROR(INDEX('FY26 Revenue'!L:L,MATCH(A70,'FY26 Revenue'!B:B,0)),0))</f>
        <v>0</v>
      </c>
      <c r="D70" s="15">
        <f>SUMIFS(Account_Setup_and_Data_Load!T:T,Account_Setup_and_Data_Load!L:L,DATE(2026,3,1),Account_Setup_and_Data_Load!R:R,A70)</f>
        <v>0</v>
      </c>
      <c r="E70" s="15">
        <f t="shared" si="4"/>
        <v>0</v>
      </c>
      <c r="F70" s="16" t="str">
        <f t="shared" si="5"/>
        <v>OK</v>
      </c>
    </row>
    <row r="71" spans="1:6" x14ac:dyDescent="0.3">
      <c r="A71" s="17" t="s">
        <v>157</v>
      </c>
      <c r="B71" s="17" t="s">
        <v>154</v>
      </c>
      <c r="C71" s="15">
        <f>IFERROR(INDEX('FY26 Revenue'!L:L,MATCH(A71,'FY26 Revenue'!C:C,0)),IFERROR(INDEX('FY26 Revenue'!L:L,MATCH(A71,'FY26 Revenue'!B:B,0)),0))</f>
        <v>1.7</v>
      </c>
      <c r="D71" s="15">
        <f>SUMIFS(Account_Setup_and_Data_Load!T:T,Account_Setup_and_Data_Load!L:L,DATE(2026,3,1),Account_Setup_and_Data_Load!R:R,A71)</f>
        <v>1.7</v>
      </c>
      <c r="E71" s="18">
        <f t="shared" si="4"/>
        <v>0</v>
      </c>
      <c r="F71" s="16" t="str">
        <f t="shared" si="5"/>
        <v>OK</v>
      </c>
    </row>
    <row r="72" spans="1:6" x14ac:dyDescent="0.3">
      <c r="A72" s="14" t="s">
        <v>161</v>
      </c>
      <c r="B72" s="14" t="s">
        <v>158</v>
      </c>
      <c r="C72" s="15">
        <f>IFERROR(INDEX('FY26 Revenue'!L:L,MATCH(A72,'FY26 Revenue'!C:C,0)),IFERROR(INDEX('FY26 Revenue'!L:L,MATCH(A72,'FY26 Revenue'!B:B,0)),0))</f>
        <v>0</v>
      </c>
      <c r="D72" s="15">
        <f>SUMIFS(Account_Setup_and_Data_Load!T:T,Account_Setup_and_Data_Load!L:L,DATE(2026,3,1),Account_Setup_and_Data_Load!R:R,A72)</f>
        <v>0</v>
      </c>
      <c r="E72" s="15">
        <f t="shared" si="4"/>
        <v>0</v>
      </c>
      <c r="F72" s="16" t="str">
        <f t="shared" si="5"/>
        <v>OK</v>
      </c>
    </row>
    <row r="73" spans="1:6" x14ac:dyDescent="0.3">
      <c r="A73" s="17" t="s">
        <v>165</v>
      </c>
      <c r="B73" s="17" t="s">
        <v>162</v>
      </c>
      <c r="C73" s="15">
        <f>IFERROR(INDEX('FY26 Revenue'!L:L,MATCH(A73,'FY26 Revenue'!C:C,0)),IFERROR(INDEX('FY26 Revenue'!L:L,MATCH(A73,'FY26 Revenue'!B:B,0)),0))</f>
        <v>0</v>
      </c>
      <c r="D73" s="15">
        <f>SUMIFS(Account_Setup_and_Data_Load!T:T,Account_Setup_and_Data_Load!L:L,DATE(2026,3,1),Account_Setup_and_Data_Load!R:R,A73)</f>
        <v>0</v>
      </c>
      <c r="E73" s="18">
        <f t="shared" si="4"/>
        <v>0</v>
      </c>
      <c r="F73" s="16" t="str">
        <f t="shared" si="5"/>
        <v>OK</v>
      </c>
    </row>
    <row r="74" spans="1:6" x14ac:dyDescent="0.3">
      <c r="A74" s="14" t="s">
        <v>169</v>
      </c>
      <c r="B74" s="14" t="s">
        <v>166</v>
      </c>
      <c r="C74" s="15">
        <f>IFERROR(INDEX('FY26 Revenue'!L:L,MATCH(A74,'FY26 Revenue'!C:C,0)),IFERROR(INDEX('FY26 Revenue'!L:L,MATCH(A74,'FY26 Revenue'!B:B,0)),0))</f>
        <v>-0.1</v>
      </c>
      <c r="D74" s="15">
        <f>SUMIFS(Account_Setup_and_Data_Load!T:T,Account_Setup_and_Data_Load!L:L,DATE(2026,3,1),Account_Setup_and_Data_Load!R:R,A74)</f>
        <v>-0.1</v>
      </c>
      <c r="E74" s="15">
        <f t="shared" si="4"/>
        <v>0</v>
      </c>
      <c r="F74" s="16" t="str">
        <f t="shared" si="5"/>
        <v>OK</v>
      </c>
    </row>
    <row r="75" spans="1:6" x14ac:dyDescent="0.3">
      <c r="A75" s="17" t="s">
        <v>170</v>
      </c>
      <c r="B75" s="17" t="s">
        <v>166</v>
      </c>
      <c r="C75" s="15">
        <f>IFERROR(INDEX('FY26 Revenue'!L:L,MATCH(A75,'FY26 Revenue'!C:C,0)),IFERROR(INDEX('FY26 Revenue'!L:L,MATCH(A75,'FY26 Revenue'!B:B,0)),0))</f>
        <v>-0.6</v>
      </c>
      <c r="D75" s="15">
        <f>SUMIFS(Account_Setup_and_Data_Load!T:T,Account_Setup_and_Data_Load!L:L,DATE(2026,3,1),Account_Setup_and_Data_Load!R:R,A75)</f>
        <v>-0.6</v>
      </c>
      <c r="E75" s="18">
        <f t="shared" si="4"/>
        <v>0</v>
      </c>
      <c r="F75" s="16" t="str">
        <f t="shared" si="5"/>
        <v>OK</v>
      </c>
    </row>
    <row r="76" spans="1:6" x14ac:dyDescent="0.3">
      <c r="A76" s="14" t="s">
        <v>171</v>
      </c>
      <c r="B76" s="14" t="s">
        <v>166</v>
      </c>
      <c r="C76" s="15">
        <f>IFERROR(INDEX('FY26 Revenue'!L:L,MATCH(A76,'FY26 Revenue'!C:C,0)),IFERROR(INDEX('FY26 Revenue'!L:L,MATCH(A76,'FY26 Revenue'!B:B,0)),0))</f>
        <v>1.9</v>
      </c>
      <c r="D76" s="15">
        <f>SUMIFS(Account_Setup_and_Data_Load!T:T,Account_Setup_and_Data_Load!L:L,DATE(2026,3,1),Account_Setup_and_Data_Load!R:R,A76)</f>
        <v>1.9</v>
      </c>
      <c r="E76" s="15">
        <f t="shared" si="4"/>
        <v>0</v>
      </c>
      <c r="F76" s="16" t="str">
        <f t="shared" si="5"/>
        <v>OK</v>
      </c>
    </row>
    <row r="77" spans="1:6" x14ac:dyDescent="0.3">
      <c r="A77" s="17" t="s">
        <v>172</v>
      </c>
      <c r="B77" s="17" t="s">
        <v>166</v>
      </c>
      <c r="C77" s="15">
        <f>IFERROR(INDEX('FY26 Revenue'!L:L,MATCH(A77,'FY26 Revenue'!C:C,0)),IFERROR(INDEX('FY26 Revenue'!L:L,MATCH(A77,'FY26 Revenue'!B:B,0)),0))</f>
        <v>0</v>
      </c>
      <c r="D77" s="15">
        <f>SUMIFS(Account_Setup_and_Data_Load!T:T,Account_Setup_and_Data_Load!L:L,DATE(2026,3,1),Account_Setup_and_Data_Load!R:R,A77)</f>
        <v>0</v>
      </c>
      <c r="E77" s="18">
        <f t="shared" si="4"/>
        <v>0</v>
      </c>
      <c r="F77" s="16" t="str">
        <f t="shared" si="5"/>
        <v>OK</v>
      </c>
    </row>
    <row r="78" spans="1:6" x14ac:dyDescent="0.3">
      <c r="A78" s="14" t="s">
        <v>173</v>
      </c>
      <c r="B78" s="14" t="s">
        <v>166</v>
      </c>
      <c r="C78" s="15">
        <f>IFERROR(INDEX('FY26 Revenue'!L:L,MATCH(A78,'FY26 Revenue'!C:C,0)),IFERROR(INDEX('FY26 Revenue'!L:L,MATCH(A78,'FY26 Revenue'!B:B,0)),0))</f>
        <v>0</v>
      </c>
      <c r="D78" s="15">
        <f>SUMIFS(Account_Setup_and_Data_Load!T:T,Account_Setup_and_Data_Load!L:L,DATE(2026,3,1),Account_Setup_and_Data_Load!R:R,A78)</f>
        <v>0</v>
      </c>
      <c r="E78" s="15">
        <f t="shared" si="4"/>
        <v>0</v>
      </c>
      <c r="F78" s="16" t="str">
        <f t="shared" si="5"/>
        <v>OK</v>
      </c>
    </row>
    <row r="79" spans="1:6" x14ac:dyDescent="0.3">
      <c r="A79" s="17" t="s">
        <v>177</v>
      </c>
      <c r="B79" s="17" t="s">
        <v>174</v>
      </c>
      <c r="C79" s="15">
        <f>IFERROR(INDEX('FY26 Revenue'!L:L,MATCH(A79,'FY26 Revenue'!C:C,0)),IFERROR(INDEX('FY26 Revenue'!L:L,MATCH(A79,'FY26 Revenue'!B:B,0)),0))</f>
        <v>-1.7999999999999998</v>
      </c>
      <c r="D79" s="15">
        <f>SUMIFS(Account_Setup_and_Data_Load!T:T,Account_Setup_and_Data_Load!L:L,DATE(2026,3,1),Account_Setup_and_Data_Load!R:R,A79)</f>
        <v>-1.7999999999999998</v>
      </c>
      <c r="E79" s="18">
        <f t="shared" si="4"/>
        <v>0</v>
      </c>
      <c r="F79" s="16" t="str">
        <f t="shared" si="5"/>
        <v>OK</v>
      </c>
    </row>
    <row r="80" spans="1:6" x14ac:dyDescent="0.3">
      <c r="A80" s="14" t="s">
        <v>178</v>
      </c>
      <c r="B80" s="14" t="s">
        <v>174</v>
      </c>
      <c r="C80" s="15">
        <f>IFERROR(INDEX('FY26 Revenue'!L:L,MATCH(A80,'FY26 Revenue'!C:C,0)),IFERROR(INDEX('FY26 Revenue'!L:L,MATCH(A80,'FY26 Revenue'!B:B,0)),0))</f>
        <v>0</v>
      </c>
      <c r="D80" s="15">
        <f>SUMIFS(Account_Setup_and_Data_Load!T:T,Account_Setup_and_Data_Load!L:L,DATE(2026,3,1),Account_Setup_and_Data_Load!R:R,A80)</f>
        <v>0</v>
      </c>
      <c r="E80" s="15">
        <f t="shared" si="4"/>
        <v>0</v>
      </c>
      <c r="F80" s="16" t="str">
        <f t="shared" si="5"/>
        <v>OK</v>
      </c>
    </row>
    <row r="81" spans="1:6" x14ac:dyDescent="0.3">
      <c r="A81" s="17" t="s">
        <v>182</v>
      </c>
      <c r="B81" s="17" t="s">
        <v>179</v>
      </c>
      <c r="C81" s="15">
        <f>IFERROR(INDEX('FY26 Revenue'!L:L,MATCH(A81,'FY26 Revenue'!C:C,0)),IFERROR(INDEX('FY26 Revenue'!L:L,MATCH(A81,'FY26 Revenue'!B:B,0)),0))</f>
        <v>0.1</v>
      </c>
      <c r="D81" s="15">
        <f>SUMIFS(Account_Setup_and_Data_Load!T:T,Account_Setup_and_Data_Load!L:L,DATE(2026,3,1),Account_Setup_and_Data_Load!R:R,A81)</f>
        <v>0.1</v>
      </c>
      <c r="E81" s="18">
        <f t="shared" si="4"/>
        <v>0</v>
      </c>
      <c r="F81" s="16" t="str">
        <f t="shared" si="5"/>
        <v>OK</v>
      </c>
    </row>
    <row r="82" spans="1:6" x14ac:dyDescent="0.3">
      <c r="A82" s="14" t="s">
        <v>186</v>
      </c>
      <c r="B82" s="14" t="s">
        <v>183</v>
      </c>
      <c r="C82" s="15">
        <f>IFERROR(INDEX('FY26 Revenue'!L:L,MATCH(A82,'FY26 Revenue'!C:C,0)),IFERROR(INDEX('FY26 Revenue'!L:L,MATCH(A82,'FY26 Revenue'!B:B,0)),0))</f>
        <v>9.9999999999886319E-2</v>
      </c>
      <c r="D82" s="15">
        <f>SUMIFS(Account_Setup_and_Data_Load!T:T,Account_Setup_and_Data_Load!L:L,DATE(2026,3,1),Account_Setup_and_Data_Load!R:R,A82)</f>
        <v>9.9999999999886319E-2</v>
      </c>
      <c r="E82" s="15">
        <f t="shared" si="4"/>
        <v>0</v>
      </c>
      <c r="F82" s="16" t="str">
        <f t="shared" si="5"/>
        <v>OK</v>
      </c>
    </row>
    <row r="83" spans="1:6" x14ac:dyDescent="0.3">
      <c r="A83" s="32" t="s">
        <v>6633</v>
      </c>
      <c r="B83" s="32"/>
      <c r="C83" s="19">
        <f>SUM(C4:C82)</f>
        <v>845.80000000000007</v>
      </c>
      <c r="D83" s="19">
        <f>SUM(D4:D82)</f>
        <v>845.80000000000007</v>
      </c>
      <c r="E83" s="19">
        <f t="shared" si="4"/>
        <v>0</v>
      </c>
      <c r="F83" s="20" t="str">
        <f>COUNTIF(F4:F82,"OK")&amp;"/"&amp;COUNTA(F4:F82)&amp;" OK"&amp;IF(COUNTIF(F4:F82,"MISMATCH")&gt;0," — "&amp;COUNTIF(F4:F82,"MISMATCH")&amp;" MISMATCH","")</f>
        <v>79/79 OK</v>
      </c>
    </row>
  </sheetData>
  <mergeCells count="3">
    <mergeCell ref="A1:F1"/>
    <mergeCell ref="A2:F2"/>
    <mergeCell ref="A83:B8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zoomScaleNormal="100" workbookViewId="0">
      <selection activeCell="B13" sqref="B13"/>
    </sheetView>
  </sheetViews>
  <sheetFormatPr defaultColWidth="8.5546875" defaultRowHeight="14.4" x14ac:dyDescent="0.3"/>
  <cols>
    <col min="1" max="1" width="12" customWidth="1"/>
    <col min="2" max="2" width="24" customWidth="1"/>
    <col min="3" max="3" width="22" customWidth="1"/>
    <col min="4" max="4" width="12" customWidth="1"/>
    <col min="5" max="5" width="20" customWidth="1"/>
    <col min="6" max="6" width="12" customWidth="1"/>
  </cols>
  <sheetData>
    <row r="1" spans="1:6" ht="21.75" customHeight="1" x14ac:dyDescent="0.3">
      <c r="A1" s="30" t="s">
        <v>6634</v>
      </c>
      <c r="B1" s="30"/>
      <c r="C1" s="30"/>
      <c r="D1" s="30"/>
      <c r="E1" s="30"/>
      <c r="F1" s="30"/>
    </row>
    <row r="2" spans="1:6" ht="18" customHeight="1" x14ac:dyDescent="0.3">
      <c r="A2" s="31" t="s">
        <v>6652</v>
      </c>
      <c r="B2" s="31"/>
      <c r="C2" s="31"/>
      <c r="D2" s="31"/>
      <c r="E2" s="31"/>
      <c r="F2" s="31"/>
    </row>
    <row r="3" spans="1:6" ht="18" customHeight="1" x14ac:dyDescent="0.3">
      <c r="A3" s="13" t="s">
        <v>6635</v>
      </c>
      <c r="B3" s="13" t="s">
        <v>6636</v>
      </c>
      <c r="C3" s="13" t="s">
        <v>6637</v>
      </c>
      <c r="D3" s="13" t="s">
        <v>6631</v>
      </c>
      <c r="E3" s="13" t="s">
        <v>6638</v>
      </c>
      <c r="F3" s="13" t="s">
        <v>6632</v>
      </c>
    </row>
    <row r="4" spans="1:6" x14ac:dyDescent="0.3">
      <c r="A4" s="14" t="s">
        <v>6639</v>
      </c>
      <c r="B4" s="15">
        <f>SUM('FY26 Revenue'!D2:D80)</f>
        <v>780.70000000000027</v>
      </c>
      <c r="C4" s="15">
        <f>SUMIFS(Account_Setup_and_Data_Load!T:T,Account_Setup_and_Data_Load!L:L,DATE(2025,7,1))</f>
        <v>780.70000000000027</v>
      </c>
      <c r="D4" s="15">
        <f t="shared" ref="D4:D11" si="0">ROUND(C4-B4,2)</f>
        <v>0</v>
      </c>
      <c r="E4" s="21">
        <f>COUNTIF(Account_Setup_and_Data_Load!L:L,DATE(2025,7,1))</f>
        <v>79</v>
      </c>
      <c r="F4" s="16" t="str">
        <f t="shared" ref="F4:F11" si="1">IF(ABS(D4)&lt;=0.15,"OK","MISMATCH")</f>
        <v>OK</v>
      </c>
    </row>
    <row r="5" spans="1:6" x14ac:dyDescent="0.3">
      <c r="A5" s="17" t="s">
        <v>6640</v>
      </c>
      <c r="B5" s="18">
        <f>SUM('FY26 Revenue'!E2:E80)</f>
        <v>751.69999999999993</v>
      </c>
      <c r="C5" s="18">
        <f>SUMIFS(Account_Setup_and_Data_Load!T:T,Account_Setup_and_Data_Load!L:L,DATE(2025,8,1))</f>
        <v>751.69999999999993</v>
      </c>
      <c r="D5" s="18">
        <f t="shared" si="0"/>
        <v>0</v>
      </c>
      <c r="E5" s="22">
        <f>COUNTIF(Account_Setup_and_Data_Load!L:L,DATE(2025,8,1))</f>
        <v>79</v>
      </c>
      <c r="F5" s="16" t="str">
        <f t="shared" si="1"/>
        <v>OK</v>
      </c>
    </row>
    <row r="6" spans="1:6" x14ac:dyDescent="0.3">
      <c r="A6" s="14" t="s">
        <v>6641</v>
      </c>
      <c r="B6" s="15">
        <f>SUM('FY26 Revenue'!F2:F80)</f>
        <v>831.20000000000016</v>
      </c>
      <c r="C6" s="15">
        <f>SUMIFS(Account_Setup_and_Data_Load!T:T,Account_Setup_and_Data_Load!L:L,DATE(2025,9,1))</f>
        <v>831.20000000000016</v>
      </c>
      <c r="D6" s="15">
        <f t="shared" si="0"/>
        <v>0</v>
      </c>
      <c r="E6" s="21">
        <f>COUNTIF(Account_Setup_and_Data_Load!L:L,DATE(2025,9,1))</f>
        <v>79</v>
      </c>
      <c r="F6" s="16" t="str">
        <f t="shared" si="1"/>
        <v>OK</v>
      </c>
    </row>
    <row r="7" spans="1:6" x14ac:dyDescent="0.3">
      <c r="A7" s="17" t="s">
        <v>6642</v>
      </c>
      <c r="B7" s="18">
        <f>SUM('FY26 Revenue'!G2:G80)</f>
        <v>882.30000000000018</v>
      </c>
      <c r="C7" s="18">
        <f>SUMIFS(Account_Setup_and_Data_Load!T:T,Account_Setup_and_Data_Load!L:L,DATE(2025,10,1))</f>
        <v>882.30000000000018</v>
      </c>
      <c r="D7" s="18">
        <f t="shared" si="0"/>
        <v>0</v>
      </c>
      <c r="E7" s="22">
        <f>COUNTIF(Account_Setup_and_Data_Load!L:L,DATE(2025,10,1))</f>
        <v>79</v>
      </c>
      <c r="F7" s="16" t="str">
        <f t="shared" si="1"/>
        <v>OK</v>
      </c>
    </row>
    <row r="8" spans="1:6" x14ac:dyDescent="0.3">
      <c r="A8" s="14" t="s">
        <v>6643</v>
      </c>
      <c r="B8" s="15">
        <f>SUM('FY26 Revenue'!H2:H80)</f>
        <v>879.59999999999991</v>
      </c>
      <c r="C8" s="15">
        <f>SUMIFS(Account_Setup_and_Data_Load!T:T,Account_Setup_and_Data_Load!L:L,DATE(2025,11,1))</f>
        <v>879.6</v>
      </c>
      <c r="D8" s="15">
        <f t="shared" si="0"/>
        <v>0</v>
      </c>
      <c r="E8" s="21">
        <f>COUNTIF(Account_Setup_and_Data_Load!L:L,DATE(2025,11,1))</f>
        <v>79</v>
      </c>
      <c r="F8" s="16" t="str">
        <f t="shared" si="1"/>
        <v>OK</v>
      </c>
    </row>
    <row r="9" spans="1:6" x14ac:dyDescent="0.3">
      <c r="A9" s="17" t="s">
        <v>6644</v>
      </c>
      <c r="B9" s="18">
        <f>SUM('FY26 Revenue'!I2:I80)</f>
        <v>793.19999999999993</v>
      </c>
      <c r="C9" s="18">
        <f>SUMIFS(Account_Setup_and_Data_Load!T:T,Account_Setup_and_Data_Load!L:L,DATE(2025,12,1))</f>
        <v>793.2</v>
      </c>
      <c r="D9" s="18">
        <f t="shared" si="0"/>
        <v>0</v>
      </c>
      <c r="E9" s="22">
        <f>COUNTIF(Account_Setup_and_Data_Load!L:L,DATE(2025,12,1))</f>
        <v>79</v>
      </c>
      <c r="F9" s="16" t="str">
        <f t="shared" si="1"/>
        <v>OK</v>
      </c>
    </row>
    <row r="10" spans="1:6" x14ac:dyDescent="0.3">
      <c r="A10" s="14" t="s">
        <v>6645</v>
      </c>
      <c r="B10" s="15">
        <f>SUM('FY26 Revenue'!J2:J80)</f>
        <v>659.29999999999984</v>
      </c>
      <c r="C10" s="15">
        <f>SUMIFS(Account_Setup_and_Data_Load!T:T,Account_Setup_and_Data_Load!L:L,DATE(2026,1,1))</f>
        <v>659.29999999999984</v>
      </c>
      <c r="D10" s="15">
        <f t="shared" si="0"/>
        <v>0</v>
      </c>
      <c r="E10" s="21">
        <f>COUNTIF(Account_Setup_and_Data_Load!L:L,DATE(2026,1,1))</f>
        <v>79</v>
      </c>
      <c r="F10" s="16" t="str">
        <f t="shared" si="1"/>
        <v>OK</v>
      </c>
    </row>
    <row r="11" spans="1:6" x14ac:dyDescent="0.3">
      <c r="A11" s="23" t="s">
        <v>6646</v>
      </c>
      <c r="B11" s="24">
        <f>SUM('FY26 Revenue'!K2:K80)</f>
        <v>768.99999999999989</v>
      </c>
      <c r="C11" s="24">
        <f>SUMIFS(Account_Setup_and_Data_Load!T:T,Account_Setup_and_Data_Load!L:L,DATE(2026,2,1))</f>
        <v>768.99999999999989</v>
      </c>
      <c r="D11" s="24">
        <f t="shared" si="0"/>
        <v>0</v>
      </c>
      <c r="E11" s="25">
        <f>COUNTIF(Account_Setup_and_Data_Load!L:L,DATE(2026,2,1))</f>
        <v>79</v>
      </c>
      <c r="F11" s="16" t="str">
        <f t="shared" si="1"/>
        <v>OK</v>
      </c>
    </row>
    <row r="12" spans="1:6" x14ac:dyDescent="0.3">
      <c r="A12" s="29">
        <v>46082</v>
      </c>
      <c r="B12" s="18">
        <f>SUM('FY26 Revenue'!L2:L80)</f>
        <v>845.80000000000007</v>
      </c>
      <c r="C12" s="18">
        <f>SUMIFS(Account_Setup_and_Data_Load!T:T,Account_Setup_and_Data_Load!L:L,DATE(2026,3,1))</f>
        <v>845.80000000000007</v>
      </c>
      <c r="D12" s="18">
        <f t="shared" ref="D12" si="2">ROUND(C12-B12,2)</f>
        <v>0</v>
      </c>
      <c r="E12" s="22">
        <f>COUNTIF(Account_Setup_and_Data_Load!L:L,DATE(2025,12,1))</f>
        <v>79</v>
      </c>
      <c r="F12" s="16" t="str">
        <f t="shared" ref="F12" si="3">IF(ABS(D12)&lt;=0.15,"OK","MISMATCH")</f>
        <v>OK</v>
      </c>
    </row>
    <row r="14" spans="1:6" ht="15" customHeight="1" x14ac:dyDescent="0.3">
      <c r="A14" s="33" t="s">
        <v>6647</v>
      </c>
      <c r="B14" s="33"/>
      <c r="C14" s="33"/>
      <c r="D14" s="33"/>
      <c r="E14" s="33"/>
      <c r="F14" s="33"/>
    </row>
  </sheetData>
  <mergeCells count="3">
    <mergeCell ref="A1:F1"/>
    <mergeCell ref="A2:F2"/>
    <mergeCell ref="A14:F14"/>
  </mergeCells>
  <phoneticPr fontId="9" type="noConversion"/>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714b93b-7bd7-4b80-a822-b3542bc82a91">
      <Terms xmlns="http://schemas.microsoft.com/office/infopath/2007/PartnerControls"/>
    </lcf76f155ced4ddcb4097134ff3c332f>
    <TaxCatchAll xmlns="db50d7e9-ed42-42fb-ade4-11fb6fb5c79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40309023BBB240BDDD745512FE6FC0" ma:contentTypeVersion="19" ma:contentTypeDescription="Create a new document." ma:contentTypeScope="" ma:versionID="bca74e3963039b17045808f1d70152ec">
  <xsd:schema xmlns:xsd="http://www.w3.org/2001/XMLSchema" xmlns:xs="http://www.w3.org/2001/XMLSchema" xmlns:p="http://schemas.microsoft.com/office/2006/metadata/properties" xmlns:ns2="6714b93b-7bd7-4b80-a822-b3542bc82a91" xmlns:ns3="64446c53-5a46-4286-a7ef-0bf72ff9c72c" xmlns:ns4="db50d7e9-ed42-42fb-ade4-11fb6fb5c797" targetNamespace="http://schemas.microsoft.com/office/2006/metadata/properties" ma:root="true" ma:fieldsID="fb7d738d4252e801ad86f80c1511fd4d" ns2:_="" ns3:_="" ns4:_="">
    <xsd:import namespace="6714b93b-7bd7-4b80-a822-b3542bc82a91"/>
    <xsd:import namespace="64446c53-5a46-4286-a7ef-0bf72ff9c72c"/>
    <xsd:import namespace="db50d7e9-ed42-42fb-ade4-11fb6fb5c79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OCR"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14b93b-7bd7-4b80-a822-b3542bc82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0964440-26cf-4116-9cc4-0a071263a07c"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446c53-5a46-4286-a7ef-0bf72ff9c72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50d7e9-ed42-42fb-ade4-11fb6fb5c79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74c5e9a3-3f18-4bf3-bb21-3bb000dcf3a6}" ma:internalName="TaxCatchAll" ma:showField="CatchAllData" ma:web="64446c53-5a46-4286-a7ef-0bf72ff9c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BE41C0-0A00-4053-A04C-F131EE533AAD}">
  <ds:schemaRefs>
    <ds:schemaRef ds:uri="http://schemas.microsoft.com/office/2006/metadata/properties"/>
    <ds:schemaRef ds:uri="http://schemas.microsoft.com/office/infopath/2007/PartnerControls"/>
    <ds:schemaRef ds:uri="6714b93b-7bd7-4b80-a822-b3542bc82a91"/>
    <ds:schemaRef ds:uri="db50d7e9-ed42-42fb-ade4-11fb6fb5c797"/>
  </ds:schemaRefs>
</ds:datastoreItem>
</file>

<file path=customXml/itemProps2.xml><?xml version="1.0" encoding="utf-8"?>
<ds:datastoreItem xmlns:ds="http://schemas.openxmlformats.org/officeDocument/2006/customXml" ds:itemID="{3D220CFB-CCCB-4454-A814-54D68922D4CD}">
  <ds:schemaRefs>
    <ds:schemaRef ds:uri="http://schemas.microsoft.com/sharepoint/v3/contenttype/forms"/>
  </ds:schemaRefs>
</ds:datastoreItem>
</file>

<file path=customXml/itemProps3.xml><?xml version="1.0" encoding="utf-8"?>
<ds:datastoreItem xmlns:ds="http://schemas.openxmlformats.org/officeDocument/2006/customXml" ds:itemID="{3DA4FCEE-1DB7-4165-AB61-AB9375830C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14b93b-7bd7-4b80-a822-b3542bc82a91"/>
    <ds:schemaRef ds:uri="64446c53-5a46-4286-a7ef-0bf72ff9c72c"/>
    <ds:schemaRef ds:uri="db50d7e9-ed42-42fb-ade4-11fb6fb5c7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Account_Setup_and_Data_Load</vt:lpstr>
      <vt:lpstr>Prep - with formulas</vt:lpstr>
      <vt:lpstr>FY26 Revenue</vt:lpstr>
      <vt:lpstr>Extract_for_Locations 1 Oct 25</vt:lpstr>
      <vt:lpstr>Extract for Accounts 1 Oct 25</vt:lpstr>
      <vt:lpstr>Feb Check - By Line Item</vt:lpstr>
      <vt:lpstr>Monthly Totals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Wang</dc:creator>
  <dc:description/>
  <cp:lastModifiedBy>Chris Wang</cp:lastModifiedBy>
  <cp:revision>0</cp:revision>
  <dcterms:created xsi:type="dcterms:W3CDTF">2025-03-19T08:23:50Z</dcterms:created>
  <dcterms:modified xsi:type="dcterms:W3CDTF">2026-05-26T07:12:33Z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0x0101009040309023BBB240BDDD745512FE6FC0</vt:lpwstr>
  </property>
  <property fmtid="{D5CDD505-2E9C-101B-9397-08002B2CF9AE}" pid="3" name="MediaServiceImageTags">
    <vt:lpwstr/>
  </property>
</Properties>
</file>