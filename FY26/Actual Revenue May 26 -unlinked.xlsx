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wnergroup.sharepoint.com/sites/Stuffyoushouldknow/Shared Documents/Sustainability/Energy and Emissions Data/Envizi Uploads/FY26/Revenue/"/>
    </mc:Choice>
  </mc:AlternateContent>
  <xr:revisionPtr revIDLastSave="36" documentId="13_ncr:1_{BB04EB71-A134-4C4F-BDB8-64C6E32A72C1}" xr6:coauthVersionLast="47" xr6:coauthVersionMax="47" xr10:uidLastSave="{3781C956-539C-40E4-BAD9-C5BB36988BE7}"/>
  <bookViews>
    <workbookView xWindow="-96" yWindow="0" windowWidth="11712" windowHeight="12336" xr2:uid="{51D2CD8A-ECF8-48BB-838A-15FEC396D503}"/>
  </bookViews>
  <sheets>
    <sheet name="FY26 Revenue" sheetId="1" r:id="rId1"/>
    <sheet name="FY26 JV Rev" sheetId="2" r:id="rId2"/>
  </sheets>
  <externalReferences>
    <externalReference r:id="rId3"/>
  </externalReferences>
  <definedNames>
    <definedName name="ID" localSheetId="1" hidden="1">"033eb638-904a-4d70-a392-2de368324d18"</definedName>
    <definedName name="ID" localSheetId="0" hidden="1">"1df38458-72ca-45c9-86fb-7e8839e6f8b0"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0" i="1" l="1"/>
  <c r="M80" i="1"/>
  <c r="L80" i="1"/>
  <c r="K80" i="1"/>
  <c r="J80" i="1"/>
  <c r="I80" i="1"/>
  <c r="H80" i="1"/>
  <c r="G80" i="1"/>
  <c r="F80" i="1"/>
  <c r="E80" i="1"/>
  <c r="D80" i="1"/>
  <c r="D81" i="1"/>
  <c r="D79" i="1"/>
  <c r="E81" i="1"/>
  <c r="F81" i="1"/>
  <c r="H81" i="1"/>
  <c r="K81" i="1"/>
  <c r="M81" i="1"/>
  <c r="G81" i="1"/>
  <c r="I81" i="1"/>
  <c r="J81" i="1"/>
  <c r="L81" i="1"/>
  <c r="N81" i="1"/>
  <c r="L9" i="2" l="1"/>
  <c r="N79" i="1"/>
  <c r="K9" i="2"/>
  <c r="M79" i="1"/>
  <c r="E79" i="1"/>
  <c r="F79" i="1"/>
  <c r="G79" i="1"/>
  <c r="H79" i="1"/>
  <c r="I79" i="1"/>
  <c r="J79" i="1"/>
  <c r="K79" i="1"/>
  <c r="L79" i="1"/>
  <c r="J9" i="2"/>
  <c r="I9" i="2" l="1"/>
  <c r="H9" i="2"/>
  <c r="G9" i="2" l="1"/>
  <c r="E9" i="2" l="1"/>
  <c r="D9" i="2"/>
  <c r="B9" i="2"/>
  <c r="F9" i="2"/>
  <c r="C9" i="2"/>
</calcChain>
</file>

<file path=xl/sharedStrings.xml><?xml version="1.0" encoding="utf-8"?>
<sst xmlns="http://schemas.openxmlformats.org/spreadsheetml/2006/main" count="271" uniqueCount="135">
  <si>
    <t>Jul</t>
  </si>
  <si>
    <t>Aug</t>
  </si>
  <si>
    <t>Infrastructure Projects</t>
  </si>
  <si>
    <t>Mineral Technologies</t>
  </si>
  <si>
    <t>Intra Elim</t>
  </si>
  <si>
    <t>BIA</t>
  </si>
  <si>
    <t>Health &amp; Education</t>
  </si>
  <si>
    <t>Downer Professional Services</t>
  </si>
  <si>
    <t>Base &amp; Estate Management</t>
  </si>
  <si>
    <t>Joint Venture and Associates</t>
  </si>
  <si>
    <t>Allied Asphalt</t>
  </si>
  <si>
    <t>EDI Rail- Bombardier Transportation</t>
  </si>
  <si>
    <t>Emulco</t>
  </si>
  <si>
    <t>Isaac Asphalt</t>
  </si>
  <si>
    <t>Group</t>
  </si>
  <si>
    <t>Check</t>
  </si>
  <si>
    <t>Sep</t>
  </si>
  <si>
    <t>Oct</t>
  </si>
  <si>
    <t>Nov</t>
  </si>
  <si>
    <t>Government &amp; IFM</t>
  </si>
  <si>
    <t>Transport &amp; Infrastructure</t>
  </si>
  <si>
    <t>Rail &amp; Transit Systems</t>
  </si>
  <si>
    <t>RTS Digital</t>
  </si>
  <si>
    <t>Corporate Group</t>
  </si>
  <si>
    <t>Corporate Australia</t>
  </si>
  <si>
    <t>Non-core business</t>
  </si>
  <si>
    <t>RTS FREIGHT</t>
  </si>
  <si>
    <t>RTS Head Office</t>
  </si>
  <si>
    <t>Transport &amp; Infrastructure NZ</t>
  </si>
  <si>
    <t>Fleet &amp; Assets</t>
  </si>
  <si>
    <t>Managing Contracts</t>
  </si>
  <si>
    <t>Transport &amp; Infrastructure AU</t>
  </si>
  <si>
    <t>Energy &amp; Utilities</t>
  </si>
  <si>
    <t>Network Services</t>
  </si>
  <si>
    <t>Water</t>
  </si>
  <si>
    <t>Power Projects</t>
  </si>
  <si>
    <t>EU Support</t>
  </si>
  <si>
    <t>T&amp;I NZ North</t>
  </si>
  <si>
    <t>T&amp;I NZ South</t>
  </si>
  <si>
    <t>T&amp;I NZ Infrastructure Delivery</t>
  </si>
  <si>
    <t>T&amp;I NZ National Operations</t>
  </si>
  <si>
    <t>T&amp;I NZ Overheads</t>
  </si>
  <si>
    <t>T&amp;I AU Asphalt &amp; Products</t>
  </si>
  <si>
    <t>Maintenance &amp; ITS</t>
  </si>
  <si>
    <t>Pavement Rehabilitation &amp; Civils</t>
  </si>
  <si>
    <t>Specialised Pavements &amp; Projects</t>
  </si>
  <si>
    <t>Thin Surfacing</t>
  </si>
  <si>
    <t>AU Fleet T&amp;I Plant</t>
  </si>
  <si>
    <t>AU Fleet Light Vehicles</t>
  </si>
  <si>
    <t>NZ Fleet</t>
  </si>
  <si>
    <t>Telco Incl. MS</t>
  </si>
  <si>
    <t>Telco</t>
  </si>
  <si>
    <t>Water Services</t>
  </si>
  <si>
    <t>Water NZ</t>
  </si>
  <si>
    <t>Metallurgical Lab</t>
  </si>
  <si>
    <t>MT Equipment and R&amp;D Aus</t>
  </si>
  <si>
    <t>MT Engineering Services Aus</t>
  </si>
  <si>
    <t>Social Infrastructure &amp; Citizen Services</t>
  </si>
  <si>
    <t>EMOS</t>
  </si>
  <si>
    <t>HQJOC</t>
  </si>
  <si>
    <t>Manuwatu Hub</t>
  </si>
  <si>
    <t>Southern</t>
  </si>
  <si>
    <t>DEWPO</t>
  </si>
  <si>
    <t>RAAF WM</t>
  </si>
  <si>
    <t>Riverina Redevelopment Program</t>
  </si>
  <si>
    <t>Woomera Redevelopment Program</t>
  </si>
  <si>
    <t>Government Integrated Facilities Management &amp; Infrastructure Property</t>
  </si>
  <si>
    <t>Justice &amp; IFM</t>
  </si>
  <si>
    <t>Government Projects &amp; Operational Solutions</t>
  </si>
  <si>
    <t>Government Housing</t>
  </si>
  <si>
    <t>Governments Soft FM Services</t>
  </si>
  <si>
    <t>Education PPP</t>
  </si>
  <si>
    <t>Health Non PPP</t>
  </si>
  <si>
    <t>Health PPP</t>
  </si>
  <si>
    <t>RTS QLD</t>
  </si>
  <si>
    <t>Entity Name/Division</t>
  </si>
  <si>
    <t>UD1 Name/Sub-LOB</t>
  </si>
  <si>
    <t>UD1 Name/Sub-LOB Level 2</t>
  </si>
  <si>
    <t>EU Growth</t>
  </si>
  <si>
    <t>Telecommunications &amp; Networks</t>
  </si>
  <si>
    <t>Network Services - OMSA&amp;ESC</t>
  </si>
  <si>
    <t>Network Services - Logistics</t>
  </si>
  <si>
    <t>Energy &amp; Industrial</t>
  </si>
  <si>
    <t>Energy Networks</t>
  </si>
  <si>
    <t>PAS</t>
  </si>
  <si>
    <t>Government &amp; IFM New Business</t>
  </si>
  <si>
    <t>Energy &amp; Industrial West</t>
  </si>
  <si>
    <t>Energy &amp; Industrial East</t>
  </si>
  <si>
    <t>Energy Solutions</t>
  </si>
  <si>
    <t>Social Infrastructure &amp; Citizen Services Support</t>
  </si>
  <si>
    <t>Finance Performance</t>
  </si>
  <si>
    <t>EU Overheads/Support Costs</t>
  </si>
  <si>
    <t>T&amp;I NZ Hawkins</t>
  </si>
  <si>
    <t>AU Fleet Energy &amp; Utilities</t>
  </si>
  <si>
    <t>Government Closed Sites</t>
  </si>
  <si>
    <t>T&amp;I AU Divested Operations</t>
  </si>
  <si>
    <t>Utilities Legacy &amp; Other</t>
  </si>
  <si>
    <t>Utilities Legacy &amp; Other AU</t>
  </si>
  <si>
    <t>DELM Works</t>
  </si>
  <si>
    <t>Rail Services Victoria Pty Ltd</t>
  </si>
  <si>
    <t>Dec</t>
  </si>
  <si>
    <t>Jan</t>
  </si>
  <si>
    <t>Feb</t>
  </si>
  <si>
    <t>EU Gap</t>
  </si>
  <si>
    <t>Utilities Gap</t>
  </si>
  <si>
    <t>MT Overheads</t>
  </si>
  <si>
    <t>NZ NSC, IT, Property, WF &amp; Elins</t>
  </si>
  <si>
    <t>MT Geology</t>
  </si>
  <si>
    <t>Mar</t>
  </si>
  <si>
    <t>Apr</t>
  </si>
  <si>
    <t>May</t>
  </si>
  <si>
    <t>T&amp;I NZ Gap</t>
  </si>
  <si>
    <t>Passenger New Supply and Delivery</t>
  </si>
  <si>
    <t>Passenger Refurbishment</t>
  </si>
  <si>
    <t>Maryborough Refurbishment</t>
  </si>
  <si>
    <t>Passenger Through Life Support</t>
  </si>
  <si>
    <t>TLS Fleet</t>
  </si>
  <si>
    <t>TLS Projects</t>
  </si>
  <si>
    <t>Emerging Markets</t>
  </si>
  <si>
    <t>Engineering Consulting</t>
  </si>
  <si>
    <t>Central HO</t>
  </si>
  <si>
    <t>Corporate Development &amp; Origination</t>
  </si>
  <si>
    <t>Keolis Downer JV</t>
  </si>
  <si>
    <t>Intercompany Elimination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</si>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</sst>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;&quot;-&quot;"/>
    <numFmt numFmtId="165" formatCode="#,##0.0\ ;\(#,##0.0\);&quot;- &quot;"/>
    <numFmt numFmtId="166" formatCode="#,##0.0;\-#,##0.0;&quot;-&quot;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double">
        <color theme="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164" fontId="2" fillId="0" borderId="0" xfId="0" applyNumberFormat="1" applyFont="1"/>
    <xf numFmtId="166" fontId="0" fillId="0" borderId="0" xfId="0" applyNumberFormat="1"/>
    <xf numFmtId="166" fontId="4" fillId="0" borderId="2" xfId="0" applyNumberFormat="1" applyFont="1" applyBorder="1"/>
    <xf numFmtId="165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3" borderId="0" xfId="0" applyFill="1"/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.0;\-#,##0.0;&quot;-&quot;"/>
      <border diagonalUp="0" diagonalDown="0" outline="0">
        <left/>
        <right/>
        <top style="double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;\(#,##0.0\);&quot;- 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  <dxf>
      <numFmt numFmtId="166" formatCode="#,##0.0;\-#,##0.0;&quot;-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wnergroup-my.sharepoint.com/personal/chris_wang_downergroup_com/Documents/Documents/Copilot/Created/Envizi_Revenue_FY26_Jul_May_Upload.xlsx" TargetMode="External"/><Relationship Id="rId1" Type="http://schemas.openxmlformats.org/officeDocument/2006/relationships/externalLinkPath" Target="https://downergroup-my.sharepoint.com/personal/chris_wang_downergroup_com/Documents/Documents/Copilot/Created/Envizi_Revenue_FY26_Jul_May_Upl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DAACB1-20EA-4089-B0EB-FCCB46281661}" name="Table2" displayName="Table2" ref="A1:N79" totalsRowCount="1">
  <autoFilter ref="A1:N78" xr:uid="{FAA2D352-30B9-4AFA-8229-8EB184C1DA23}">
    <filterColumn colId="1">
      <filters>
        <filter val="Telecommunications &amp; Networks"/>
        <filter val="Transport &amp; Infrastructure AU"/>
        <filter val="Transport &amp; Infrastructure NZ"/>
        <filter val="Utilities Legacy &amp; Other"/>
        <filter val="Water"/>
      </filters>
    </filterColumn>
  </autoFilter>
  <tableColumns count="14">
    <tableColumn id="1" xr3:uid="{A8260D87-1B21-446D-87BE-7C64CC642CD7}" name="Entity Name/Division"/>
    <tableColumn id="2" xr3:uid="{4F1F0B18-FF86-48CB-9325-7EFABD2E7DF3}" name="UD1 Name/Sub-LOB"/>
    <tableColumn id="15" xr3:uid="{142F870D-591B-437A-9FF7-E92438432C6F}" name="UD1 Name/Sub-LOB Level 2"/>
    <tableColumn id="3" xr3:uid="{6A1B39F8-C41A-49F1-B5B5-906117469F41}" name="Jul" totalsRowFunction="custom" dataDxfId="35" totalsRowDxfId="10">
      <totalsRowFormula>SUM(D2:D78)</totalsRowFormula>
    </tableColumn>
    <tableColumn id="4" xr3:uid="{A0D939FB-6770-4331-8C61-9677A7D903E2}" name="Aug" totalsRowFunction="custom" dataDxfId="34" totalsRowDxfId="9">
      <totalsRowFormula>SUM(E2:E78)</totalsRowFormula>
    </tableColumn>
    <tableColumn id="5" xr3:uid="{FB17EDAA-1A3D-429C-98B2-4E740D24736B}" name="Sep" totalsRowFunction="custom" dataDxfId="33" totalsRowDxfId="8">
      <totalsRowFormula>SUM(F2:F78)</totalsRowFormula>
    </tableColumn>
    <tableColumn id="6" xr3:uid="{B01CACFA-D0E7-4704-8211-13AB52BD95F6}" name="Oct" totalsRowFunction="custom" dataDxfId="32" totalsRowDxfId="7">
      <totalsRowFormula>SUM(G2:G78)</totalsRowFormula>
    </tableColumn>
    <tableColumn id="7" xr3:uid="{8BA20660-DA70-4723-A77B-93F255CC2875}" name="Nov" totalsRowFunction="custom" dataDxfId="31" totalsRowDxfId="6">
      <totalsRowFormula>SUM(H2:H78)</totalsRowFormula>
    </tableColumn>
    <tableColumn id="8" xr3:uid="{8C0AE0AD-A6E8-475B-A7D7-FE21D4F8B069}" name="Dec" totalsRowFunction="custom" dataDxfId="30" totalsRowDxfId="5">
      <totalsRowFormula>SUM(I2:I78)</totalsRowFormula>
    </tableColumn>
    <tableColumn id="9" xr3:uid="{3010D828-09F7-4F6A-BB71-4B50F073B355}" name="Jan" totalsRowFunction="custom" dataDxfId="29" totalsRowDxfId="4">
      <totalsRowFormula>SUM(J2:J78)</totalsRowFormula>
    </tableColumn>
    <tableColumn id="10" xr3:uid="{579DA28F-DAE5-4630-81F8-5BFB39318242}" name="Feb" totalsRowFunction="custom" dataDxfId="28" totalsRowDxfId="3">
      <totalsRowFormula>SUM(K2:K78)</totalsRowFormula>
    </tableColumn>
    <tableColumn id="11" xr3:uid="{6C2440FC-D649-4DEC-B758-13EE23471121}" name="Mar" totalsRowFunction="custom" dataDxfId="27" totalsRowDxfId="2">
      <totalsRowFormula>SUM(L2:L78)</totalsRowFormula>
    </tableColumn>
    <tableColumn id="12" xr3:uid="{838DA304-3E7C-4144-9EC1-AC7560638D79}" name="Apr" totalsRowFunction="custom" dataDxfId="26" totalsRowDxfId="1">
      <totalsRowFormula>SUM(M2:M78)</totalsRowFormula>
    </tableColumn>
    <tableColumn id="13" xr3:uid="{8EC11AF9-19B1-4849-8F97-72B14D6D1A61}" name="May" totalsRowFunction="custom" dataDxfId="25" totalsRowDxfId="0">
      <totalsRowFormula>SUM(N2:N78)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92FD5-2DC8-453E-9448-A256D6692720}" name="Table1" displayName="Table1" ref="A1:L8" totalsRowShown="0" headerRowDxfId="24" dataDxfId="23">
  <autoFilter ref="A1:L8" xr:uid="{79992FD5-2DC8-453E-9448-A256D6692720}"/>
  <tableColumns count="12">
    <tableColumn id="1" xr3:uid="{A25A9670-FDFB-433E-99CB-A7985F993730}" name="Joint Venture and Associates" dataDxfId="22"/>
    <tableColumn id="2" xr3:uid="{A57DD919-0DCB-4278-8430-88638B8F1C4F}" name="Jul" dataDxfId="21"/>
    <tableColumn id="3" xr3:uid="{700BBADC-D654-44D6-A00F-6FB227D5E6CA}" name="Aug" dataDxfId="20"/>
    <tableColumn id="4" xr3:uid="{8E2992C0-9C1B-435B-8E9A-8A8B6F366A1E}" name="Sep" dataDxfId="19"/>
    <tableColumn id="5" xr3:uid="{D5E33855-4B9D-414F-B9F3-B2E99526CA29}" name="Oct" dataDxfId="18"/>
    <tableColumn id="6" xr3:uid="{57C95984-820C-444C-8C9E-E2E0B52C94A6}" name="Nov" dataDxfId="17"/>
    <tableColumn id="7" xr3:uid="{9FDBB235-1B38-4A83-9BD4-A8BD963D4A87}" name="Dec" dataDxfId="16"/>
    <tableColumn id="8" xr3:uid="{113BE6E7-81A8-4962-891A-64CA532C6675}" name="Jan" dataDxfId="15"/>
    <tableColumn id="9" xr3:uid="{D9117E3B-1796-43FE-9A23-D88094B3A04B}" name="Feb" dataDxfId="14"/>
    <tableColumn id="10" xr3:uid="{543F22FA-821C-4404-A9FB-496CE464CE69}" name="Mar" dataDxfId="13"/>
    <tableColumn id="11" xr3:uid="{71117628-CAF6-4D2B-B79A-1FF7B0AC1D40}" name="Apr" dataDxfId="12"/>
    <tableColumn id="12" xr3:uid="{77EC54AB-785E-4CC4-93DB-B1A910E1701B}" name="May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1253-AB80-4A6A-8C2A-4F6F7C3AA867}">
  <dimension ref="A1:N82"/>
  <sheetViews>
    <sheetView tabSelected="1" topLeftCell="B1" zoomScale="50" workbookViewId="0">
      <selection activeCell="C37" sqref="C2:C37"/>
    </sheetView>
  </sheetViews>
  <sheetFormatPr defaultRowHeight="15" x14ac:dyDescent="0.25"/>
  <cols>
    <col min="1" max="1" width="34.140625" bestFit="1" customWidth="1"/>
    <col min="2" max="2" width="40.140625" bestFit="1" customWidth="1"/>
    <col min="3" max="3" width="40.140625" customWidth="1"/>
    <col min="4" max="4" width="8.7109375" style="4" customWidth="1"/>
    <col min="5" max="5" width="9.28515625" style="4" customWidth="1"/>
    <col min="6" max="8" width="9.140625" style="4"/>
  </cols>
  <sheetData>
    <row r="1" spans="1:14" x14ac:dyDescent="0.25">
      <c r="A1" s="1" t="s">
        <v>75</v>
      </c>
      <c r="B1" s="2" t="s">
        <v>76</v>
      </c>
      <c r="C1" s="2" t="s">
        <v>77</v>
      </c>
      <c r="D1" s="4" t="s">
        <v>0</v>
      </c>
      <c r="E1" s="4" t="s">
        <v>1</v>
      </c>
      <c r="F1" s="4" t="s">
        <v>16</v>
      </c>
      <c r="G1" s="4" t="s">
        <v>17</v>
      </c>
      <c r="H1" s="4" t="s">
        <v>18</v>
      </c>
      <c r="I1" t="s">
        <v>100</v>
      </c>
      <c r="J1" t="s">
        <v>101</v>
      </c>
      <c r="K1" t="s">
        <v>102</v>
      </c>
      <c r="L1" t="s">
        <v>108</v>
      </c>
      <c r="M1" t="s">
        <v>109</v>
      </c>
      <c r="N1" t="s">
        <v>110</v>
      </c>
    </row>
    <row r="2" spans="1:14" x14ac:dyDescent="0.25">
      <c r="A2" t="s">
        <v>20</v>
      </c>
      <c r="B2" t="s">
        <v>28</v>
      </c>
      <c r="C2" t="s">
        <v>37</v>
      </c>
      <c r="D2" s="4">
        <v>30.3</v>
      </c>
      <c r="E2" s="4">
        <v>30.4</v>
      </c>
      <c r="F2" s="4">
        <v>33.6</v>
      </c>
      <c r="G2" s="4">
        <v>41.8</v>
      </c>
      <c r="H2" s="4">
        <v>49</v>
      </c>
      <c r="I2" s="4">
        <v>39.200000000000003</v>
      </c>
      <c r="J2" s="4">
        <v>37.1</v>
      </c>
      <c r="K2" s="4">
        <v>54.6</v>
      </c>
      <c r="L2" s="4">
        <v>53.1</v>
      </c>
      <c r="M2" s="4">
        <v>44.2</v>
      </c>
      <c r="N2" s="4">
        <v>35.299999999999997</v>
      </c>
    </row>
    <row r="3" spans="1:14" x14ac:dyDescent="0.25">
      <c r="A3" t="s">
        <v>20</v>
      </c>
      <c r="B3" t="s">
        <v>28</v>
      </c>
      <c r="C3" t="s">
        <v>38</v>
      </c>
      <c r="D3" s="4">
        <v>27.8</v>
      </c>
      <c r="E3" s="4">
        <v>28</v>
      </c>
      <c r="F3" s="4">
        <v>31.5</v>
      </c>
      <c r="G3" s="4">
        <v>39.299999999999997</v>
      </c>
      <c r="H3" s="4">
        <v>45.5</v>
      </c>
      <c r="I3" s="4">
        <v>37.299999999999997</v>
      </c>
      <c r="J3" s="4">
        <v>31.5</v>
      </c>
      <c r="K3" s="4">
        <v>46.3</v>
      </c>
      <c r="L3" s="4">
        <v>54.8</v>
      </c>
      <c r="M3" s="4">
        <v>42.8</v>
      </c>
      <c r="N3" s="4">
        <v>32.799999999999997</v>
      </c>
    </row>
    <row r="4" spans="1:14" x14ac:dyDescent="0.25">
      <c r="A4" t="s">
        <v>20</v>
      </c>
      <c r="B4" t="s">
        <v>28</v>
      </c>
      <c r="C4" t="s">
        <v>39</v>
      </c>
      <c r="D4" s="4">
        <v>24.6</v>
      </c>
      <c r="E4" s="4">
        <v>28.1</v>
      </c>
      <c r="F4" s="4">
        <v>35.299999999999997</v>
      </c>
      <c r="G4" s="4">
        <v>34.299999999999997</v>
      </c>
      <c r="H4" s="4">
        <v>37.799999999999997</v>
      </c>
      <c r="I4" s="4">
        <v>39.200000000000003</v>
      </c>
      <c r="J4" s="4">
        <v>20.3</v>
      </c>
      <c r="K4" s="4">
        <v>30.4</v>
      </c>
      <c r="L4" s="4">
        <v>30.6</v>
      </c>
      <c r="M4" s="4">
        <v>33.5</v>
      </c>
      <c r="N4" s="4">
        <v>29.8</v>
      </c>
    </row>
    <row r="5" spans="1:14" x14ac:dyDescent="0.25">
      <c r="A5" t="s">
        <v>20</v>
      </c>
      <c r="B5" t="s">
        <v>28</v>
      </c>
      <c r="C5" t="s">
        <v>92</v>
      </c>
      <c r="D5" s="4">
        <v>41.4</v>
      </c>
      <c r="E5" s="4">
        <v>44.3</v>
      </c>
      <c r="F5" s="4">
        <v>47.1</v>
      </c>
      <c r="G5" s="4">
        <v>49.2</v>
      </c>
      <c r="H5" s="4">
        <v>47.1</v>
      </c>
      <c r="I5" s="4">
        <v>44.7</v>
      </c>
      <c r="J5" s="4">
        <v>35.6</v>
      </c>
      <c r="K5" s="4">
        <v>43</v>
      </c>
      <c r="L5" s="4">
        <v>54.5</v>
      </c>
      <c r="M5" s="4">
        <v>51</v>
      </c>
      <c r="N5" s="4">
        <v>53.7</v>
      </c>
    </row>
    <row r="6" spans="1:14" x14ac:dyDescent="0.25">
      <c r="A6" t="s">
        <v>20</v>
      </c>
      <c r="B6" t="s">
        <v>28</v>
      </c>
      <c r="C6" t="s">
        <v>40</v>
      </c>
      <c r="D6" s="4">
        <v>8.8000000000000007</v>
      </c>
      <c r="E6" s="4">
        <v>9.5</v>
      </c>
      <c r="F6" s="4">
        <v>9.6</v>
      </c>
      <c r="G6" s="4">
        <v>11.1</v>
      </c>
      <c r="H6" s="4">
        <v>15.4</v>
      </c>
      <c r="I6" s="4">
        <v>12.7</v>
      </c>
      <c r="J6" s="4">
        <v>9.8000000000000007</v>
      </c>
      <c r="K6" s="4">
        <v>15.1</v>
      </c>
      <c r="L6" s="4">
        <v>15.7</v>
      </c>
      <c r="M6" s="4">
        <v>13</v>
      </c>
      <c r="N6" s="4">
        <v>14.3</v>
      </c>
    </row>
    <row r="7" spans="1:14" x14ac:dyDescent="0.25">
      <c r="A7" t="s">
        <v>20</v>
      </c>
      <c r="B7" t="s">
        <v>28</v>
      </c>
      <c r="C7" t="s">
        <v>41</v>
      </c>
      <c r="D7" s="4">
        <v>0</v>
      </c>
      <c r="E7" s="4">
        <v>0</v>
      </c>
      <c r="F7" s="4">
        <v>0.5</v>
      </c>
      <c r="G7" s="4">
        <v>0.9</v>
      </c>
      <c r="H7" s="4">
        <v>-0.8</v>
      </c>
      <c r="I7" s="4">
        <v>-0.8</v>
      </c>
      <c r="J7" s="4">
        <v>0.1</v>
      </c>
      <c r="K7" s="4">
        <v>0.2</v>
      </c>
      <c r="L7" s="4">
        <v>0.3</v>
      </c>
      <c r="M7" s="4">
        <v>0.1</v>
      </c>
      <c r="N7" s="4">
        <v>0</v>
      </c>
    </row>
    <row r="8" spans="1:14" x14ac:dyDescent="0.25">
      <c r="A8" t="s">
        <v>20</v>
      </c>
      <c r="B8" t="s">
        <v>28</v>
      </c>
      <c r="C8" t="s">
        <v>111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4" x14ac:dyDescent="0.25">
      <c r="A9" t="s">
        <v>20</v>
      </c>
      <c r="B9" t="s">
        <v>31</v>
      </c>
      <c r="C9" t="s">
        <v>42</v>
      </c>
      <c r="D9" s="4">
        <v>50.2</v>
      </c>
      <c r="E9" s="4">
        <v>42.9</v>
      </c>
      <c r="F9" s="4">
        <v>53.2</v>
      </c>
      <c r="G9" s="4">
        <v>51.8</v>
      </c>
      <c r="H9" s="4">
        <v>58.5</v>
      </c>
      <c r="I9" s="4">
        <v>48.6</v>
      </c>
      <c r="J9" s="4">
        <v>45</v>
      </c>
      <c r="K9" s="4">
        <v>59.6</v>
      </c>
      <c r="L9" s="4">
        <v>70.3</v>
      </c>
      <c r="M9" s="4">
        <v>76.599999999999994</v>
      </c>
      <c r="N9" s="4">
        <v>74.5</v>
      </c>
    </row>
    <row r="10" spans="1:14" x14ac:dyDescent="0.25">
      <c r="A10" t="s">
        <v>20</v>
      </c>
      <c r="B10" t="s">
        <v>31</v>
      </c>
      <c r="C10" t="s">
        <v>43</v>
      </c>
      <c r="D10" s="4">
        <v>26.2</v>
      </c>
      <c r="E10" s="4">
        <v>27.2</v>
      </c>
      <c r="F10" s="4">
        <v>28.6</v>
      </c>
      <c r="G10" s="4">
        <v>36</v>
      </c>
      <c r="H10" s="4">
        <v>33.4</v>
      </c>
      <c r="I10" s="4">
        <v>30.2</v>
      </c>
      <c r="J10" s="4">
        <v>25.6</v>
      </c>
      <c r="K10" s="4">
        <v>35.6</v>
      </c>
      <c r="L10" s="4">
        <v>38.5</v>
      </c>
      <c r="M10" s="4">
        <v>44.9</v>
      </c>
      <c r="N10" s="4">
        <v>44.5</v>
      </c>
    </row>
    <row r="11" spans="1:14" x14ac:dyDescent="0.25">
      <c r="A11" t="s">
        <v>20</v>
      </c>
      <c r="B11" t="s">
        <v>31</v>
      </c>
      <c r="C11" t="s">
        <v>44</v>
      </c>
      <c r="D11" s="4">
        <v>0.7</v>
      </c>
      <c r="E11" s="4">
        <v>0.8</v>
      </c>
      <c r="F11" s="4">
        <v>1.8</v>
      </c>
      <c r="G11" s="4">
        <v>3.3</v>
      </c>
      <c r="H11" s="4">
        <v>6.3</v>
      </c>
      <c r="I11" s="4">
        <v>5.4</v>
      </c>
      <c r="J11" s="4">
        <v>4.5</v>
      </c>
      <c r="K11" s="4">
        <v>6.6</v>
      </c>
      <c r="L11" s="4">
        <v>9.3000000000000007</v>
      </c>
      <c r="M11" s="4">
        <v>8.9</v>
      </c>
      <c r="N11" s="4">
        <v>10.6</v>
      </c>
    </row>
    <row r="12" spans="1:14" x14ac:dyDescent="0.25">
      <c r="A12" t="s">
        <v>20</v>
      </c>
      <c r="B12" t="s">
        <v>31</v>
      </c>
      <c r="C12" t="s">
        <v>45</v>
      </c>
      <c r="D12" s="4">
        <v>6.8</v>
      </c>
      <c r="E12" s="4">
        <v>7.3</v>
      </c>
      <c r="F12" s="4">
        <v>6.3</v>
      </c>
      <c r="G12" s="4">
        <v>5.6</v>
      </c>
      <c r="H12" s="4">
        <v>5.0999999999999996</v>
      </c>
      <c r="I12" s="4">
        <v>3.2</v>
      </c>
      <c r="J12" s="4">
        <v>2.9</v>
      </c>
      <c r="K12" s="4">
        <v>6.7</v>
      </c>
      <c r="L12" s="4">
        <v>3.7</v>
      </c>
      <c r="M12" s="4">
        <v>3.6</v>
      </c>
      <c r="N12" s="4">
        <v>1.3</v>
      </c>
    </row>
    <row r="13" spans="1:14" x14ac:dyDescent="0.25">
      <c r="A13" t="s">
        <v>20</v>
      </c>
      <c r="B13" t="s">
        <v>31</v>
      </c>
      <c r="C13" t="s">
        <v>46</v>
      </c>
      <c r="D13" s="4">
        <v>18.5</v>
      </c>
      <c r="E13" s="4">
        <v>22.1</v>
      </c>
      <c r="F13" s="4">
        <v>32.6</v>
      </c>
      <c r="G13" s="4">
        <v>47</v>
      </c>
      <c r="H13" s="4">
        <v>36</v>
      </c>
      <c r="I13" s="4">
        <v>30.2</v>
      </c>
      <c r="J13" s="4">
        <v>25.2</v>
      </c>
      <c r="K13" s="4">
        <v>34.200000000000003</v>
      </c>
      <c r="L13" s="4">
        <v>37.200000000000003</v>
      </c>
      <c r="M13" s="4">
        <v>35.1</v>
      </c>
      <c r="N13" s="4">
        <v>34.4</v>
      </c>
    </row>
    <row r="14" spans="1:14" x14ac:dyDescent="0.25">
      <c r="A14" t="s">
        <v>20</v>
      </c>
      <c r="B14" t="s">
        <v>31</v>
      </c>
      <c r="C14" t="s">
        <v>5</v>
      </c>
      <c r="D14" s="4">
        <v>4</v>
      </c>
      <c r="E14" s="4">
        <v>2.2000000000000002</v>
      </c>
      <c r="F14" s="4">
        <v>5.5</v>
      </c>
      <c r="G14" s="4">
        <v>5.2</v>
      </c>
      <c r="H14" s="4">
        <v>5.8</v>
      </c>
      <c r="I14" s="4">
        <v>4.8</v>
      </c>
      <c r="J14" s="4">
        <v>5</v>
      </c>
      <c r="K14" s="4">
        <v>5.5</v>
      </c>
      <c r="L14" s="4">
        <v>5.8</v>
      </c>
      <c r="M14" s="4">
        <v>10.199999999999999</v>
      </c>
      <c r="N14" s="4">
        <v>8.6999999999999993</v>
      </c>
    </row>
    <row r="15" spans="1:14" x14ac:dyDescent="0.25">
      <c r="A15" t="s">
        <v>20</v>
      </c>
      <c r="B15" t="s">
        <v>31</v>
      </c>
      <c r="C15" t="s">
        <v>95</v>
      </c>
      <c r="D15" s="4">
        <v>0</v>
      </c>
      <c r="E15" s="4">
        <v>0</v>
      </c>
      <c r="F15" s="4">
        <v>0</v>
      </c>
      <c r="G15" s="4">
        <v>0</v>
      </c>
      <c r="H15" s="4">
        <v>-0.1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hidden="1" x14ac:dyDescent="0.25">
      <c r="A16" t="s">
        <v>20</v>
      </c>
      <c r="B16" t="s">
        <v>29</v>
      </c>
      <c r="C16" t="s">
        <v>47</v>
      </c>
      <c r="D16" s="4">
        <v>0.1</v>
      </c>
      <c r="E16" s="4">
        <v>0</v>
      </c>
      <c r="F16" s="4">
        <v>0</v>
      </c>
      <c r="G16" s="4">
        <v>0.1</v>
      </c>
      <c r="H16" s="4">
        <v>0</v>
      </c>
      <c r="I16" s="4">
        <v>0</v>
      </c>
      <c r="J16" s="4">
        <v>0.5</v>
      </c>
      <c r="K16" s="4">
        <v>0</v>
      </c>
      <c r="L16" s="4">
        <v>0</v>
      </c>
      <c r="M16" s="4">
        <v>0</v>
      </c>
      <c r="N16" s="4">
        <v>0</v>
      </c>
    </row>
    <row r="17" spans="1:14" hidden="1" x14ac:dyDescent="0.25">
      <c r="A17" t="s">
        <v>20</v>
      </c>
      <c r="B17" t="s">
        <v>29</v>
      </c>
      <c r="C17" t="s">
        <v>48</v>
      </c>
      <c r="D17" s="4">
        <v>0</v>
      </c>
      <c r="E17" s="4">
        <v>0.3</v>
      </c>
      <c r="F17" s="4">
        <v>0.1</v>
      </c>
      <c r="G17" s="4">
        <v>0.1</v>
      </c>
      <c r="H17" s="4">
        <v>0.1</v>
      </c>
      <c r="I17" s="4">
        <v>0</v>
      </c>
      <c r="J17" s="4">
        <v>0.1</v>
      </c>
      <c r="K17" s="4">
        <v>0</v>
      </c>
      <c r="L17" s="4">
        <v>0.2</v>
      </c>
      <c r="M17" s="4">
        <v>0.1</v>
      </c>
      <c r="N17" s="4">
        <v>0</v>
      </c>
    </row>
    <row r="18" spans="1:14" hidden="1" x14ac:dyDescent="0.25">
      <c r="A18" t="s">
        <v>20</v>
      </c>
      <c r="B18" t="s">
        <v>29</v>
      </c>
      <c r="C18" t="s">
        <v>93</v>
      </c>
      <c r="D18" s="4">
        <v>0</v>
      </c>
      <c r="E18" s="4">
        <v>0</v>
      </c>
      <c r="F18" s="4">
        <v>0</v>
      </c>
      <c r="G18" s="4">
        <v>0.2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hidden="1" x14ac:dyDescent="0.25">
      <c r="A19" t="s">
        <v>20</v>
      </c>
      <c r="B19" t="s">
        <v>29</v>
      </c>
      <c r="C19" t="s">
        <v>49</v>
      </c>
      <c r="D19" s="4">
        <v>-0.2</v>
      </c>
      <c r="E19" s="4">
        <v>-0.3</v>
      </c>
      <c r="F19" s="4">
        <v>-0.2</v>
      </c>
      <c r="G19" s="4">
        <v>1</v>
      </c>
      <c r="H19" s="4">
        <v>0</v>
      </c>
      <c r="I19" s="4">
        <v>0</v>
      </c>
      <c r="J19" s="4">
        <v>0.1</v>
      </c>
      <c r="K19" s="4">
        <v>-0.1</v>
      </c>
      <c r="L19" s="4">
        <v>0</v>
      </c>
      <c r="M19" s="4">
        <v>0.2</v>
      </c>
      <c r="N19" s="4">
        <v>0</v>
      </c>
    </row>
    <row r="20" spans="1:14" x14ac:dyDescent="0.25">
      <c r="A20" t="s">
        <v>32</v>
      </c>
      <c r="B20" t="s">
        <v>79</v>
      </c>
      <c r="C20" t="s">
        <v>50</v>
      </c>
      <c r="D20" s="4">
        <v>38.299999999999997</v>
      </c>
      <c r="E20" s="4">
        <v>35.200000000000003</v>
      </c>
      <c r="F20" s="4">
        <v>29.7</v>
      </c>
      <c r="G20" s="4">
        <v>28.4</v>
      </c>
      <c r="H20" s="4">
        <v>27.4</v>
      </c>
      <c r="I20" s="4">
        <v>26.7</v>
      </c>
      <c r="J20" s="4">
        <v>19</v>
      </c>
      <c r="K20" s="4">
        <v>23</v>
      </c>
      <c r="L20" s="4">
        <v>22.3</v>
      </c>
      <c r="M20" s="4">
        <v>23.5</v>
      </c>
      <c r="N20" s="4">
        <v>20.6</v>
      </c>
    </row>
    <row r="21" spans="1:14" x14ac:dyDescent="0.25">
      <c r="A21" t="s">
        <v>32</v>
      </c>
      <c r="B21" t="s">
        <v>79</v>
      </c>
      <c r="C21" t="s">
        <v>33</v>
      </c>
      <c r="D21" s="4">
        <v>13.6</v>
      </c>
      <c r="E21" s="4">
        <v>10.3</v>
      </c>
      <c r="F21" s="4">
        <v>10.3</v>
      </c>
      <c r="G21" s="4">
        <v>11.8</v>
      </c>
      <c r="H21" s="4">
        <v>12</v>
      </c>
      <c r="I21" s="4">
        <v>9.8000000000000007</v>
      </c>
      <c r="J21" s="4">
        <v>10.199999999999999</v>
      </c>
      <c r="K21" s="4">
        <v>11.3</v>
      </c>
      <c r="L21" s="4">
        <v>12</v>
      </c>
      <c r="M21" s="4">
        <v>10.8</v>
      </c>
      <c r="N21" s="4">
        <v>12</v>
      </c>
    </row>
    <row r="22" spans="1:14" x14ac:dyDescent="0.25">
      <c r="A22" t="s">
        <v>32</v>
      </c>
      <c r="B22" t="s">
        <v>79</v>
      </c>
      <c r="C22" t="s">
        <v>51</v>
      </c>
      <c r="D22" s="4">
        <v>16.3</v>
      </c>
      <c r="E22" s="4">
        <v>16.2</v>
      </c>
      <c r="F22" s="4">
        <v>16.7</v>
      </c>
      <c r="G22" s="4">
        <v>12.9</v>
      </c>
      <c r="H22" s="4">
        <v>14.6</v>
      </c>
      <c r="I22" s="4">
        <v>9.8000000000000007</v>
      </c>
      <c r="J22" s="4">
        <v>11.6</v>
      </c>
      <c r="K22" s="4">
        <v>12</v>
      </c>
      <c r="L22" s="4">
        <v>13.3</v>
      </c>
      <c r="M22" s="4">
        <v>11.9</v>
      </c>
      <c r="N22" s="4">
        <v>13.6</v>
      </c>
    </row>
    <row r="23" spans="1:14" hidden="1" x14ac:dyDescent="0.25">
      <c r="A23" t="s">
        <v>32</v>
      </c>
      <c r="B23" t="s">
        <v>33</v>
      </c>
      <c r="C23" t="s">
        <v>80</v>
      </c>
      <c r="D23" s="4">
        <v>19.3</v>
      </c>
      <c r="E23" s="4">
        <v>5.8</v>
      </c>
      <c r="F23" s="4">
        <v>1.1000000000000001</v>
      </c>
      <c r="G23" s="4">
        <v>0.1</v>
      </c>
      <c r="H23" s="4">
        <v>0.4</v>
      </c>
      <c r="I23" s="4">
        <v>3.3</v>
      </c>
      <c r="J23" s="4">
        <v>-0.3</v>
      </c>
      <c r="K23" s="4">
        <v>0</v>
      </c>
      <c r="L23" s="4">
        <v>0</v>
      </c>
      <c r="M23" s="4">
        <v>0</v>
      </c>
      <c r="N23" s="4">
        <v>0.1</v>
      </c>
    </row>
    <row r="24" spans="1:14" hidden="1" x14ac:dyDescent="0.25">
      <c r="A24" t="s">
        <v>32</v>
      </c>
      <c r="B24" t="s">
        <v>33</v>
      </c>
      <c r="C24" t="s">
        <v>81</v>
      </c>
      <c r="D24" s="4">
        <v>0.9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t="s">
        <v>32</v>
      </c>
      <c r="B25" t="s">
        <v>34</v>
      </c>
      <c r="C25" t="s">
        <v>52</v>
      </c>
      <c r="D25" s="4">
        <v>47.5</v>
      </c>
      <c r="E25" s="4">
        <v>51.7</v>
      </c>
      <c r="F25" s="4">
        <v>47.6</v>
      </c>
      <c r="G25" s="4">
        <v>46.8</v>
      </c>
      <c r="H25" s="4">
        <v>45</v>
      </c>
      <c r="I25" s="4">
        <v>41.5</v>
      </c>
      <c r="J25" s="4">
        <v>37.200000000000003</v>
      </c>
      <c r="K25" s="4">
        <v>48.2</v>
      </c>
      <c r="L25" s="4">
        <v>53.5</v>
      </c>
      <c r="M25" s="4">
        <v>58.6</v>
      </c>
      <c r="N25" s="4">
        <v>78.099999999999994</v>
      </c>
    </row>
    <row r="26" spans="1:14" x14ac:dyDescent="0.25">
      <c r="A26" t="s">
        <v>32</v>
      </c>
      <c r="B26" t="s">
        <v>34</v>
      </c>
      <c r="C26" t="s">
        <v>53</v>
      </c>
      <c r="D26" s="4">
        <v>13.6</v>
      </c>
      <c r="E26" s="4">
        <v>12.7</v>
      </c>
      <c r="F26" s="4">
        <v>13.1</v>
      </c>
      <c r="G26" s="4">
        <v>14.2</v>
      </c>
      <c r="H26" s="4">
        <v>14.1</v>
      </c>
      <c r="I26" s="4">
        <v>10.6</v>
      </c>
      <c r="J26" s="4">
        <v>14.2</v>
      </c>
      <c r="K26" s="4">
        <v>13.3</v>
      </c>
      <c r="L26" s="4">
        <v>16.8</v>
      </c>
      <c r="M26" s="4">
        <v>14.8</v>
      </c>
      <c r="N26" s="4">
        <v>18.2</v>
      </c>
    </row>
    <row r="27" spans="1:14" hidden="1" x14ac:dyDescent="0.25">
      <c r="A27" t="s">
        <v>32</v>
      </c>
      <c r="B27" t="s">
        <v>35</v>
      </c>
      <c r="C27" t="s">
        <v>35</v>
      </c>
      <c r="D27" s="4">
        <v>34.200000000000003</v>
      </c>
      <c r="E27" s="4">
        <v>31.5</v>
      </c>
      <c r="F27" s="4">
        <v>29</v>
      </c>
      <c r="G27" s="4">
        <v>28</v>
      </c>
      <c r="H27" s="4">
        <v>27.3</v>
      </c>
      <c r="I27" s="4">
        <v>22.2</v>
      </c>
      <c r="J27" s="4">
        <v>14.4</v>
      </c>
      <c r="K27" s="4">
        <v>20.100000000000001</v>
      </c>
      <c r="L27" s="4">
        <v>21.4</v>
      </c>
      <c r="M27" s="4">
        <v>24.4</v>
      </c>
      <c r="N27" s="4">
        <v>21.9</v>
      </c>
    </row>
    <row r="28" spans="1:14" hidden="1" x14ac:dyDescent="0.25">
      <c r="A28" t="s">
        <v>32</v>
      </c>
      <c r="B28" t="s">
        <v>82</v>
      </c>
      <c r="C28" t="s">
        <v>86</v>
      </c>
      <c r="D28" s="4">
        <v>12.6</v>
      </c>
      <c r="E28" s="4">
        <v>10.4</v>
      </c>
      <c r="F28" s="4">
        <v>10.7</v>
      </c>
      <c r="G28" s="4">
        <v>11.5</v>
      </c>
      <c r="H28" s="4">
        <v>11.6</v>
      </c>
      <c r="I28" s="4">
        <v>12.4</v>
      </c>
      <c r="J28" s="4">
        <v>8.6999999999999993</v>
      </c>
      <c r="K28" s="4">
        <v>9.8000000000000007</v>
      </c>
      <c r="L28" s="4">
        <v>10.5</v>
      </c>
      <c r="M28" s="4">
        <v>9.5</v>
      </c>
      <c r="N28" s="4">
        <v>10.199999999999999</v>
      </c>
    </row>
    <row r="29" spans="1:14" hidden="1" x14ac:dyDescent="0.25">
      <c r="A29" t="s">
        <v>32</v>
      </c>
      <c r="B29" t="s">
        <v>82</v>
      </c>
      <c r="C29" t="s">
        <v>87</v>
      </c>
      <c r="D29" s="4">
        <v>14.2</v>
      </c>
      <c r="E29" s="4">
        <v>17.899999999999999</v>
      </c>
      <c r="F29" s="4">
        <v>26.7</v>
      </c>
      <c r="G29" s="4">
        <v>35.799999999999997</v>
      </c>
      <c r="H29" s="4">
        <v>23.8</v>
      </c>
      <c r="I29" s="4">
        <v>15.7</v>
      </c>
      <c r="J29" s="4">
        <v>7.3</v>
      </c>
      <c r="K29" s="4">
        <v>7</v>
      </c>
      <c r="L29" s="4">
        <v>13.7</v>
      </c>
      <c r="M29" s="4">
        <v>15.7</v>
      </c>
      <c r="N29" s="4">
        <v>23.5</v>
      </c>
    </row>
    <row r="30" spans="1:14" hidden="1" x14ac:dyDescent="0.25">
      <c r="A30" t="s">
        <v>32</v>
      </c>
      <c r="B30" t="s">
        <v>82</v>
      </c>
      <c r="C30" t="s">
        <v>88</v>
      </c>
      <c r="D30" s="4">
        <v>10</v>
      </c>
      <c r="E30" s="4">
        <v>8.6999999999999993</v>
      </c>
      <c r="F30" s="4">
        <v>12.8</v>
      </c>
      <c r="G30" s="4">
        <v>15.6</v>
      </c>
      <c r="H30" s="4">
        <v>11</v>
      </c>
      <c r="I30" s="4">
        <v>15.6</v>
      </c>
      <c r="J30" s="4">
        <v>7</v>
      </c>
      <c r="K30" s="4">
        <v>12.7</v>
      </c>
      <c r="L30" s="4">
        <v>9</v>
      </c>
      <c r="M30" s="4">
        <v>8.1</v>
      </c>
      <c r="N30" s="4">
        <v>6.2</v>
      </c>
    </row>
    <row r="31" spans="1:14" hidden="1" x14ac:dyDescent="0.25">
      <c r="A31" t="s">
        <v>32</v>
      </c>
      <c r="B31" t="s">
        <v>82</v>
      </c>
      <c r="C31" t="s">
        <v>83</v>
      </c>
      <c r="D31" s="4">
        <v>18.100000000000001</v>
      </c>
      <c r="E31" s="4">
        <v>15.9</v>
      </c>
      <c r="F31" s="4">
        <v>16.600000000000001</v>
      </c>
      <c r="G31" s="4">
        <v>16.600000000000001</v>
      </c>
      <c r="H31" s="4">
        <v>15.6</v>
      </c>
      <c r="I31" s="4">
        <v>12.4</v>
      </c>
      <c r="J31" s="4">
        <v>10.4</v>
      </c>
      <c r="K31" s="4">
        <v>12.3</v>
      </c>
      <c r="L31" s="4">
        <v>16</v>
      </c>
      <c r="M31" s="4">
        <v>16.8</v>
      </c>
      <c r="N31" s="4">
        <v>16</v>
      </c>
    </row>
    <row r="32" spans="1:14" hidden="1" x14ac:dyDescent="0.25">
      <c r="A32" t="s">
        <v>32</v>
      </c>
      <c r="B32" t="s">
        <v>3</v>
      </c>
      <c r="C32" t="s">
        <v>54</v>
      </c>
      <c r="D32" s="4">
        <v>0.3</v>
      </c>
      <c r="E32" s="4">
        <v>0.2</v>
      </c>
      <c r="F32" s="4">
        <v>0.4</v>
      </c>
      <c r="G32" s="4">
        <v>0.2</v>
      </c>
      <c r="H32" s="4">
        <v>0.5</v>
      </c>
      <c r="I32" s="4">
        <v>0.1</v>
      </c>
      <c r="J32" s="4">
        <v>0.1</v>
      </c>
      <c r="K32" s="4">
        <v>0.2</v>
      </c>
      <c r="L32" s="4">
        <v>0.1</v>
      </c>
      <c r="M32" s="4">
        <v>0.4</v>
      </c>
      <c r="N32" s="4">
        <v>0.1</v>
      </c>
    </row>
    <row r="33" spans="1:14" hidden="1" x14ac:dyDescent="0.25">
      <c r="A33" t="s">
        <v>32</v>
      </c>
      <c r="B33" t="s">
        <v>3</v>
      </c>
      <c r="C33" t="s">
        <v>55</v>
      </c>
      <c r="D33" s="4">
        <v>3.5</v>
      </c>
      <c r="E33" s="4">
        <v>2.7</v>
      </c>
      <c r="F33" s="4">
        <v>7.4</v>
      </c>
      <c r="G33" s="4">
        <v>6.4</v>
      </c>
      <c r="H33" s="4">
        <v>6.4</v>
      </c>
      <c r="I33" s="4">
        <v>13.4</v>
      </c>
      <c r="J33" s="4">
        <v>4.4000000000000004</v>
      </c>
      <c r="K33" s="4">
        <v>5.2</v>
      </c>
      <c r="L33" s="4">
        <v>8.5</v>
      </c>
      <c r="M33" s="4">
        <v>1.2</v>
      </c>
      <c r="N33" s="4">
        <v>6.9</v>
      </c>
    </row>
    <row r="34" spans="1:14" hidden="1" x14ac:dyDescent="0.25">
      <c r="A34" t="s">
        <v>32</v>
      </c>
      <c r="B34" t="s">
        <v>3</v>
      </c>
      <c r="C34" t="s">
        <v>56</v>
      </c>
      <c r="D34" s="4">
        <v>3.3</v>
      </c>
      <c r="E34" s="4">
        <v>3.2</v>
      </c>
      <c r="F34" s="4">
        <v>2.7</v>
      </c>
      <c r="G34" s="4">
        <v>2.5</v>
      </c>
      <c r="H34" s="4">
        <v>2.8</v>
      </c>
      <c r="I34" s="4">
        <v>-1.8</v>
      </c>
      <c r="J34" s="4">
        <v>2.2000000000000002</v>
      </c>
      <c r="K34" s="4">
        <v>2.4</v>
      </c>
      <c r="L34" s="4">
        <v>1.8</v>
      </c>
      <c r="M34" s="4">
        <v>5.9</v>
      </c>
      <c r="N34" s="4">
        <v>2.2999999999999998</v>
      </c>
    </row>
    <row r="35" spans="1:14" hidden="1" x14ac:dyDescent="0.25">
      <c r="A35" t="s">
        <v>32</v>
      </c>
      <c r="B35" t="s">
        <v>3</v>
      </c>
      <c r="C35" t="s">
        <v>107</v>
      </c>
      <c r="D35" s="4">
        <v>0</v>
      </c>
      <c r="E35" s="4">
        <v>0</v>
      </c>
      <c r="F35" s="4">
        <v>0</v>
      </c>
      <c r="G35" s="4">
        <v>0</v>
      </c>
      <c r="H35" s="4">
        <v>0.1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0.1</v>
      </c>
    </row>
    <row r="36" spans="1:14" hidden="1" x14ac:dyDescent="0.25">
      <c r="A36" t="s">
        <v>32</v>
      </c>
      <c r="B36" t="s">
        <v>3</v>
      </c>
      <c r="C36" t="s">
        <v>105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0.1</v>
      </c>
      <c r="K36" s="4">
        <v>0</v>
      </c>
      <c r="L36" s="4">
        <v>0</v>
      </c>
      <c r="M36" s="4">
        <v>0</v>
      </c>
      <c r="N36" s="4">
        <v>0</v>
      </c>
    </row>
    <row r="37" spans="1:14" ht="15.75" thickBot="1" x14ac:dyDescent="0.3">
      <c r="A37" t="s">
        <v>32</v>
      </c>
      <c r="B37" t="s">
        <v>96</v>
      </c>
      <c r="C37" t="s">
        <v>97</v>
      </c>
      <c r="D37" s="4">
        <v>0</v>
      </c>
      <c r="E37" s="4">
        <v>0</v>
      </c>
      <c r="F37" s="4">
        <v>0</v>
      </c>
      <c r="G37" s="4">
        <v>0</v>
      </c>
      <c r="H37" s="4">
        <v>0.1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 spans="1:14" hidden="1" x14ac:dyDescent="0.25">
      <c r="A38" t="s">
        <v>32</v>
      </c>
      <c r="B38" t="s">
        <v>36</v>
      </c>
      <c r="C38" t="s">
        <v>78</v>
      </c>
      <c r="D38" s="4">
        <v>0.5</v>
      </c>
      <c r="E38" s="4">
        <v>0.4</v>
      </c>
      <c r="F38" s="4">
        <v>0.1</v>
      </c>
      <c r="G38" s="4">
        <v>0.1</v>
      </c>
      <c r="H38" s="4">
        <v>0.1</v>
      </c>
      <c r="I38" s="4">
        <v>0</v>
      </c>
      <c r="J38" s="4">
        <v>0.4</v>
      </c>
      <c r="K38" s="4">
        <v>0.5</v>
      </c>
      <c r="L38" s="4">
        <v>1.1000000000000001</v>
      </c>
      <c r="M38" s="4">
        <v>1</v>
      </c>
      <c r="N38" s="4">
        <v>0.6</v>
      </c>
    </row>
    <row r="39" spans="1:14" hidden="1" x14ac:dyDescent="0.25">
      <c r="A39" t="s">
        <v>32</v>
      </c>
      <c r="B39" t="s">
        <v>36</v>
      </c>
      <c r="C39" t="s">
        <v>91</v>
      </c>
      <c r="D39" s="4">
        <v>0</v>
      </c>
      <c r="E39" s="4">
        <v>0</v>
      </c>
      <c r="F39" s="4">
        <v>-0.1</v>
      </c>
      <c r="G39" s="4">
        <v>0</v>
      </c>
      <c r="H39" s="4">
        <v>0.1</v>
      </c>
      <c r="I39" s="4">
        <v>0.4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 hidden="1" x14ac:dyDescent="0.25">
      <c r="A40" t="s">
        <v>32</v>
      </c>
      <c r="B40" t="s">
        <v>103</v>
      </c>
      <c r="C40" t="s">
        <v>104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 hidden="1" x14ac:dyDescent="0.25">
      <c r="A41" t="s">
        <v>57</v>
      </c>
      <c r="B41" t="s">
        <v>7</v>
      </c>
      <c r="C41" t="s">
        <v>7</v>
      </c>
      <c r="D41" s="4">
        <v>23.6</v>
      </c>
      <c r="E41" s="4">
        <v>21.4</v>
      </c>
      <c r="F41" s="4">
        <v>23.7</v>
      </c>
      <c r="G41" s="4">
        <v>24</v>
      </c>
      <c r="H41" s="4">
        <v>23.5</v>
      </c>
      <c r="I41" s="4">
        <v>16.3</v>
      </c>
      <c r="J41" s="4">
        <v>18.5</v>
      </c>
      <c r="K41" s="4">
        <v>22.5</v>
      </c>
      <c r="L41" s="4">
        <v>23.5</v>
      </c>
      <c r="M41" s="4">
        <v>18.100000000000001</v>
      </c>
      <c r="N41" s="4">
        <v>26.1</v>
      </c>
    </row>
    <row r="42" spans="1:14" hidden="1" x14ac:dyDescent="0.25">
      <c r="A42" t="s">
        <v>57</v>
      </c>
      <c r="B42" s="9" t="s">
        <v>8</v>
      </c>
      <c r="C42" t="s">
        <v>84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15.9</v>
      </c>
      <c r="L42" s="4">
        <v>19.600000000000001</v>
      </c>
      <c r="M42" s="4">
        <v>24.8</v>
      </c>
      <c r="N42" s="4">
        <v>28.8</v>
      </c>
    </row>
    <row r="43" spans="1:14" hidden="1" x14ac:dyDescent="0.25">
      <c r="A43" t="s">
        <v>57</v>
      </c>
      <c r="B43" s="9" t="s">
        <v>8</v>
      </c>
      <c r="C43" t="s">
        <v>58</v>
      </c>
      <c r="D43" s="4">
        <v>36.5</v>
      </c>
      <c r="E43" s="4">
        <v>37.299999999999997</v>
      </c>
      <c r="F43" s="4">
        <v>36</v>
      </c>
      <c r="G43" s="4">
        <v>36.200000000000003</v>
      </c>
      <c r="H43" s="4">
        <v>33.700000000000003</v>
      </c>
      <c r="I43" s="4">
        <v>38.1</v>
      </c>
      <c r="J43" s="4">
        <v>42.9</v>
      </c>
      <c r="K43" s="4">
        <v>0.7</v>
      </c>
      <c r="L43" s="4">
        <v>0.6</v>
      </c>
      <c r="M43" s="4">
        <v>0.6</v>
      </c>
      <c r="N43" s="4">
        <v>-0.2</v>
      </c>
    </row>
    <row r="44" spans="1:14" hidden="1" x14ac:dyDescent="0.25">
      <c r="A44" t="s">
        <v>57</v>
      </c>
      <c r="B44" s="9" t="s">
        <v>8</v>
      </c>
      <c r="C44" t="s">
        <v>59</v>
      </c>
      <c r="D44" s="4">
        <v>2.6</v>
      </c>
      <c r="E44" s="4">
        <v>1.8</v>
      </c>
      <c r="F44" s="4">
        <v>2</v>
      </c>
      <c r="G44" s="4">
        <v>1.8</v>
      </c>
      <c r="H44" s="4">
        <v>1.9</v>
      </c>
      <c r="I44" s="4">
        <v>2</v>
      </c>
      <c r="J44" s="4">
        <v>1.8</v>
      </c>
      <c r="K44" s="4">
        <v>1.9</v>
      </c>
      <c r="L44" s="4">
        <v>2.5</v>
      </c>
      <c r="M44" s="4">
        <v>2.2999999999999998</v>
      </c>
      <c r="N44" s="4">
        <v>2.5</v>
      </c>
    </row>
    <row r="45" spans="1:14" hidden="1" x14ac:dyDescent="0.25">
      <c r="A45" t="s">
        <v>57</v>
      </c>
      <c r="B45" s="9" t="s">
        <v>8</v>
      </c>
      <c r="C45" t="s">
        <v>60</v>
      </c>
      <c r="D45" s="4">
        <v>2.9</v>
      </c>
      <c r="E45" s="4">
        <v>3.4</v>
      </c>
      <c r="F45" s="4">
        <v>3.4</v>
      </c>
      <c r="G45" s="4">
        <v>3.7</v>
      </c>
      <c r="H45" s="4">
        <v>3.6</v>
      </c>
      <c r="I45" s="4">
        <v>4.0999999999999996</v>
      </c>
      <c r="J45" s="4">
        <v>3.1</v>
      </c>
      <c r="K45" s="4">
        <v>3.2</v>
      </c>
      <c r="L45" s="4">
        <v>3.6</v>
      </c>
      <c r="M45" s="4">
        <v>4</v>
      </c>
      <c r="N45" s="4">
        <v>4.4000000000000004</v>
      </c>
    </row>
    <row r="46" spans="1:14" hidden="1" x14ac:dyDescent="0.25">
      <c r="A46" t="s">
        <v>57</v>
      </c>
      <c r="B46" s="9" t="s">
        <v>8</v>
      </c>
      <c r="C46" t="s">
        <v>61</v>
      </c>
      <c r="D46" s="4">
        <v>0.8</v>
      </c>
      <c r="E46" s="4">
        <v>0.8</v>
      </c>
      <c r="F46" s="4">
        <v>0.8</v>
      </c>
      <c r="G46" s="4">
        <v>0.9</v>
      </c>
      <c r="H46" s="4">
        <v>0.8</v>
      </c>
      <c r="I46" s="4">
        <v>0.8</v>
      </c>
      <c r="J46" s="4">
        <v>0.8</v>
      </c>
      <c r="K46" s="4">
        <v>0.8</v>
      </c>
      <c r="L46" s="4">
        <v>1.1000000000000001</v>
      </c>
      <c r="M46" s="4">
        <v>0.8</v>
      </c>
      <c r="N46" s="4">
        <v>1</v>
      </c>
    </row>
    <row r="47" spans="1:14" hidden="1" x14ac:dyDescent="0.25">
      <c r="A47" t="s">
        <v>57</v>
      </c>
      <c r="B47" s="9" t="s">
        <v>8</v>
      </c>
      <c r="C47" t="s">
        <v>98</v>
      </c>
      <c r="D47" s="4">
        <v>0</v>
      </c>
      <c r="E47" s="4">
        <v>0</v>
      </c>
      <c r="F47" s="4">
        <v>0</v>
      </c>
      <c r="G47" s="4">
        <v>0</v>
      </c>
      <c r="H47" s="4">
        <v>0.4</v>
      </c>
      <c r="I47" s="4">
        <v>0.1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hidden="1" x14ac:dyDescent="0.25">
      <c r="A48" t="s">
        <v>57</v>
      </c>
      <c r="B48" s="9" t="s">
        <v>8</v>
      </c>
      <c r="C48" t="s">
        <v>62</v>
      </c>
      <c r="D48" s="4">
        <v>3.2</v>
      </c>
      <c r="E48" s="4">
        <v>6</v>
      </c>
      <c r="F48" s="4">
        <v>7.3</v>
      </c>
      <c r="G48" s="4">
        <v>9.4</v>
      </c>
      <c r="H48" s="4">
        <v>12.1</v>
      </c>
      <c r="I48" s="4">
        <v>3.5</v>
      </c>
      <c r="J48" s="4">
        <v>1.8</v>
      </c>
      <c r="K48" s="4">
        <v>1.8</v>
      </c>
      <c r="L48" s="4">
        <v>0</v>
      </c>
      <c r="M48" s="4">
        <v>0.3</v>
      </c>
      <c r="N48" s="4">
        <v>0.4</v>
      </c>
    </row>
    <row r="49" spans="1:14" hidden="1" x14ac:dyDescent="0.25">
      <c r="A49" t="s">
        <v>57</v>
      </c>
      <c r="B49" t="s">
        <v>30</v>
      </c>
      <c r="C49" t="s">
        <v>63</v>
      </c>
      <c r="D49" s="4">
        <v>0.1</v>
      </c>
      <c r="E49" s="4">
        <v>0</v>
      </c>
      <c r="F49" s="4">
        <v>0.1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0.1</v>
      </c>
      <c r="M49" s="4">
        <v>0</v>
      </c>
      <c r="N49" s="4">
        <v>0</v>
      </c>
    </row>
    <row r="50" spans="1:14" hidden="1" x14ac:dyDescent="0.25">
      <c r="A50" t="s">
        <v>57</v>
      </c>
      <c r="B50" t="s">
        <v>30</v>
      </c>
      <c r="C50" t="s">
        <v>64</v>
      </c>
      <c r="D50" s="4">
        <v>1.5</v>
      </c>
      <c r="E50" s="4">
        <v>1.1000000000000001</v>
      </c>
      <c r="F50" s="4">
        <v>1.3</v>
      </c>
      <c r="G50" s="4">
        <v>1.2</v>
      </c>
      <c r="H50" s="4">
        <v>1.3</v>
      </c>
      <c r="I50" s="4">
        <v>1.1000000000000001</v>
      </c>
      <c r="J50" s="4">
        <v>1.2</v>
      </c>
      <c r="K50" s="4">
        <v>1.3</v>
      </c>
      <c r="L50" s="4">
        <v>1.5</v>
      </c>
      <c r="M50" s="4">
        <v>1.2</v>
      </c>
      <c r="N50" s="4">
        <v>1.6</v>
      </c>
    </row>
    <row r="51" spans="1:14" hidden="1" x14ac:dyDescent="0.25">
      <c r="A51" t="s">
        <v>57</v>
      </c>
      <c r="B51" t="s">
        <v>30</v>
      </c>
      <c r="C51" t="s">
        <v>65</v>
      </c>
      <c r="D51" s="4">
        <v>0.1</v>
      </c>
      <c r="E51" s="4">
        <v>0.1</v>
      </c>
      <c r="F51" s="4">
        <v>0.1</v>
      </c>
      <c r="G51" s="4">
        <v>0.1</v>
      </c>
      <c r="H51" s="4">
        <v>0.1</v>
      </c>
      <c r="I51" s="4">
        <v>0.1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 hidden="1" x14ac:dyDescent="0.25">
      <c r="A52" t="s">
        <v>57</v>
      </c>
      <c r="B52" t="s">
        <v>19</v>
      </c>
      <c r="C52" t="s">
        <v>66</v>
      </c>
      <c r="D52" s="4">
        <v>9.6999999999999993</v>
      </c>
      <c r="E52" s="4">
        <v>8.6999999999999993</v>
      </c>
      <c r="F52" s="4">
        <v>7.7</v>
      </c>
      <c r="G52" s="4">
        <v>10.6</v>
      </c>
      <c r="H52" s="4">
        <v>8.1</v>
      </c>
      <c r="I52" s="4">
        <v>9.6</v>
      </c>
      <c r="J52" s="4">
        <v>7.4</v>
      </c>
      <c r="K52" s="4">
        <v>7.1</v>
      </c>
      <c r="L52" s="4">
        <v>7.8</v>
      </c>
      <c r="M52" s="4">
        <v>8.8000000000000007</v>
      </c>
      <c r="N52" s="4">
        <v>9.1999999999999993</v>
      </c>
    </row>
    <row r="53" spans="1:14" hidden="1" x14ac:dyDescent="0.25">
      <c r="A53" t="s">
        <v>57</v>
      </c>
      <c r="B53" t="s">
        <v>19</v>
      </c>
      <c r="C53" t="s">
        <v>67</v>
      </c>
      <c r="D53" s="4">
        <v>24.1</v>
      </c>
      <c r="E53" s="4">
        <v>21.7</v>
      </c>
      <c r="F53" s="4">
        <v>21.2</v>
      </c>
      <c r="G53" s="4">
        <v>27</v>
      </c>
      <c r="H53" s="4">
        <v>21.2</v>
      </c>
      <c r="I53" s="4">
        <v>16.5</v>
      </c>
      <c r="J53" s="4">
        <v>16.3</v>
      </c>
      <c r="K53" s="4">
        <v>20.7</v>
      </c>
      <c r="L53" s="4">
        <v>23.8</v>
      </c>
      <c r="M53" s="4">
        <v>22</v>
      </c>
      <c r="N53" s="4">
        <v>29.1</v>
      </c>
    </row>
    <row r="54" spans="1:14" hidden="1" x14ac:dyDescent="0.25">
      <c r="A54" t="s">
        <v>57</v>
      </c>
      <c r="B54" t="s">
        <v>19</v>
      </c>
      <c r="C54" t="s">
        <v>68</v>
      </c>
      <c r="D54" s="4">
        <v>2.9</v>
      </c>
      <c r="E54" s="4">
        <v>0.4</v>
      </c>
      <c r="F54" s="4">
        <v>0</v>
      </c>
      <c r="G54" s="4">
        <v>0.2</v>
      </c>
      <c r="H54" s="4">
        <v>0</v>
      </c>
      <c r="I54" s="4">
        <v>-0.7</v>
      </c>
      <c r="J54" s="4">
        <v>0.7</v>
      </c>
      <c r="K54" s="4">
        <v>0</v>
      </c>
      <c r="L54" s="4">
        <v>0</v>
      </c>
      <c r="M54" s="4">
        <v>0</v>
      </c>
      <c r="N54" s="4">
        <v>0</v>
      </c>
    </row>
    <row r="55" spans="1:14" hidden="1" x14ac:dyDescent="0.25">
      <c r="A55" t="s">
        <v>57</v>
      </c>
      <c r="B55" t="s">
        <v>19</v>
      </c>
      <c r="C55" t="s">
        <v>94</v>
      </c>
      <c r="D55" s="4">
        <v>0.1</v>
      </c>
      <c r="E55" s="4">
        <v>0.1</v>
      </c>
      <c r="F55" s="4">
        <v>0.1</v>
      </c>
      <c r="G55" s="4">
        <v>0</v>
      </c>
      <c r="H55" s="4">
        <v>0.2</v>
      </c>
      <c r="I55" s="4">
        <v>-1.1000000000000001</v>
      </c>
      <c r="J55" s="4">
        <v>1.1000000000000001</v>
      </c>
      <c r="K55" s="4">
        <v>0</v>
      </c>
      <c r="L55" s="4">
        <v>0</v>
      </c>
      <c r="M55" s="4">
        <v>1.2</v>
      </c>
      <c r="N55" s="4">
        <v>0.1</v>
      </c>
    </row>
    <row r="56" spans="1:14" hidden="1" x14ac:dyDescent="0.25">
      <c r="A56" t="s">
        <v>57</v>
      </c>
      <c r="B56" t="s">
        <v>19</v>
      </c>
      <c r="C56" t="s">
        <v>69</v>
      </c>
      <c r="D56" s="4">
        <v>27.7</v>
      </c>
      <c r="E56" s="4">
        <v>28.8</v>
      </c>
      <c r="F56" s="4">
        <v>32</v>
      </c>
      <c r="G56" s="4">
        <v>30.2</v>
      </c>
      <c r="H56" s="4">
        <v>27.8</v>
      </c>
      <c r="I56" s="4">
        <v>27.4</v>
      </c>
      <c r="J56" s="4">
        <v>24.4</v>
      </c>
      <c r="K56" s="4">
        <v>25.3</v>
      </c>
      <c r="L56" s="4">
        <v>25.5</v>
      </c>
      <c r="M56" s="4">
        <v>24.2</v>
      </c>
      <c r="N56" s="4">
        <v>25.3</v>
      </c>
    </row>
    <row r="57" spans="1:14" hidden="1" x14ac:dyDescent="0.25">
      <c r="A57" t="s">
        <v>57</v>
      </c>
      <c r="B57" t="s">
        <v>19</v>
      </c>
      <c r="C57" t="s">
        <v>70</v>
      </c>
      <c r="D57" s="4">
        <v>10.1</v>
      </c>
      <c r="E57" s="4">
        <v>9.9</v>
      </c>
      <c r="F57" s="4">
        <v>10.1</v>
      </c>
      <c r="G57" s="4">
        <v>10.199999999999999</v>
      </c>
      <c r="H57" s="4">
        <v>11.4</v>
      </c>
      <c r="I57" s="4">
        <v>11.2</v>
      </c>
      <c r="J57" s="4">
        <v>11.3</v>
      </c>
      <c r="K57" s="4">
        <v>10.8</v>
      </c>
      <c r="L57" s="4">
        <v>11.2</v>
      </c>
      <c r="M57" s="4">
        <v>10.9</v>
      </c>
      <c r="N57" s="4">
        <v>11</v>
      </c>
    </row>
    <row r="58" spans="1:14" hidden="1" x14ac:dyDescent="0.25">
      <c r="A58" t="s">
        <v>57</v>
      </c>
      <c r="B58" t="s">
        <v>19</v>
      </c>
      <c r="C58" t="s">
        <v>85</v>
      </c>
      <c r="D58" s="4">
        <v>0</v>
      </c>
      <c r="E58" s="4">
        <v>0</v>
      </c>
      <c r="F58" s="4">
        <v>0</v>
      </c>
      <c r="G58" s="4">
        <v>-0.2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 hidden="1" x14ac:dyDescent="0.25">
      <c r="A59" t="s">
        <v>57</v>
      </c>
      <c r="B59" t="s">
        <v>6</v>
      </c>
      <c r="C59" t="s">
        <v>71</v>
      </c>
      <c r="D59" s="4">
        <v>9.4</v>
      </c>
      <c r="E59" s="4">
        <v>9.1999999999999993</v>
      </c>
      <c r="F59" s="4">
        <v>9.1</v>
      </c>
      <c r="G59" s="4">
        <v>10.9</v>
      </c>
      <c r="H59" s="4">
        <v>10.6</v>
      </c>
      <c r="I59" s="4">
        <v>9.4</v>
      </c>
      <c r="J59" s="4">
        <v>9.9</v>
      </c>
      <c r="K59" s="4">
        <v>13.1</v>
      </c>
      <c r="L59" s="4">
        <v>11.3</v>
      </c>
      <c r="M59" s="4">
        <v>10.4</v>
      </c>
      <c r="N59" s="4">
        <v>9.6</v>
      </c>
    </row>
    <row r="60" spans="1:14" hidden="1" x14ac:dyDescent="0.25">
      <c r="A60" t="s">
        <v>57</v>
      </c>
      <c r="B60" t="s">
        <v>6</v>
      </c>
      <c r="C60" t="s">
        <v>72</v>
      </c>
      <c r="D60" s="4">
        <v>3.7</v>
      </c>
      <c r="E60" s="4">
        <v>3.5</v>
      </c>
      <c r="F60" s="4">
        <v>3.5</v>
      </c>
      <c r="G60" s="4">
        <v>3.4</v>
      </c>
      <c r="H60" s="4">
        <v>3.6</v>
      </c>
      <c r="I60" s="4">
        <v>3.5</v>
      </c>
      <c r="J60" s="4">
        <v>3.9</v>
      </c>
      <c r="K60" s="4">
        <v>3.5</v>
      </c>
      <c r="L60" s="4">
        <v>3.4</v>
      </c>
      <c r="M60" s="4">
        <v>3.4</v>
      </c>
      <c r="N60" s="4">
        <v>3.5</v>
      </c>
    </row>
    <row r="61" spans="1:14" hidden="1" x14ac:dyDescent="0.25">
      <c r="A61" t="s">
        <v>57</v>
      </c>
      <c r="B61" t="s">
        <v>6</v>
      </c>
      <c r="C61" t="s">
        <v>73</v>
      </c>
      <c r="D61" s="4">
        <v>30.4</v>
      </c>
      <c r="E61" s="4">
        <v>29.5</v>
      </c>
      <c r="F61" s="4">
        <v>28.2</v>
      </c>
      <c r="G61" s="4">
        <v>30.6</v>
      </c>
      <c r="H61" s="4">
        <v>28.9</v>
      </c>
      <c r="I61" s="4">
        <v>32</v>
      </c>
      <c r="J61" s="4">
        <v>29.9</v>
      </c>
      <c r="K61" s="4">
        <v>27.3</v>
      </c>
      <c r="L61" s="4">
        <v>29</v>
      </c>
      <c r="M61" s="4">
        <v>29.7</v>
      </c>
      <c r="N61" s="4">
        <v>29.3</v>
      </c>
    </row>
    <row r="62" spans="1:14" hidden="1" x14ac:dyDescent="0.25">
      <c r="A62" t="s">
        <v>57</v>
      </c>
      <c r="B62" t="s">
        <v>89</v>
      </c>
      <c r="C62" t="s">
        <v>89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-0.3</v>
      </c>
    </row>
    <row r="63" spans="1:14" hidden="1" x14ac:dyDescent="0.25">
      <c r="A63" t="s">
        <v>57</v>
      </c>
      <c r="B63" t="s">
        <v>89</v>
      </c>
      <c r="C63" t="s">
        <v>90</v>
      </c>
      <c r="D63" s="4">
        <v>0</v>
      </c>
      <c r="E63" s="4">
        <v>0</v>
      </c>
      <c r="F63" s="4">
        <v>-0.1</v>
      </c>
      <c r="G63" s="4">
        <v>0</v>
      </c>
      <c r="H63" s="4">
        <v>-0.6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 hidden="1" x14ac:dyDescent="0.25">
      <c r="A64" t="s">
        <v>21</v>
      </c>
      <c r="B64" t="s">
        <v>112</v>
      </c>
      <c r="C64" t="s">
        <v>74</v>
      </c>
      <c r="D64" s="4">
        <v>64.400000000000006</v>
      </c>
      <c r="E64" s="4">
        <v>73.599999999999994</v>
      </c>
      <c r="F64" s="4">
        <v>92.9</v>
      </c>
      <c r="G64" s="4">
        <v>80.5</v>
      </c>
      <c r="H64" s="4">
        <v>73.599999999999994</v>
      </c>
      <c r="I64" s="4">
        <v>113.9</v>
      </c>
      <c r="J64" s="4">
        <v>56.3</v>
      </c>
      <c r="K64" s="4">
        <v>61.3</v>
      </c>
      <c r="L64" s="4">
        <v>61.2</v>
      </c>
      <c r="M64" s="4">
        <v>80.5</v>
      </c>
      <c r="N64" s="4">
        <v>101.2</v>
      </c>
    </row>
    <row r="65" spans="1:14" hidden="1" x14ac:dyDescent="0.25">
      <c r="A65" t="s">
        <v>21</v>
      </c>
      <c r="B65" t="s">
        <v>113</v>
      </c>
      <c r="C65" t="s">
        <v>114</v>
      </c>
      <c r="D65" s="4">
        <v>14.5</v>
      </c>
      <c r="E65" s="4">
        <v>1.1000000000000001</v>
      </c>
      <c r="F65" s="4">
        <v>8.8000000000000007</v>
      </c>
      <c r="G65" s="4">
        <v>10.7</v>
      </c>
      <c r="H65" s="4">
        <v>6.3</v>
      </c>
      <c r="I65" s="4">
        <v>5.3</v>
      </c>
      <c r="J65" s="4">
        <v>10.1</v>
      </c>
      <c r="K65" s="4">
        <v>8</v>
      </c>
      <c r="L65" s="4">
        <v>10.6</v>
      </c>
      <c r="M65" s="4">
        <v>8</v>
      </c>
      <c r="N65" s="4">
        <v>8.1999999999999993</v>
      </c>
    </row>
    <row r="66" spans="1:14" hidden="1" x14ac:dyDescent="0.25">
      <c r="A66" t="s">
        <v>21</v>
      </c>
      <c r="B66" t="s">
        <v>115</v>
      </c>
      <c r="C66" t="s">
        <v>116</v>
      </c>
      <c r="D66" s="4">
        <v>23.8</v>
      </c>
      <c r="E66" s="4">
        <v>25.9</v>
      </c>
      <c r="F66" s="4">
        <v>28.4</v>
      </c>
      <c r="G66" s="4">
        <v>25.1</v>
      </c>
      <c r="H66" s="4">
        <v>26</v>
      </c>
      <c r="I66" s="4">
        <v>22.4</v>
      </c>
      <c r="J66" s="4">
        <v>24.6</v>
      </c>
      <c r="K66" s="4">
        <v>24.2</v>
      </c>
      <c r="L66" s="4">
        <v>27.3</v>
      </c>
      <c r="M66" s="4">
        <v>25.3</v>
      </c>
      <c r="N66" s="4">
        <v>27.6</v>
      </c>
    </row>
    <row r="67" spans="1:14" hidden="1" x14ac:dyDescent="0.25">
      <c r="A67" t="s">
        <v>21</v>
      </c>
      <c r="B67" t="s">
        <v>115</v>
      </c>
      <c r="C67" t="s">
        <v>117</v>
      </c>
      <c r="D67" s="4">
        <v>3.4</v>
      </c>
      <c r="E67" s="4">
        <v>3.1</v>
      </c>
      <c r="F67" s="4">
        <v>4.4000000000000004</v>
      </c>
      <c r="G67" s="4">
        <v>5.3</v>
      </c>
      <c r="H67" s="4">
        <v>2.7</v>
      </c>
      <c r="I67" s="4">
        <v>2.2000000000000002</v>
      </c>
      <c r="J67" s="4">
        <v>1.9</v>
      </c>
      <c r="K67" s="4">
        <v>1.8</v>
      </c>
      <c r="L67" s="4">
        <v>6.5</v>
      </c>
      <c r="M67" s="4">
        <v>2.1</v>
      </c>
      <c r="N67" s="4">
        <v>4.0999999999999996</v>
      </c>
    </row>
    <row r="68" spans="1:14" hidden="1" x14ac:dyDescent="0.25">
      <c r="A68" t="s">
        <v>21</v>
      </c>
      <c r="B68" t="s">
        <v>118</v>
      </c>
      <c r="C68" t="s">
        <v>26</v>
      </c>
      <c r="D68" s="4">
        <v>0.5</v>
      </c>
      <c r="E68" s="4">
        <v>0.5</v>
      </c>
      <c r="F68" s="4">
        <v>0.5</v>
      </c>
      <c r="G68" s="4">
        <v>0.5</v>
      </c>
      <c r="H68" s="4">
        <v>0.4</v>
      </c>
      <c r="I68" s="4">
        <v>1.3</v>
      </c>
      <c r="J68" s="4">
        <v>0.3</v>
      </c>
      <c r="K68" s="4">
        <v>0.4</v>
      </c>
      <c r="L68" s="4">
        <v>0.3</v>
      </c>
      <c r="M68" s="4">
        <v>1.6</v>
      </c>
      <c r="N68" s="4">
        <v>0.4</v>
      </c>
    </row>
    <row r="69" spans="1:14" hidden="1" x14ac:dyDescent="0.25">
      <c r="A69" t="s">
        <v>21</v>
      </c>
      <c r="B69" t="s">
        <v>118</v>
      </c>
      <c r="C69" t="s">
        <v>119</v>
      </c>
      <c r="D69" s="4">
        <v>0</v>
      </c>
      <c r="E69" s="4">
        <v>1.2</v>
      </c>
      <c r="F69" s="4">
        <v>0.8</v>
      </c>
      <c r="G69" s="4">
        <v>1.4</v>
      </c>
      <c r="H69" s="4">
        <v>1.4</v>
      </c>
      <c r="I69" s="4">
        <v>1.1000000000000001</v>
      </c>
      <c r="J69" s="4">
        <v>1.9</v>
      </c>
      <c r="K69" s="4">
        <v>2</v>
      </c>
      <c r="L69" s="4">
        <v>1.9</v>
      </c>
      <c r="M69" s="4">
        <v>1.7</v>
      </c>
      <c r="N69" s="4">
        <v>1.4</v>
      </c>
    </row>
    <row r="70" spans="1:14" hidden="1" x14ac:dyDescent="0.25">
      <c r="A70" t="s">
        <v>21</v>
      </c>
      <c r="B70" t="s">
        <v>118</v>
      </c>
      <c r="C70" t="s">
        <v>22</v>
      </c>
      <c r="D70" s="4">
        <v>0.8</v>
      </c>
      <c r="E70" s="4">
        <v>0.9</v>
      </c>
      <c r="F70" s="4">
        <v>1.4</v>
      </c>
      <c r="G70" s="4">
        <v>1.4</v>
      </c>
      <c r="H70" s="4">
        <v>1.1000000000000001</v>
      </c>
      <c r="I70" s="4">
        <v>1.4</v>
      </c>
      <c r="J70" s="4">
        <v>0.8</v>
      </c>
      <c r="K70" s="4">
        <v>1.8</v>
      </c>
      <c r="L70" s="4">
        <v>1.7</v>
      </c>
      <c r="M70" s="4">
        <v>1.7</v>
      </c>
      <c r="N70" s="4">
        <v>1.6</v>
      </c>
    </row>
    <row r="71" spans="1:14" hidden="1" x14ac:dyDescent="0.25">
      <c r="A71" t="s">
        <v>21</v>
      </c>
      <c r="B71" t="s">
        <v>27</v>
      </c>
      <c r="C71" t="s">
        <v>120</v>
      </c>
      <c r="D71" s="4">
        <v>0.6</v>
      </c>
      <c r="E71" s="4">
        <v>0.1</v>
      </c>
      <c r="F71" s="4">
        <v>0</v>
      </c>
      <c r="G71" s="4">
        <v>0.6</v>
      </c>
      <c r="H71" s="4">
        <v>0</v>
      </c>
      <c r="I71" s="4">
        <v>0</v>
      </c>
      <c r="J71" s="4">
        <v>0.5</v>
      </c>
      <c r="K71" s="4">
        <v>0</v>
      </c>
      <c r="L71" s="4">
        <v>-0.1</v>
      </c>
      <c r="M71" s="4">
        <v>0.4</v>
      </c>
      <c r="N71" s="4">
        <v>-0.1</v>
      </c>
    </row>
    <row r="72" spans="1:14" ht="15.75" hidden="1" thickBot="1" x14ac:dyDescent="0.3">
      <c r="A72" t="s">
        <v>21</v>
      </c>
      <c r="B72" t="s">
        <v>27</v>
      </c>
      <c r="C72" t="s">
        <v>121</v>
      </c>
      <c r="D72" s="4">
        <v>0.4</v>
      </c>
      <c r="E72" s="4">
        <v>-0.4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 ht="15.75" hidden="1" thickBot="1" x14ac:dyDescent="0.3">
      <c r="A73" t="s">
        <v>21</v>
      </c>
      <c r="B73" t="s">
        <v>122</v>
      </c>
      <c r="C73" t="s">
        <v>99</v>
      </c>
      <c r="D73" s="4">
        <v>0</v>
      </c>
      <c r="E73" s="4">
        <v>0</v>
      </c>
      <c r="F73" s="4">
        <v>0</v>
      </c>
      <c r="G73" s="4">
        <v>0</v>
      </c>
      <c r="H73" s="4">
        <v>27.3</v>
      </c>
      <c r="I73" s="4">
        <v>-22.6</v>
      </c>
      <c r="J73" s="4">
        <v>0</v>
      </c>
      <c r="K73" s="4">
        <v>22.6</v>
      </c>
      <c r="L73" s="4">
        <v>0</v>
      </c>
      <c r="M73" s="4">
        <v>0</v>
      </c>
      <c r="N73" s="4">
        <v>0</v>
      </c>
    </row>
    <row r="74" spans="1:14" ht="15.75" hidden="1" thickBot="1" x14ac:dyDescent="0.3">
      <c r="A74" t="s">
        <v>21</v>
      </c>
      <c r="B74" t="s">
        <v>123</v>
      </c>
      <c r="C74" t="s">
        <v>123</v>
      </c>
      <c r="D74" s="4">
        <v>-0.3</v>
      </c>
      <c r="E74" s="4">
        <v>-0.4</v>
      </c>
      <c r="F74" s="4">
        <v>-0.9</v>
      </c>
      <c r="G74" s="4">
        <v>-0.5</v>
      </c>
      <c r="H74" s="4">
        <v>-0.5</v>
      </c>
      <c r="I74" s="4">
        <v>-0.6</v>
      </c>
      <c r="J74" s="4">
        <v>-0.3</v>
      </c>
      <c r="K74" s="4">
        <v>-0.5</v>
      </c>
      <c r="L74" s="4">
        <v>-0.6</v>
      </c>
      <c r="M74" s="4">
        <v>-0.8</v>
      </c>
      <c r="N74" s="4">
        <v>-0.9</v>
      </c>
    </row>
    <row r="75" spans="1:14" ht="15.75" hidden="1" thickBot="1" x14ac:dyDescent="0.3">
      <c r="A75" t="s">
        <v>23</v>
      </c>
      <c r="B75" s="9" t="s">
        <v>24</v>
      </c>
      <c r="D75" s="4">
        <v>-2.1</v>
      </c>
      <c r="E75" s="4">
        <v>-3.1</v>
      </c>
      <c r="F75" s="4">
        <v>-2</v>
      </c>
      <c r="G75" s="4">
        <v>-0.7</v>
      </c>
      <c r="H75" s="4">
        <v>0.79999999999999982</v>
      </c>
      <c r="I75" s="4">
        <v>8.1999999999999886</v>
      </c>
      <c r="J75" s="4">
        <v>-2.2000000000000002</v>
      </c>
      <c r="K75" s="4">
        <v>-24.3</v>
      </c>
      <c r="L75" s="4">
        <v>-1.7999999999999998</v>
      </c>
      <c r="M75" s="4">
        <v>-2.1</v>
      </c>
      <c r="N75" s="4">
        <v>-2.2000000000000171</v>
      </c>
    </row>
    <row r="76" spans="1:14" ht="15.75" hidden="1" thickBot="1" x14ac:dyDescent="0.3">
      <c r="A76" t="s">
        <v>23</v>
      </c>
      <c r="B76" t="s">
        <v>106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0.1</v>
      </c>
      <c r="J76" s="4">
        <v>0</v>
      </c>
      <c r="K76" s="4">
        <v>0</v>
      </c>
      <c r="L76" s="4">
        <v>0</v>
      </c>
      <c r="M76" s="4">
        <v>0.1</v>
      </c>
      <c r="N76" s="4">
        <v>0</v>
      </c>
    </row>
    <row r="77" spans="1:14" ht="15.75" hidden="1" thickBot="1" x14ac:dyDescent="0.3">
      <c r="A77" t="s">
        <v>25</v>
      </c>
      <c r="B77" t="s">
        <v>2</v>
      </c>
      <c r="D77" s="4">
        <v>0.1</v>
      </c>
      <c r="E77" s="4">
        <v>0.1</v>
      </c>
      <c r="F77" s="4">
        <v>0.2</v>
      </c>
      <c r="G77" s="4">
        <v>0.1</v>
      </c>
      <c r="H77" s="4">
        <v>0.1</v>
      </c>
      <c r="I77" s="4">
        <v>0.1</v>
      </c>
      <c r="J77" s="4">
        <v>0</v>
      </c>
      <c r="K77" s="4">
        <v>0</v>
      </c>
      <c r="L77" s="4">
        <v>0.1</v>
      </c>
      <c r="M77" s="4">
        <v>0</v>
      </c>
      <c r="N77" s="4">
        <v>0</v>
      </c>
    </row>
    <row r="78" spans="1:14" ht="15.75" hidden="1" thickBot="1" x14ac:dyDescent="0.3">
      <c r="A78" t="s">
        <v>4</v>
      </c>
      <c r="B78" t="s">
        <v>4</v>
      </c>
      <c r="D78" s="4">
        <v>-0.19999999999986356</v>
      </c>
      <c r="E78" s="4">
        <v>-0.19999999999990906</v>
      </c>
      <c r="F78" s="4">
        <v>-9.9999999999886319E-2</v>
      </c>
      <c r="G78" s="4">
        <v>-0.1</v>
      </c>
      <c r="H78" s="4">
        <v>-0.20000000000009094</v>
      </c>
      <c r="I78" s="4">
        <v>-0.2000000000001137</v>
      </c>
      <c r="J78" s="4">
        <v>0.2</v>
      </c>
      <c r="K78" s="4">
        <v>0.10000000000002274</v>
      </c>
      <c r="L78" s="4">
        <v>-1.1368683772161603E-13</v>
      </c>
      <c r="M78" s="4">
        <v>-0.1</v>
      </c>
      <c r="N78" s="4">
        <v>0.10000000000002274</v>
      </c>
    </row>
    <row r="79" spans="1:14" ht="15.75" thickTop="1" x14ac:dyDescent="0.25">
      <c r="D79" s="5">
        <f>SUM(D2:D78)</f>
        <v>780.70000000000039</v>
      </c>
      <c r="E79" s="5">
        <f t="shared" ref="E79:M79" si="0">SUM(E2:E78)</f>
        <v>751.7</v>
      </c>
      <c r="F79" s="5">
        <f t="shared" si="0"/>
        <v>831.20000000000016</v>
      </c>
      <c r="G79" s="5">
        <f t="shared" si="0"/>
        <v>882.30000000000018</v>
      </c>
      <c r="H79" s="5">
        <f t="shared" si="0"/>
        <v>879.6</v>
      </c>
      <c r="I79" s="5">
        <f t="shared" si="0"/>
        <v>793.29999999999961</v>
      </c>
      <c r="J79" s="5">
        <f t="shared" si="0"/>
        <v>659.29999999999973</v>
      </c>
      <c r="K79" s="5">
        <f t="shared" si="0"/>
        <v>768.99999999999989</v>
      </c>
      <c r="L79" s="5">
        <f t="shared" si="0"/>
        <v>845.6</v>
      </c>
      <c r="M79" s="5">
        <f t="shared" si="0"/>
        <v>847.90000000000009</v>
      </c>
      <c r="N79" s="5">
        <f t="shared" ref="N79" si="1">SUM(N2:N78)</f>
        <v>893.10000000000014</v>
      </c>
    </row>
    <row r="80" spans="1:14" x14ac:dyDescent="0.25">
      <c r="D80" s="4">
        <f>SUBTOTAL(9,D2:D78)</f>
        <v>368.60000000000008</v>
      </c>
      <c r="E80" s="4">
        <f t="shared" ref="E80:N80" si="2">SUBTOTAL(9,E2:E78)</f>
        <v>368.9</v>
      </c>
      <c r="F80" s="4">
        <f t="shared" si="2"/>
        <v>403.00000000000006</v>
      </c>
      <c r="G80" s="4">
        <f t="shared" si="2"/>
        <v>439.59999999999997</v>
      </c>
      <c r="H80" s="4">
        <f t="shared" si="2"/>
        <v>452.20000000000005</v>
      </c>
      <c r="I80" s="4">
        <f t="shared" si="2"/>
        <v>393.09999999999997</v>
      </c>
      <c r="J80" s="4">
        <f t="shared" si="2"/>
        <v>334.8</v>
      </c>
      <c r="K80" s="4">
        <f t="shared" si="2"/>
        <v>445.6</v>
      </c>
      <c r="L80" s="4">
        <f t="shared" si="2"/>
        <v>491.70000000000005</v>
      </c>
      <c r="M80" s="4">
        <f t="shared" si="2"/>
        <v>483.5</v>
      </c>
      <c r="N80" s="4">
        <f t="shared" si="2"/>
        <v>482.40000000000003</v>
      </c>
    </row>
    <row r="81" spans="4:14" x14ac:dyDescent="0.25">
      <c r="D81" s="4" t="e">
        <f>GETPIVOTDATA("Quantity",#REF!,"Record Start YYYY-MM-DD",D82)-D80</f>
        <v>#REF!</v>
      </c>
      <c r="E81" s="4" t="e">
        <f>GETPIVOTDATA("Quantity",#REF!,"Record Start YYYY-MM-DD",E82)-E80</f>
        <v>#REF!</v>
      </c>
      <c r="F81" s="4" t="e">
        <f>GETPIVOTDATA("Quantity",#REF!,"Record Start YYYY-MM-DD",F82)-F80</f>
        <v>#REF!</v>
      </c>
      <c r="G81" s="4" t="e">
        <f>GETPIVOTDATA("Quantity",#REF!,"Record Start YYYY-MM-DD",G82)-G80</f>
        <v>#REF!</v>
      </c>
      <c r="H81" s="4" t="e">
        <f>GETPIVOTDATA("Quantity",#REF!,"Record Start YYYY-MM-DD",H82)-H80</f>
        <v>#REF!</v>
      </c>
      <c r="I81" s="4" t="e">
        <f>GETPIVOTDATA("Quantity",#REF!,"Record Start YYYY-MM-DD",I82)-I80</f>
        <v>#REF!</v>
      </c>
      <c r="J81" s="4" t="e">
        <f>GETPIVOTDATA("Quantity",#REF!,"Record Start YYYY-MM-DD",J82)-J80</f>
        <v>#REF!</v>
      </c>
      <c r="K81" s="4" t="e">
        <f>GETPIVOTDATA("Quantity",#REF!,"Record Start YYYY-MM-DD",K82)-K80</f>
        <v>#REF!</v>
      </c>
      <c r="L81" s="4" t="e">
        <f>GETPIVOTDATA("Quantity",#REF!,"Record Start YYYY-MM-DD",L82)-L80</f>
        <v>#REF!</v>
      </c>
      <c r="M81" s="4" t="e">
        <f>GETPIVOTDATA("Quantity",#REF!,"Record Start YYYY-MM-DD",M82)-M80</f>
        <v>#REF!</v>
      </c>
      <c r="N81" s="4" t="e">
        <f>GETPIVOTDATA("Quantity",#REF!,"Record Start YYYY-MM-DD",N82)-N80</f>
        <v>#REF!</v>
      </c>
    </row>
    <row r="82" spans="4:14" x14ac:dyDescent="0.25">
      <c r="D82" s="4" t="s">
        <v>124</v>
      </c>
      <c r="E82" s="4" t="s">
        <v>125</v>
      </c>
      <c r="F82" s="4" t="s">
        <v>126</v>
      </c>
      <c r="G82" s="4" t="s">
        <v>127</v>
      </c>
      <c r="H82" s="4" t="s">
        <v>128</v>
      </c>
      <c r="I82" t="s">
        <v>129</v>
      </c>
      <c r="J82" t="s">
        <v>130</v>
      </c>
      <c r="K82" t="s">
        <v>131</v>
      </c>
      <c r="L82" t="s">
        <v>132</v>
      </c>
      <c r="M82" t="s">
        <v>133</v>
      </c>
      <c r="N82" t="s">
        <v>134</v>
      </c>
    </row>
  </sheetData>
  <phoneticPr fontId="3" type="noConversion"/>
  <conditionalFormatting sqref="D81:N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D7DA-7EBC-4446-9A04-20D5E034D109}">
  <dimension ref="A1:L9"/>
  <sheetViews>
    <sheetView workbookViewId="0">
      <selection activeCell="H23" sqref="H23"/>
    </sheetView>
  </sheetViews>
  <sheetFormatPr defaultRowHeight="15" x14ac:dyDescent="0.25"/>
  <cols>
    <col min="1" max="1" width="33.28515625" bestFit="1" customWidth="1"/>
  </cols>
  <sheetData>
    <row r="1" spans="1:12" x14ac:dyDescent="0.25">
      <c r="A1" s="8" t="s">
        <v>9</v>
      </c>
      <c r="B1" t="s">
        <v>0</v>
      </c>
      <c r="C1" t="s">
        <v>1</v>
      </c>
      <c r="D1" t="s">
        <v>16</v>
      </c>
      <c r="E1" t="s">
        <v>17</v>
      </c>
      <c r="F1" t="s">
        <v>18</v>
      </c>
      <c r="G1" t="s">
        <v>100</v>
      </c>
      <c r="H1" t="s">
        <v>101</v>
      </c>
      <c r="I1" t="s">
        <v>102</v>
      </c>
      <c r="J1" t="s">
        <v>108</v>
      </c>
      <c r="K1" t="s">
        <v>109</v>
      </c>
      <c r="L1" t="s">
        <v>110</v>
      </c>
    </row>
    <row r="2" spans="1:12" x14ac:dyDescent="0.25">
      <c r="A2" t="s">
        <v>10</v>
      </c>
      <c r="B2" s="6">
        <v>0</v>
      </c>
      <c r="C2" s="6">
        <v>0.9</v>
      </c>
      <c r="D2" s="6">
        <v>1.2</v>
      </c>
      <c r="E2" s="6">
        <v>0.6</v>
      </c>
      <c r="F2" s="6">
        <v>0.8</v>
      </c>
      <c r="G2" s="6">
        <v>2.4</v>
      </c>
      <c r="H2" s="6">
        <v>-0.2</v>
      </c>
      <c r="I2" s="6">
        <v>0.8</v>
      </c>
      <c r="J2" s="6">
        <v>1</v>
      </c>
      <c r="K2" s="6">
        <v>1.5</v>
      </c>
      <c r="L2" s="6">
        <v>0.8</v>
      </c>
    </row>
    <row r="3" spans="1:12" x14ac:dyDescent="0.25">
      <c r="A3" t="s">
        <v>5</v>
      </c>
      <c r="B3" s="6">
        <v>4</v>
      </c>
      <c r="C3" s="6">
        <v>2.1</v>
      </c>
      <c r="D3" s="6">
        <v>5.5</v>
      </c>
      <c r="E3" s="6">
        <v>5.2</v>
      </c>
      <c r="F3" s="6">
        <v>5.7</v>
      </c>
      <c r="G3" s="6">
        <v>4.8</v>
      </c>
      <c r="H3" s="6">
        <v>5</v>
      </c>
      <c r="I3" s="6">
        <v>5.5</v>
      </c>
      <c r="J3" s="6">
        <v>5.8</v>
      </c>
      <c r="K3" s="6">
        <v>10.199999999999999</v>
      </c>
      <c r="L3" s="6">
        <v>8.6999999999999993</v>
      </c>
    </row>
    <row r="4" spans="1:12" x14ac:dyDescent="0.25">
      <c r="A4" t="s">
        <v>11</v>
      </c>
      <c r="B4" s="6">
        <v>2.8</v>
      </c>
      <c r="C4" s="6">
        <v>3.5</v>
      </c>
      <c r="D4" s="6">
        <v>4.7</v>
      </c>
      <c r="E4" s="6">
        <v>2.8</v>
      </c>
      <c r="F4" s="6">
        <v>2.6</v>
      </c>
      <c r="G4" s="6">
        <v>2.9</v>
      </c>
      <c r="H4" s="6">
        <v>3.1</v>
      </c>
      <c r="I4" s="6">
        <v>2.1</v>
      </c>
      <c r="J4" s="6">
        <v>2.1</v>
      </c>
      <c r="K4" s="6">
        <v>2.9</v>
      </c>
      <c r="L4" s="6">
        <v>2.7</v>
      </c>
    </row>
    <row r="5" spans="1:12" x14ac:dyDescent="0.25">
      <c r="A5" t="s">
        <v>12</v>
      </c>
      <c r="B5" s="6">
        <v>0</v>
      </c>
      <c r="C5" s="6">
        <v>0.1</v>
      </c>
      <c r="D5" s="6">
        <v>0.1</v>
      </c>
      <c r="E5" s="6">
        <v>0.2</v>
      </c>
      <c r="F5" s="6">
        <v>0.5</v>
      </c>
      <c r="G5" s="6">
        <v>0.8</v>
      </c>
      <c r="H5" s="6">
        <v>0</v>
      </c>
      <c r="I5" s="6">
        <v>0.9</v>
      </c>
      <c r="J5" s="6">
        <v>0</v>
      </c>
      <c r="K5" s="6">
        <v>0.8</v>
      </c>
      <c r="L5" s="6">
        <v>0.6</v>
      </c>
    </row>
    <row r="6" spans="1:12" x14ac:dyDescent="0.25">
      <c r="A6" t="s">
        <v>13</v>
      </c>
      <c r="B6" s="6">
        <v>0</v>
      </c>
      <c r="C6" s="6">
        <v>0.5</v>
      </c>
      <c r="D6" s="6">
        <v>0.4</v>
      </c>
      <c r="E6" s="6">
        <v>0.6</v>
      </c>
      <c r="F6" s="6">
        <v>0.8</v>
      </c>
      <c r="G6" s="6">
        <v>1.6</v>
      </c>
      <c r="H6" s="6">
        <v>0</v>
      </c>
      <c r="I6" s="6">
        <v>0.4</v>
      </c>
      <c r="J6" s="6">
        <v>0.5</v>
      </c>
      <c r="K6" s="6">
        <v>0.7</v>
      </c>
      <c r="L6" s="6">
        <v>0.6</v>
      </c>
    </row>
    <row r="7" spans="1:12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s="3" customFormat="1" x14ac:dyDescent="0.25">
      <c r="A8" t="s">
        <v>14</v>
      </c>
      <c r="B8" s="6">
        <v>6.8</v>
      </c>
      <c r="C8" s="6">
        <v>7.1</v>
      </c>
      <c r="D8" s="6">
        <v>11.9</v>
      </c>
      <c r="E8" s="6">
        <v>9.4</v>
      </c>
      <c r="F8" s="6">
        <v>10.4</v>
      </c>
      <c r="G8" s="6">
        <v>12.5</v>
      </c>
      <c r="H8" s="6">
        <v>7.9</v>
      </c>
      <c r="I8" s="6">
        <v>9.6999999999999993</v>
      </c>
      <c r="J8" s="6">
        <v>9.4</v>
      </c>
      <c r="K8" s="6">
        <v>16.100000000000001</v>
      </c>
      <c r="L8" s="6">
        <v>13.4</v>
      </c>
    </row>
    <row r="9" spans="1:12" x14ac:dyDescent="0.25">
      <c r="A9" s="3" t="s">
        <v>15</v>
      </c>
      <c r="B9" s="7">
        <f t="shared" ref="B9:L9" si="0">B8-SUM(B2:B6)</f>
        <v>0</v>
      </c>
      <c r="C9" s="7">
        <f t="shared" si="0"/>
        <v>0</v>
      </c>
      <c r="D9" s="7">
        <f t="shared" si="0"/>
        <v>0</v>
      </c>
      <c r="E9" s="7">
        <f t="shared" si="0"/>
        <v>0</v>
      </c>
      <c r="F9" s="7">
        <f t="shared" si="0"/>
        <v>0</v>
      </c>
      <c r="G9" s="7">
        <f t="shared" si="0"/>
        <v>0</v>
      </c>
      <c r="H9" s="7">
        <f t="shared" si="0"/>
        <v>0</v>
      </c>
      <c r="I9" s="7">
        <f t="shared" si="0"/>
        <v>0</v>
      </c>
      <c r="J9" s="7">
        <f t="shared" si="0"/>
        <v>0</v>
      </c>
      <c r="K9" s="7">
        <f t="shared" si="0"/>
        <v>0</v>
      </c>
      <c r="L9" s="7">
        <f t="shared" si="0"/>
        <v>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40309023BBB240BDDD745512FE6FC0" ma:contentTypeVersion="19" ma:contentTypeDescription="Create a new document." ma:contentTypeScope="" ma:versionID="bca74e3963039b17045808f1d70152ec">
  <xsd:schema xmlns:xsd="http://www.w3.org/2001/XMLSchema" xmlns:xs="http://www.w3.org/2001/XMLSchema" xmlns:p="http://schemas.microsoft.com/office/2006/metadata/properties" xmlns:ns2="6714b93b-7bd7-4b80-a822-b3542bc82a91" xmlns:ns3="64446c53-5a46-4286-a7ef-0bf72ff9c72c" xmlns:ns4="db50d7e9-ed42-42fb-ade4-11fb6fb5c797" targetNamespace="http://schemas.microsoft.com/office/2006/metadata/properties" ma:root="true" ma:fieldsID="fb7d738d4252e801ad86f80c1511fd4d" ns2:_="" ns3:_="" ns4:_="">
    <xsd:import namespace="6714b93b-7bd7-4b80-a822-b3542bc82a91"/>
    <xsd:import namespace="64446c53-5a46-4286-a7ef-0bf72ff9c72c"/>
    <xsd:import namespace="db50d7e9-ed42-42fb-ade4-11fb6fb5c7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4b93b-7bd7-4b80-a822-b3542bc82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0964440-26cf-4116-9cc4-0a071263a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46c53-5a46-4286-a7ef-0bf72ff9c72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0d7e9-ed42-42fb-ade4-11fb6fb5c79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4c5e9a3-3f18-4bf3-bb21-3bb000dcf3a6}" ma:internalName="TaxCatchAll" ma:showField="CatchAllData" ma:web="64446c53-5a46-4286-a7ef-0bf72ff9c7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14b93b-7bd7-4b80-a822-b3542bc82a91">
      <Terms xmlns="http://schemas.microsoft.com/office/infopath/2007/PartnerControls"/>
    </lcf76f155ced4ddcb4097134ff3c332f>
    <TaxCatchAll xmlns="db50d7e9-ed42-42fb-ade4-11fb6fb5c797" xsi:nil="true"/>
  </documentManagement>
</p:properties>
</file>

<file path=customXml/itemProps1.xml><?xml version="1.0" encoding="utf-8"?>
<ds:datastoreItem xmlns:ds="http://schemas.openxmlformats.org/officeDocument/2006/customXml" ds:itemID="{D30CB66D-D9D2-4A97-9EC0-37E6F6124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4b93b-7bd7-4b80-a822-b3542bc82a91"/>
    <ds:schemaRef ds:uri="64446c53-5a46-4286-a7ef-0bf72ff9c72c"/>
    <ds:schemaRef ds:uri="db50d7e9-ed42-42fb-ade4-11fb6fb5c7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AF7CF3-374D-4AFD-934A-96EDB0A670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55228F-D2D9-4CF0-B8CF-5607F5755862}">
  <ds:schemaRefs>
    <ds:schemaRef ds:uri="http://schemas.microsoft.com/office/2006/metadata/properties"/>
    <ds:schemaRef ds:uri="http://schemas.microsoft.com/office/infopath/2007/PartnerControls"/>
    <ds:schemaRef ds:uri="6714b93b-7bd7-4b80-a822-b3542bc82a91"/>
    <ds:schemaRef ds:uri="db50d7e9-ed42-42fb-ade4-11fb6fb5c7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FY26 Revenue</vt:lpstr>
      <vt:lpstr>FY26 JV 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Isabella.Wang</dc:creator>
  <cp:lastModifiedBy>Chris Wang</cp:lastModifiedBy>
  <dcterms:created xsi:type="dcterms:W3CDTF">2021-09-13T04:19:51Z</dcterms:created>
  <dcterms:modified xsi:type="dcterms:W3CDTF">2026-06-29T03:56:52Z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e70743cf-97e7-4fb6-b793-0a35c698e10d_Enabled">
    <vt:lpwstr>true</vt:lpwstr>
  </property>
  <property fmtid="{D5CDD505-2E9C-101B-9397-08002B2CF9AE}" pid="4" name="MSIP_Label_e70743cf-97e7-4fb6-b793-0a35c698e10d_SetDate">
    <vt:lpwstr>2024-04-07T23:02:43Z</vt:lpwstr>
  </property>
  <property fmtid="{D5CDD505-2E9C-101B-9397-08002B2CF9AE}" pid="5" name="MSIP_Label_e70743cf-97e7-4fb6-b793-0a35c698e10d_Method">
    <vt:lpwstr>Privileged</vt:lpwstr>
  </property>
  <property fmtid="{D5CDD505-2E9C-101B-9397-08002B2CF9AE}" pid="6" name="MSIP_Label_e70743cf-97e7-4fb6-b793-0a35c698e10d_Name">
    <vt:lpwstr>Internal-InternalOnly</vt:lpwstr>
  </property>
  <property fmtid="{D5CDD505-2E9C-101B-9397-08002B2CF9AE}" pid="7" name="MSIP_Label_e70743cf-97e7-4fb6-b793-0a35c698e10d_SiteId">
    <vt:lpwstr>fa4bc6e2-c0ed-43ec-9d6d-145e7e36a1a5</vt:lpwstr>
  </property>
  <property fmtid="{D5CDD505-2E9C-101B-9397-08002B2CF9AE}" pid="8" name="MSIP_Label_e70743cf-97e7-4fb6-b793-0a35c698e10d_ActionId">
    <vt:lpwstr>75be9e78-69fe-4aed-8052-6231354419c5</vt:lpwstr>
  </property>
  <property fmtid="{D5CDD505-2E9C-101B-9397-08002B2CF9AE}" pid="9" name="MSIP_Label_e70743cf-97e7-4fb6-b793-0a35c698e10d_ContentBits">
    <vt:lpwstr>2</vt:lpwstr>
  </property>
  <property fmtid="{D5CDD505-2E9C-101B-9397-08002B2CF9AE}" pid="10" name="ContentTypeId">
    <vt:lpwstr>0x0101009040309023BBB240BDDD745512FE6FC0</vt:lpwstr>
  </property>
  <property fmtid="{D5CDD505-2E9C-101B-9397-08002B2CF9AE}" pid="11" name="MediaServiceImageTags">
    <vt:lpwstr/>
  </property>
</Properties>
</file>