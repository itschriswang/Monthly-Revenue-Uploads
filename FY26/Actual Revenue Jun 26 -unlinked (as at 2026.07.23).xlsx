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Financial 25-26\Analysis\Zero Harm\12. June 26\"/>
    </mc:Choice>
  </mc:AlternateContent>
  <xr:revisionPtr revIDLastSave="0" documentId="13_ncr:1_{675FCB70-34B7-410C-8610-55F71C651131}" xr6:coauthVersionLast="47" xr6:coauthVersionMax="47" xr10:uidLastSave="{00000000-0000-0000-0000-000000000000}"/>
  <bookViews>
    <workbookView xWindow="-28920" yWindow="-120" windowWidth="29040" windowHeight="15720" activeTab="1" xr2:uid="{51D2CD8A-ECF8-48BB-838A-15FEC396D503}"/>
  </bookViews>
  <sheets>
    <sheet name="FY26 JV Rev" sheetId="2" r:id="rId1"/>
    <sheet name="FY26 Rev" sheetId="3" r:id="rId2"/>
  </sheets>
  <definedNames>
    <definedName name="ID" localSheetId="0" hidden="1">"033eb638-904a-4d70-a392-2de368324d18"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9" i="2" l="1"/>
  <c r="E183" i="3"/>
  <c r="F183" i="3"/>
  <c r="G183" i="3"/>
  <c r="H183" i="3"/>
  <c r="I183" i="3"/>
  <c r="J183" i="3"/>
  <c r="K183" i="3"/>
  <c r="L183" i="3"/>
  <c r="M183" i="3"/>
  <c r="N183" i="3"/>
  <c r="O183" i="3"/>
  <c r="P183" i="3"/>
  <c r="L9" i="2" l="1"/>
  <c r="K9" i="2"/>
  <c r="J9" i="2"/>
  <c r="I9" i="2" l="1"/>
  <c r="H9" i="2"/>
  <c r="G9" i="2" l="1"/>
  <c r="E9" i="2" l="1"/>
  <c r="D9" i="2"/>
  <c r="B9" i="2"/>
  <c r="F9" i="2"/>
  <c r="C9" i="2"/>
</calcChain>
</file>

<file path=xl/sharedStrings.xml><?xml version="1.0" encoding="utf-8"?>
<sst xmlns="http://schemas.openxmlformats.org/spreadsheetml/2006/main" count="729" uniqueCount="275">
  <si>
    <t>Jul</t>
  </si>
  <si>
    <t>Aug</t>
  </si>
  <si>
    <t>Infrastructure Projects</t>
  </si>
  <si>
    <t>Mineral Technologies</t>
  </si>
  <si>
    <t>Intra Elim</t>
  </si>
  <si>
    <t>BIA</t>
  </si>
  <si>
    <t>Health &amp; Education</t>
  </si>
  <si>
    <t>Downer Professional Services</t>
  </si>
  <si>
    <t>Base &amp; Estate Management</t>
  </si>
  <si>
    <t>Joint Venture and Associates</t>
  </si>
  <si>
    <t>Allied Asphalt</t>
  </si>
  <si>
    <t>EDI Rail- Bombardier Transportation</t>
  </si>
  <si>
    <t>Emulco</t>
  </si>
  <si>
    <t>Isaac Asphalt</t>
  </si>
  <si>
    <t>Group</t>
  </si>
  <si>
    <t>Check</t>
  </si>
  <si>
    <t>Sep</t>
  </si>
  <si>
    <t>Oct</t>
  </si>
  <si>
    <t>Nov</t>
  </si>
  <si>
    <t>Government &amp; IFM</t>
  </si>
  <si>
    <t>Transport &amp; Infrastructure</t>
  </si>
  <si>
    <t>Rail &amp; Transit Systems</t>
  </si>
  <si>
    <t>RTS Digital</t>
  </si>
  <si>
    <t>Corporate Group</t>
  </si>
  <si>
    <t>Corporate Australia</t>
  </si>
  <si>
    <t>Non-core business</t>
  </si>
  <si>
    <t>RTS FREIGHT</t>
  </si>
  <si>
    <t>RTS Head Office</t>
  </si>
  <si>
    <t>Transport &amp; Infrastructure NZ</t>
  </si>
  <si>
    <t>Fleet &amp; Assets</t>
  </si>
  <si>
    <t>Managing Contracts</t>
  </si>
  <si>
    <t>Transport &amp; Infrastructure AU</t>
  </si>
  <si>
    <t>Energy &amp; Utilities</t>
  </si>
  <si>
    <t>Network Services</t>
  </si>
  <si>
    <t>Water</t>
  </si>
  <si>
    <t>Power Projects</t>
  </si>
  <si>
    <t>EU Support</t>
  </si>
  <si>
    <t>T&amp;I NZ North</t>
  </si>
  <si>
    <t>T&amp;I NZ South</t>
  </si>
  <si>
    <t>T&amp;I NZ Infrastructure Delivery</t>
  </si>
  <si>
    <t>T&amp;I NZ National Operations</t>
  </si>
  <si>
    <t>T&amp;I NZ Overheads</t>
  </si>
  <si>
    <t>T&amp;I AU Asphalt &amp; Products</t>
  </si>
  <si>
    <t>Maintenance &amp; ITS</t>
  </si>
  <si>
    <t>Pavement Rehabilitation &amp; Civils</t>
  </si>
  <si>
    <t>Specialised Pavements &amp; Projects</t>
  </si>
  <si>
    <t>Thin Surfacing</t>
  </si>
  <si>
    <t>AU Fleet T&amp;I Plant</t>
  </si>
  <si>
    <t>AU Fleet Light Vehicles</t>
  </si>
  <si>
    <t>NZ Fleet</t>
  </si>
  <si>
    <t>Telco Incl. MS</t>
  </si>
  <si>
    <t>Telco</t>
  </si>
  <si>
    <t>Water Services</t>
  </si>
  <si>
    <t>Water NZ</t>
  </si>
  <si>
    <t>Metallurgical Lab</t>
  </si>
  <si>
    <t>MT Equipment and R&amp;D Aus</t>
  </si>
  <si>
    <t>MT Engineering Services Aus</t>
  </si>
  <si>
    <t>Social Infrastructure &amp; Citizen Services</t>
  </si>
  <si>
    <t>EMOS</t>
  </si>
  <si>
    <t>HQJOC</t>
  </si>
  <si>
    <t>Manuwatu Hub</t>
  </si>
  <si>
    <t>Southern</t>
  </si>
  <si>
    <t>DEWPO</t>
  </si>
  <si>
    <t>RAAF WM</t>
  </si>
  <si>
    <t>Riverina Redevelopment Program</t>
  </si>
  <si>
    <t>Woomera Redevelopment Program</t>
  </si>
  <si>
    <t>Government Integrated Facilities Management &amp; Infrastructure Property</t>
  </si>
  <si>
    <t>Justice &amp; IFM</t>
  </si>
  <si>
    <t>Government Projects &amp; Operational Solutions</t>
  </si>
  <si>
    <t>Government Housing</t>
  </si>
  <si>
    <t>Governments Soft FM Services</t>
  </si>
  <si>
    <t>Education PPP</t>
  </si>
  <si>
    <t>Health Non PPP</t>
  </si>
  <si>
    <t>Health PPP</t>
  </si>
  <si>
    <t>RTS QLD</t>
  </si>
  <si>
    <t>Entity Name/Division</t>
  </si>
  <si>
    <t>UD1 Name/Sub-LOB</t>
  </si>
  <si>
    <t>UD1 Name/Sub-LOB Level 2</t>
  </si>
  <si>
    <t>EU Growth</t>
  </si>
  <si>
    <t>Telecommunications &amp; Networks</t>
  </si>
  <si>
    <t>Network Services - OMSA&amp;ESC</t>
  </si>
  <si>
    <t>Network Services - Logistics</t>
  </si>
  <si>
    <t>Energy &amp; Industrial</t>
  </si>
  <si>
    <t>Energy Networks</t>
  </si>
  <si>
    <t>PAS</t>
  </si>
  <si>
    <t>Government &amp; IFM New Business</t>
  </si>
  <si>
    <t>Energy &amp; Industrial West</t>
  </si>
  <si>
    <t>Energy &amp; Industrial East</t>
  </si>
  <si>
    <t>Energy Solutions</t>
  </si>
  <si>
    <t>Social Infrastructure &amp; Citizen Services Support</t>
  </si>
  <si>
    <t>Finance Performance</t>
  </si>
  <si>
    <t>EU Overheads/Support Costs</t>
  </si>
  <si>
    <t>T&amp;I NZ Hawkins</t>
  </si>
  <si>
    <t>AU Fleet Energy &amp; Utilities</t>
  </si>
  <si>
    <t>Government Closed Sites</t>
  </si>
  <si>
    <t>T&amp;I AU Divested Operations</t>
  </si>
  <si>
    <t>Utilities Legacy &amp; Other</t>
  </si>
  <si>
    <t>Utilities Legacy &amp; Other AU</t>
  </si>
  <si>
    <t>DELM Works</t>
  </si>
  <si>
    <t>Rail Services Victoria Pty Ltd</t>
  </si>
  <si>
    <t>Dec</t>
  </si>
  <si>
    <t>Jan</t>
  </si>
  <si>
    <t>Feb</t>
  </si>
  <si>
    <t>MT Overheads</t>
  </si>
  <si>
    <t>NZ NSC, IT, Property, WF &amp; Elins</t>
  </si>
  <si>
    <t>MT Geology</t>
  </si>
  <si>
    <t>Mar</t>
  </si>
  <si>
    <t>Apr</t>
  </si>
  <si>
    <t>May</t>
  </si>
  <si>
    <t>Passenger New Supply and Delivery</t>
  </si>
  <si>
    <t>Passenger Refurbishment</t>
  </si>
  <si>
    <t>Maryborough Refurbishment</t>
  </si>
  <si>
    <t>Passenger Through Life Support</t>
  </si>
  <si>
    <t>TLS Fleet</t>
  </si>
  <si>
    <t>TLS Projects</t>
  </si>
  <si>
    <t>Emerging Markets</t>
  </si>
  <si>
    <t>Engineering Consulting</t>
  </si>
  <si>
    <t>Central HO</t>
  </si>
  <si>
    <t>Corporate Development &amp; Origination</t>
  </si>
  <si>
    <t>Keolis Downer JV</t>
  </si>
  <si>
    <t>Intercompany Elimination</t>
  </si>
  <si>
    <t>UD1 Name/Sub-LOB Level 3</t>
  </si>
  <si>
    <t>Jun</t>
  </si>
  <si>
    <t>Northland</t>
  </si>
  <si>
    <t>Auckland</t>
  </si>
  <si>
    <t>Waikato</t>
  </si>
  <si>
    <t>Bay of Plenty</t>
  </si>
  <si>
    <t>Taranaki</t>
  </si>
  <si>
    <t>T&amp;I NZ North Specialised Pavements</t>
  </si>
  <si>
    <t>T&amp;I NZ North Overheads</t>
  </si>
  <si>
    <t>Whanganui</t>
  </si>
  <si>
    <t>Gisborne</t>
  </si>
  <si>
    <t>Hawkes Bay &amp; Tararua</t>
  </si>
  <si>
    <t>Manawatu</t>
  </si>
  <si>
    <t>Wellington</t>
  </si>
  <si>
    <t>Tasman Nelson</t>
  </si>
  <si>
    <t>Canterbury</t>
  </si>
  <si>
    <t>Otago</t>
  </si>
  <si>
    <t>Central Otago &amp; Southland</t>
  </si>
  <si>
    <t>T&amp;I NZ National Projects North</t>
  </si>
  <si>
    <t>T&amp;I NZ Nat Projects South</t>
  </si>
  <si>
    <t>T&amp;I NZ Infra Delivery Major Projects</t>
  </si>
  <si>
    <t>T&amp;I NZ Infra Delivery Pacific</t>
  </si>
  <si>
    <t>T&amp;I NZ Infra Delivery Piling</t>
  </si>
  <si>
    <t>T&amp;I NZ Nat Ops Cranes</t>
  </si>
  <si>
    <t>T&amp;I NZ Hawkins Northern Projects</t>
  </si>
  <si>
    <t>T&amp;I NZ Hawkins Central Projects</t>
  </si>
  <si>
    <t>T&amp;I NZ Hawkins Wellington Projects</t>
  </si>
  <si>
    <t>T&amp;I NZ Hawkins Southern Projects</t>
  </si>
  <si>
    <t>T&amp;I NZ Hawkins Overheads</t>
  </si>
  <si>
    <t>T&amp;I NZ Nat Ops Asphalt Plants</t>
  </si>
  <si>
    <t>T&amp;I NZ Road Science</t>
  </si>
  <si>
    <t>T&amp;I NZ Nat Ops ITS</t>
  </si>
  <si>
    <t>T&amp;I NZ Nat Ops Roadmarking</t>
  </si>
  <si>
    <t>T&amp;I NZ Nat Ops Greenspace</t>
  </si>
  <si>
    <t>NZ T&amp;I Nat Ops Overheads</t>
  </si>
  <si>
    <t>T&amp;I NZ Corporate Social Outcomes</t>
  </si>
  <si>
    <t>T&amp;I NZ New Business</t>
  </si>
  <si>
    <t>Asphalt VIC</t>
  </si>
  <si>
    <t>Tasmania</t>
  </si>
  <si>
    <t>Asphalt NSW/ACT</t>
  </si>
  <si>
    <t>Asphalt QLD</t>
  </si>
  <si>
    <t>Asphalt SA</t>
  </si>
  <si>
    <t>Pavement Preservation</t>
  </si>
  <si>
    <t>Blended Products &amp; Reconomy</t>
  </si>
  <si>
    <t>AU Binder Supply &amp; Distribution</t>
  </si>
  <si>
    <t>Maintenance</t>
  </si>
  <si>
    <t>ITS</t>
  </si>
  <si>
    <t>Major Infrastructure</t>
  </si>
  <si>
    <t>Victoria Pavement Rehab &amp; Civils</t>
  </si>
  <si>
    <t>SA Pavement Rehab &amp; Civils</t>
  </si>
  <si>
    <t>NSW Pavement Rehab &amp; Civils</t>
  </si>
  <si>
    <t>QLD Pavement Rehab &amp; Civils</t>
  </si>
  <si>
    <t>Specialised Projects</t>
  </si>
  <si>
    <t>Northern NSW &amp; QLD Operations</t>
  </si>
  <si>
    <t>Southern NSW Operations</t>
  </si>
  <si>
    <t>Central &amp; West Operations</t>
  </si>
  <si>
    <t>RPQ Non-Operational Areas</t>
  </si>
  <si>
    <t>VEC Contracting</t>
  </si>
  <si>
    <t>AU Fleet LV Light Vehicles</t>
  </si>
  <si>
    <t>AU Fleet Energy &amp; Utilitities</t>
  </si>
  <si>
    <t>NZ Fleet Plant</t>
  </si>
  <si>
    <t>Metering Services</t>
  </si>
  <si>
    <t>Chorus</t>
  </si>
  <si>
    <t>One NZ</t>
  </si>
  <si>
    <t>Spark</t>
  </si>
  <si>
    <t>Sky TV</t>
  </si>
  <si>
    <t>Rural Conectivity Group</t>
  </si>
  <si>
    <t>Tait</t>
  </si>
  <si>
    <t>Other Customers</t>
  </si>
  <si>
    <t>NSNZ Distribution</t>
  </si>
  <si>
    <t>NSNZ Transmission</t>
  </si>
  <si>
    <t>NSNZ Generation</t>
  </si>
  <si>
    <t>NSNZ Engineering</t>
  </si>
  <si>
    <t>Network Services - OMSA</t>
  </si>
  <si>
    <t>Water Services NSW</t>
  </si>
  <si>
    <t>Water Services QLD</t>
  </si>
  <si>
    <t>Water Services VIC</t>
  </si>
  <si>
    <t>Water Northern</t>
  </si>
  <si>
    <t>Water Central</t>
  </si>
  <si>
    <t>Water Southern</t>
  </si>
  <si>
    <t>Water Engineering Services</t>
  </si>
  <si>
    <t>National Construction</t>
  </si>
  <si>
    <t>Transmission Lines</t>
  </si>
  <si>
    <t>Substations</t>
  </si>
  <si>
    <t>Power Engineering</t>
  </si>
  <si>
    <t>Chevron</t>
  </si>
  <si>
    <t>Inland</t>
  </si>
  <si>
    <t>Port Hedland</t>
  </si>
  <si>
    <t>Southern Regions</t>
  </si>
  <si>
    <t>West Major Projects</t>
  </si>
  <si>
    <t>UAM - West</t>
  </si>
  <si>
    <t>NGT</t>
  </si>
  <si>
    <t>QLD Power</t>
  </si>
  <si>
    <t>Operations North</t>
  </si>
  <si>
    <t>AGL</t>
  </si>
  <si>
    <t>Operations South</t>
  </si>
  <si>
    <t>ES - UAM East</t>
  </si>
  <si>
    <t>DMH</t>
  </si>
  <si>
    <t>Future Energy Projects</t>
  </si>
  <si>
    <t>Manufacturing</t>
  </si>
  <si>
    <t>Integrated Gas</t>
  </si>
  <si>
    <t>Energy Solutions OH</t>
  </si>
  <si>
    <t>Energy Networks - Gas</t>
  </si>
  <si>
    <t>Energy Networks - UAM VIC</t>
  </si>
  <si>
    <t>Metallurgical Test Labs - Australia</t>
  </si>
  <si>
    <t>MT Equipment R&amp;D Eng Mfg AS - Australia</t>
  </si>
  <si>
    <t>MT Equipment R&amp;D Eng Mfg AS - Africa</t>
  </si>
  <si>
    <t>MT BD &amp; Int'l Operations - AfricaBEE</t>
  </si>
  <si>
    <t>MT Equipment R&amp;D Eng Mfg AS - North America</t>
  </si>
  <si>
    <t>MT Equipment R&amp;D Eng Mfg AS - Canada</t>
  </si>
  <si>
    <t>MT Equipment R&amp;D Eng Mfg AS - India</t>
  </si>
  <si>
    <t>MT Equipment R&amp;D Eng Mfg AS - South America</t>
  </si>
  <si>
    <t>MT BD &amp; Int'l Operations - Eliminations</t>
  </si>
  <si>
    <t>MT Process Design &amp; Proj Ctrls - Australia</t>
  </si>
  <si>
    <t>MT Process Design &amp; Proj Ctrls - Rest of World</t>
  </si>
  <si>
    <t>MT Geology - Australia</t>
  </si>
  <si>
    <t>Power Legacy</t>
  </si>
  <si>
    <t>E&amp;U Asset Management (ANZ)</t>
  </si>
  <si>
    <t>E&amp;U Asset Management (Australia)</t>
  </si>
  <si>
    <t>AM AU - Plant</t>
  </si>
  <si>
    <t>Growth</t>
  </si>
  <si>
    <t>Utilities Overheads Incl. Recoveries</t>
  </si>
  <si>
    <t>Industrial &amp; Energy Overheads Incl. Recoveries</t>
  </si>
  <si>
    <t>Advisory Techn Services</t>
  </si>
  <si>
    <t>Capability Acquisition and Sustainment Group</t>
  </si>
  <si>
    <t>Naval Shipbuilding and Sustainment Group</t>
  </si>
  <si>
    <t>DPS Find Win Do</t>
  </si>
  <si>
    <t>RTS QTMP</t>
  </si>
  <si>
    <t>RTS QLD MAJOR</t>
  </si>
  <si>
    <t>RTS QLD - Other</t>
  </si>
  <si>
    <t>RTS QLD - Site overheads</t>
  </si>
  <si>
    <t>Refurbishment Maintenance QLD</t>
  </si>
  <si>
    <t>NSW TLS</t>
  </si>
  <si>
    <t>Newcastle Light Rail TLS</t>
  </si>
  <si>
    <t>HCMT TLS</t>
  </si>
  <si>
    <t>WA JV</t>
  </si>
  <si>
    <t>ETCS Projects</t>
  </si>
  <si>
    <t>Energy Saver Scheme</t>
  </si>
  <si>
    <t>Cardiff</t>
  </si>
  <si>
    <t>HCMT Delivery</t>
  </si>
  <si>
    <t>Next Generation Trams</t>
  </si>
  <si>
    <t>YJM D-Class Trams</t>
  </si>
  <si>
    <t>RTS FGT Projects</t>
  </si>
  <si>
    <t>RTS Freight NSW</t>
  </si>
  <si>
    <t>NZ CRL 2025</t>
  </si>
  <si>
    <t>RTS xDNA</t>
  </si>
  <si>
    <t>Corporate</t>
  </si>
  <si>
    <t>RTS Overheads - other</t>
  </si>
  <si>
    <t>China</t>
  </si>
  <si>
    <t>Other Bids</t>
  </si>
  <si>
    <t>KD Pty Ltd</t>
  </si>
  <si>
    <t>Digital DNA</t>
  </si>
  <si>
    <t>Stockland IFM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</si>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</sst>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;\(#,##0.0\);&quot;-&quot;"/>
    <numFmt numFmtId="165" formatCode="#,##0.0\ ;\(#,##0.0\);&quot;- &quot;"/>
    <numFmt numFmtId="167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2" fillId="0" borderId="0" xfId="0" applyNumberFormat="1" applyFont="1"/>
    <xf numFmtId="164" fontId="0" fillId="0" borderId="0" xfId="0" applyNumberFormat="1"/>
    <xf numFmtId="0" fontId="4" fillId="0" borderId="0" xfId="0" applyFont="1"/>
    <xf numFmtId="0" fontId="0" fillId="2" borderId="1" xfId="0" applyFont="1" applyFill="1" applyBorder="1"/>
    <xf numFmtId="0" fontId="0" fillId="0" borderId="0" xfId="0" applyFont="1"/>
    <xf numFmtId="0" fontId="1" fillId="3" borderId="0" xfId="0" applyFont="1" applyFill="1"/>
    <xf numFmtId="14" fontId="1" fillId="3" borderId="0" xfId="0" applyNumberFormat="1" applyFont="1" applyFill="1"/>
    <xf numFmtId="165" fontId="0" fillId="0" borderId="0" xfId="0" applyNumberFormat="1" applyFont="1"/>
    <xf numFmtId="0" fontId="0" fillId="0" borderId="0" xfId="0" applyFont="1" applyFill="1"/>
    <xf numFmtId="165" fontId="0" fillId="0" borderId="0" xfId="0" applyNumberFormat="1" applyFont="1" applyFill="1"/>
    <xf numFmtId="167" fontId="0" fillId="0" borderId="0" xfId="0" applyNumberFormat="1" applyFont="1" applyFill="1"/>
    <xf numFmtId="165" fontId="0" fillId="2" borderId="2" xfId="0" applyNumberFormat="1" applyFont="1" applyFill="1" applyBorder="1"/>
    <xf numFmtId="165" fontId="0" fillId="2" borderId="3" xfId="0" applyNumberFormat="1" applyFont="1" applyFill="1" applyBorder="1"/>
  </cellXfs>
  <cellStyles count="1">
    <cellStyle name="Normal" xfId="0" builtinId="0"/>
  </cellStyles>
  <dxfs count="49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9" formatCode="d/mm/yyyy"/>
      <fill>
        <patternFill patternType="solid">
          <fgColor indexed="6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992FD5-2DC8-453E-9448-A256D6692720}" name="Table1" displayName="Table1" ref="A1:M8" totalsRowShown="0" headerRowDxfId="48" dataDxfId="0">
  <autoFilter ref="A1:M8" xr:uid="{79992FD5-2DC8-453E-9448-A256D6692720}"/>
  <tableColumns count="13">
    <tableColumn id="1" xr3:uid="{A25A9670-FDFB-433E-99CB-A7985F993730}" name="Joint Venture and Associates" dataDxfId="13"/>
    <tableColumn id="2" xr3:uid="{A57DD919-0DCB-4278-8430-88638B8F1C4F}" name="Jul" dataDxfId="12"/>
    <tableColumn id="3" xr3:uid="{700BBADC-D654-44D6-A00F-6FB227D5E6CA}" name="Aug" dataDxfId="11"/>
    <tableColumn id="4" xr3:uid="{8E2992C0-9C1B-435B-8E9A-8A8B6F366A1E}" name="Sep" dataDxfId="10"/>
    <tableColumn id="5" xr3:uid="{D5E33855-4B9D-414F-B9F3-B2E99526CA29}" name="Oct" dataDxfId="9"/>
    <tableColumn id="6" xr3:uid="{57C95984-820C-444C-8C9E-E2E0B52C94A6}" name="Nov" dataDxfId="8"/>
    <tableColumn id="7" xr3:uid="{9FDBB235-1B38-4A83-9BD4-A8BD963D4A87}" name="Dec" dataDxfId="7"/>
    <tableColumn id="8" xr3:uid="{113BE6E7-81A8-4962-891A-64CA532C6675}" name="Jan" dataDxfId="6"/>
    <tableColumn id="9" xr3:uid="{D9117E3B-1796-43FE-9A23-D88094B3A04B}" name="Feb" dataDxfId="5"/>
    <tableColumn id="10" xr3:uid="{543F22FA-821C-4404-A9FB-496CE464CE69}" name="Mar" dataDxfId="4"/>
    <tableColumn id="11" xr3:uid="{71117628-CAF6-4D2B-B79A-1FF7B0AC1D40}" name="Apr" dataDxfId="3"/>
    <tableColumn id="12" xr3:uid="{77EC54AB-785E-4CC4-93DB-B1A910E1701B}" name="May" dataDxfId="2"/>
    <tableColumn id="13" xr3:uid="{360E9F78-FD76-40D7-B0D6-DBFB5E19A772}" name="June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FF9F97-8974-4100-B7E9-FB06869C54BC}" name="Table2" displayName="Table2" ref="A1:P183" totalsRowCount="1" headerRowDxfId="42" dataDxfId="43">
  <autoFilter ref="A1:P182" xr:uid="{1FFF9F97-8974-4100-B7E9-FB06869C54BC}"/>
  <tableColumns count="16">
    <tableColumn id="1" xr3:uid="{33A4A0C4-D84B-44DD-AAB4-61C7BAC84545}" name="Entity Name/Division" dataDxfId="47" totalsRowDxfId="41"/>
    <tableColumn id="2" xr3:uid="{8840AD2F-D9AB-4165-8333-5B111CAA74DD}" name="UD1 Name/Sub-LOB" dataDxfId="46" totalsRowDxfId="40"/>
    <tableColumn id="3" xr3:uid="{E6FAFBA9-6F88-45E3-93B8-2B0213410CC7}" name="UD1 Name/Sub-LOB Level 2" dataDxfId="45" totalsRowDxfId="39"/>
    <tableColumn id="4" xr3:uid="{C90530B1-5817-4DE4-A0B6-714D3ECCF69C}" name="UD1 Name/Sub-LOB Level 3" dataDxfId="44" totalsRowDxfId="38"/>
    <tableColumn id="5" xr3:uid="{E6355C37-47C5-4C4C-8A9F-43321FA0ED26}" name="Jul" totalsRowFunction="custom" dataDxfId="25" totalsRowDxfId="37">
      <totalsRowFormula>SUBTOTAL(109,E2:E182)</totalsRowFormula>
    </tableColumn>
    <tableColumn id="6" xr3:uid="{A3395CDC-CC16-4C01-86FE-97E918BC8177}" name="Aug" totalsRowFunction="custom" dataDxfId="24" totalsRowDxfId="36">
      <totalsRowFormula>SUBTOTAL(109,F2:F182)</totalsRowFormula>
    </tableColumn>
    <tableColumn id="7" xr3:uid="{72A93D72-CD70-4802-B2CE-4F42C351EAB3}" name="Sep" totalsRowFunction="custom" dataDxfId="23" totalsRowDxfId="35">
      <totalsRowFormula>SUBTOTAL(109,G2:G182)</totalsRowFormula>
    </tableColumn>
    <tableColumn id="8" xr3:uid="{29510294-F7DF-4B72-AC0C-B663A24BA7C1}" name="Oct" totalsRowFunction="custom" dataDxfId="22" totalsRowDxfId="34">
      <totalsRowFormula>SUBTOTAL(109,H2:H182)</totalsRowFormula>
    </tableColumn>
    <tableColumn id="9" xr3:uid="{DA48A6D6-3B87-4CB5-9913-9AF249021B21}" name="Nov" totalsRowFunction="custom" dataDxfId="21" totalsRowDxfId="33">
      <totalsRowFormula>SUBTOTAL(109,I2:I182)</totalsRowFormula>
    </tableColumn>
    <tableColumn id="10" xr3:uid="{46659ABA-1830-43F2-9A14-46C84CD9BAD6}" name="Dec" totalsRowFunction="custom" dataDxfId="20" totalsRowDxfId="32">
      <totalsRowFormula>SUBTOTAL(109,J2:J182)</totalsRowFormula>
    </tableColumn>
    <tableColumn id="11" xr3:uid="{BA28CC7B-9C24-4BC5-BA1C-E5BEBEE7D3B4}" name="Jan" totalsRowFunction="custom" dataDxfId="19" totalsRowDxfId="31">
      <totalsRowFormula>SUBTOTAL(109,K2:K182)</totalsRowFormula>
    </tableColumn>
    <tableColumn id="12" xr3:uid="{388709DE-6DE9-4A3D-9EEE-5BF8263BAC9E}" name="Feb" totalsRowFunction="custom" dataDxfId="18" totalsRowDxfId="30">
      <totalsRowFormula>SUBTOTAL(109,L2:L182)</totalsRowFormula>
    </tableColumn>
    <tableColumn id="13" xr3:uid="{E8495721-08F4-4887-B5BD-51AFCA80BFF8}" name="Mar" totalsRowFunction="custom" dataDxfId="17" totalsRowDxfId="29">
      <totalsRowFormula>SUBTOTAL(109,M2:M182)</totalsRowFormula>
    </tableColumn>
    <tableColumn id="14" xr3:uid="{AAFA5CF6-4E56-4E68-9618-E67CAA16EB9F}" name="Apr" totalsRowFunction="custom" dataDxfId="16" totalsRowDxfId="28">
      <totalsRowFormula>SUBTOTAL(109,N2:N182)</totalsRowFormula>
    </tableColumn>
    <tableColumn id="15" xr3:uid="{9E350294-CF34-4C9A-BACD-13D51D10FEC0}" name="May" totalsRowFunction="custom" dataDxfId="15" totalsRowDxfId="27">
      <totalsRowFormula>SUBTOTAL(109,O2:O182)</totalsRowFormula>
    </tableColumn>
    <tableColumn id="16" xr3:uid="{F1BBCE29-07A9-4DC0-9022-9CECB3119E9D}" name="Jun" totalsRowFunction="custom" dataDxfId="14" totalsRowDxfId="26">
      <totalsRowFormula>SUBTOTAL(109,P2:P182)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7D7DA-7EBC-4446-9A04-20D5E034D109}">
  <dimension ref="A1:M9"/>
  <sheetViews>
    <sheetView workbookViewId="0">
      <selection activeCell="C17" sqref="C17"/>
    </sheetView>
  </sheetViews>
  <sheetFormatPr defaultRowHeight="15" x14ac:dyDescent="0.25"/>
  <cols>
    <col min="1" max="1" width="33.28515625" bestFit="1" customWidth="1"/>
  </cols>
  <sheetData>
    <row r="1" spans="1:13" x14ac:dyDescent="0.25">
      <c r="A1" s="3" t="s">
        <v>9</v>
      </c>
      <c r="B1" t="s">
        <v>0</v>
      </c>
      <c r="C1" t="s">
        <v>1</v>
      </c>
      <c r="D1" t="s">
        <v>16</v>
      </c>
      <c r="E1" t="s">
        <v>17</v>
      </c>
      <c r="F1" t="s">
        <v>18</v>
      </c>
      <c r="G1" t="s">
        <v>100</v>
      </c>
      <c r="H1" t="s">
        <v>101</v>
      </c>
      <c r="I1" t="s">
        <v>102</v>
      </c>
      <c r="J1" t="s">
        <v>106</v>
      </c>
      <c r="K1" t="s">
        <v>107</v>
      </c>
      <c r="L1" t="s">
        <v>108</v>
      </c>
      <c r="M1" s="5" t="s">
        <v>274</v>
      </c>
    </row>
    <row r="2" spans="1:13" x14ac:dyDescent="0.25">
      <c r="A2" s="5" t="s">
        <v>10</v>
      </c>
      <c r="B2" s="8">
        <v>0</v>
      </c>
      <c r="C2" s="8">
        <v>0.9</v>
      </c>
      <c r="D2" s="8">
        <v>1.2</v>
      </c>
      <c r="E2" s="8">
        <v>0.6</v>
      </c>
      <c r="F2" s="8">
        <v>0.8</v>
      </c>
      <c r="G2" s="8">
        <v>2.4</v>
      </c>
      <c r="H2" s="8">
        <v>-0.2</v>
      </c>
      <c r="I2" s="8">
        <v>0.8</v>
      </c>
      <c r="J2" s="8">
        <v>1</v>
      </c>
      <c r="K2" s="8">
        <v>1.5</v>
      </c>
      <c r="L2" s="8">
        <v>0.8</v>
      </c>
      <c r="M2" s="10">
        <v>1.8</v>
      </c>
    </row>
    <row r="3" spans="1:13" x14ac:dyDescent="0.25">
      <c r="A3" s="5" t="s">
        <v>5</v>
      </c>
      <c r="B3" s="8">
        <v>4</v>
      </c>
      <c r="C3" s="8">
        <v>2.1</v>
      </c>
      <c r="D3" s="8">
        <v>5.5</v>
      </c>
      <c r="E3" s="8">
        <v>5.2</v>
      </c>
      <c r="F3" s="8">
        <v>5.7</v>
      </c>
      <c r="G3" s="8">
        <v>4.8</v>
      </c>
      <c r="H3" s="8">
        <v>5</v>
      </c>
      <c r="I3" s="8">
        <v>5.5</v>
      </c>
      <c r="J3" s="8">
        <v>5.8</v>
      </c>
      <c r="K3" s="8">
        <v>10.199999999999999</v>
      </c>
      <c r="L3" s="8">
        <v>8.6999999999999993</v>
      </c>
      <c r="M3" s="10">
        <v>7.4</v>
      </c>
    </row>
    <row r="4" spans="1:13" x14ac:dyDescent="0.25">
      <c r="A4" s="5" t="s">
        <v>11</v>
      </c>
      <c r="B4" s="8">
        <v>2.8</v>
      </c>
      <c r="C4" s="8">
        <v>3.5</v>
      </c>
      <c r="D4" s="8">
        <v>4.7</v>
      </c>
      <c r="E4" s="8">
        <v>2.8</v>
      </c>
      <c r="F4" s="8">
        <v>2.6</v>
      </c>
      <c r="G4" s="8">
        <v>2.9</v>
      </c>
      <c r="H4" s="8">
        <v>3.1</v>
      </c>
      <c r="I4" s="8">
        <v>2.1</v>
      </c>
      <c r="J4" s="8">
        <v>2.1</v>
      </c>
      <c r="K4" s="8">
        <v>2.9</v>
      </c>
      <c r="L4" s="8">
        <v>2.7</v>
      </c>
      <c r="M4" s="10">
        <v>3.4</v>
      </c>
    </row>
    <row r="5" spans="1:13" x14ac:dyDescent="0.25">
      <c r="A5" s="5" t="s">
        <v>12</v>
      </c>
      <c r="B5" s="8">
        <v>0</v>
      </c>
      <c r="C5" s="8">
        <v>0.1</v>
      </c>
      <c r="D5" s="8">
        <v>0.1</v>
      </c>
      <c r="E5" s="8">
        <v>0.2</v>
      </c>
      <c r="F5" s="8">
        <v>0.5</v>
      </c>
      <c r="G5" s="8">
        <v>0.8</v>
      </c>
      <c r="H5" s="8">
        <v>0</v>
      </c>
      <c r="I5" s="8">
        <v>0.9</v>
      </c>
      <c r="J5" s="8">
        <v>0</v>
      </c>
      <c r="K5" s="8">
        <v>0.8</v>
      </c>
      <c r="L5" s="8">
        <v>0.6</v>
      </c>
      <c r="M5" s="10">
        <v>0.19999999999999998</v>
      </c>
    </row>
    <row r="6" spans="1:13" x14ac:dyDescent="0.25">
      <c r="A6" s="5" t="s">
        <v>13</v>
      </c>
      <c r="B6" s="8">
        <v>0</v>
      </c>
      <c r="C6" s="8">
        <v>0.5</v>
      </c>
      <c r="D6" s="8">
        <v>0.4</v>
      </c>
      <c r="E6" s="8">
        <v>0.6</v>
      </c>
      <c r="F6" s="8">
        <v>0.8</v>
      </c>
      <c r="G6" s="8">
        <v>1.6</v>
      </c>
      <c r="H6" s="8">
        <v>0</v>
      </c>
      <c r="I6" s="8">
        <v>0.4</v>
      </c>
      <c r="J6" s="8">
        <v>0.5</v>
      </c>
      <c r="K6" s="8">
        <v>0.7</v>
      </c>
      <c r="L6" s="8">
        <v>0.6</v>
      </c>
      <c r="M6" s="10">
        <v>1</v>
      </c>
    </row>
    <row r="7" spans="1:13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s="1" customFormat="1" x14ac:dyDescent="0.25">
      <c r="A8" s="4" t="s">
        <v>14</v>
      </c>
      <c r="B8" s="12">
        <v>6.8</v>
      </c>
      <c r="C8" s="13">
        <v>7.1</v>
      </c>
      <c r="D8" s="13">
        <v>11.9</v>
      </c>
      <c r="E8" s="13">
        <v>9.4</v>
      </c>
      <c r="F8" s="13">
        <v>10.4</v>
      </c>
      <c r="G8" s="13">
        <v>12.5</v>
      </c>
      <c r="H8" s="13">
        <v>7.9</v>
      </c>
      <c r="I8" s="13">
        <v>9.6999999999999993</v>
      </c>
      <c r="J8" s="13">
        <v>9.4</v>
      </c>
      <c r="K8" s="13">
        <v>16.100000000000001</v>
      </c>
      <c r="L8" s="13">
        <v>13.4</v>
      </c>
      <c r="M8" s="13">
        <v>13.8</v>
      </c>
    </row>
    <row r="9" spans="1:13" x14ac:dyDescent="0.25">
      <c r="A9" s="1" t="s">
        <v>15</v>
      </c>
      <c r="B9" s="2">
        <f t="shared" ref="B9:M9" si="0">B8-SUM(B2:B6)</f>
        <v>0</v>
      </c>
      <c r="C9" s="2">
        <f t="shared" si="0"/>
        <v>0</v>
      </c>
      <c r="D9" s="2">
        <f t="shared" si="0"/>
        <v>0</v>
      </c>
      <c r="E9" s="2">
        <f t="shared" si="0"/>
        <v>0</v>
      </c>
      <c r="F9" s="2">
        <f t="shared" si="0"/>
        <v>0</v>
      </c>
      <c r="G9" s="2">
        <f t="shared" si="0"/>
        <v>0</v>
      </c>
      <c r="H9" s="2">
        <f t="shared" si="0"/>
        <v>0</v>
      </c>
      <c r="I9" s="2">
        <f t="shared" si="0"/>
        <v>0</v>
      </c>
      <c r="J9" s="2">
        <f t="shared" si="0"/>
        <v>0</v>
      </c>
      <c r="K9" s="2">
        <f t="shared" si="0"/>
        <v>0</v>
      </c>
      <c r="L9" s="2">
        <f t="shared" si="0"/>
        <v>0</v>
      </c>
      <c r="M9" s="2">
        <f t="shared" si="0"/>
        <v>0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B72B5-8FA6-4503-A5E0-CE2E62F81D3D}">
  <dimension ref="A1:P183"/>
  <sheetViews>
    <sheetView tabSelected="1" topLeftCell="A154" workbookViewId="0">
      <selection activeCell="Q160" sqref="Q160"/>
    </sheetView>
  </sheetViews>
  <sheetFormatPr defaultRowHeight="15" x14ac:dyDescent="0.25"/>
  <cols>
    <col min="1" max="1" width="27.28515625" style="5" customWidth="1"/>
    <col min="2" max="2" width="28.42578125" style="5" customWidth="1"/>
    <col min="3" max="3" width="29.28515625" style="5" customWidth="1"/>
    <col min="4" max="4" width="38.42578125" style="5" customWidth="1"/>
    <col min="5" max="16384" width="9.140625" style="5"/>
  </cols>
  <sheetData>
    <row r="1" spans="1:16" x14ac:dyDescent="0.25">
      <c r="A1" s="6" t="s">
        <v>75</v>
      </c>
      <c r="B1" s="6" t="s">
        <v>76</v>
      </c>
      <c r="C1" s="6" t="s">
        <v>77</v>
      </c>
      <c r="D1" s="6" t="s">
        <v>121</v>
      </c>
      <c r="E1" s="7" t="s">
        <v>0</v>
      </c>
      <c r="F1" s="7" t="s">
        <v>1</v>
      </c>
      <c r="G1" s="7" t="s">
        <v>16</v>
      </c>
      <c r="H1" s="7" t="s">
        <v>17</v>
      </c>
      <c r="I1" s="7" t="s">
        <v>18</v>
      </c>
      <c r="J1" s="7" t="s">
        <v>100</v>
      </c>
      <c r="K1" s="7" t="s">
        <v>101</v>
      </c>
      <c r="L1" s="7" t="s">
        <v>102</v>
      </c>
      <c r="M1" s="7" t="s">
        <v>106</v>
      </c>
      <c r="N1" s="7" t="s">
        <v>107</v>
      </c>
      <c r="O1" s="7" t="s">
        <v>108</v>
      </c>
      <c r="P1" s="7" t="s">
        <v>122</v>
      </c>
    </row>
    <row r="2" spans="1:16" x14ac:dyDescent="0.25">
      <c r="A2" s="9" t="s">
        <v>20</v>
      </c>
      <c r="B2" s="9" t="s">
        <v>28</v>
      </c>
      <c r="C2" s="9" t="s">
        <v>37</v>
      </c>
      <c r="D2" s="9" t="s">
        <v>123</v>
      </c>
      <c r="E2" s="10">
        <v>3</v>
      </c>
      <c r="F2" s="10">
        <v>2</v>
      </c>
      <c r="G2" s="10">
        <v>1.5</v>
      </c>
      <c r="H2" s="10">
        <v>2.9</v>
      </c>
      <c r="I2" s="10">
        <v>4.0999999999999996</v>
      </c>
      <c r="J2" s="10">
        <v>2.4</v>
      </c>
      <c r="K2" s="10">
        <v>2.1</v>
      </c>
      <c r="L2" s="10">
        <v>2.8</v>
      </c>
      <c r="M2" s="10">
        <v>2.7</v>
      </c>
      <c r="N2" s="10">
        <v>3.9</v>
      </c>
      <c r="O2" s="10">
        <v>1.9</v>
      </c>
      <c r="P2" s="10">
        <v>2</v>
      </c>
    </row>
    <row r="3" spans="1:16" x14ac:dyDescent="0.25">
      <c r="A3" s="9" t="s">
        <v>20</v>
      </c>
      <c r="B3" s="9" t="s">
        <v>28</v>
      </c>
      <c r="C3" s="9" t="s">
        <v>37</v>
      </c>
      <c r="D3" s="9" t="s">
        <v>124</v>
      </c>
      <c r="E3" s="10">
        <v>13</v>
      </c>
      <c r="F3" s="10">
        <v>12.3</v>
      </c>
      <c r="G3" s="10">
        <v>14.6</v>
      </c>
      <c r="H3" s="10">
        <v>17.7</v>
      </c>
      <c r="I3" s="10">
        <v>16.600000000000001</v>
      </c>
      <c r="J3" s="10">
        <v>14.2</v>
      </c>
      <c r="K3" s="10">
        <v>12.9</v>
      </c>
      <c r="L3" s="10">
        <v>23</v>
      </c>
      <c r="M3" s="10">
        <v>21.4</v>
      </c>
      <c r="N3" s="10">
        <v>17.399999999999999</v>
      </c>
      <c r="O3" s="10">
        <v>17.7</v>
      </c>
      <c r="P3" s="10">
        <v>15.2</v>
      </c>
    </row>
    <row r="4" spans="1:16" x14ac:dyDescent="0.25">
      <c r="A4" s="9" t="s">
        <v>20</v>
      </c>
      <c r="B4" s="9" t="s">
        <v>28</v>
      </c>
      <c r="C4" s="9" t="s">
        <v>37</v>
      </c>
      <c r="D4" s="9" t="s">
        <v>125</v>
      </c>
      <c r="E4" s="10">
        <v>4.4000000000000004</v>
      </c>
      <c r="F4" s="10">
        <v>5.0999999999999996</v>
      </c>
      <c r="G4" s="10">
        <v>3.5</v>
      </c>
      <c r="H4" s="10">
        <v>5.2</v>
      </c>
      <c r="I4" s="10">
        <v>7.2</v>
      </c>
      <c r="J4" s="10">
        <v>6.4</v>
      </c>
      <c r="K4" s="10">
        <v>7.1</v>
      </c>
      <c r="L4" s="10">
        <v>8.6999999999999993</v>
      </c>
      <c r="M4" s="10">
        <v>8.3000000000000007</v>
      </c>
      <c r="N4" s="10">
        <v>5.3</v>
      </c>
      <c r="O4" s="10">
        <v>4</v>
      </c>
      <c r="P4" s="10">
        <v>5.2</v>
      </c>
    </row>
    <row r="5" spans="1:16" x14ac:dyDescent="0.25">
      <c r="A5" s="9" t="s">
        <v>20</v>
      </c>
      <c r="B5" s="9" t="s">
        <v>28</v>
      </c>
      <c r="C5" s="9" t="s">
        <v>37</v>
      </c>
      <c r="D5" s="9" t="s">
        <v>126</v>
      </c>
      <c r="E5" s="10">
        <v>1.9</v>
      </c>
      <c r="F5" s="10">
        <v>3.9</v>
      </c>
      <c r="G5" s="10">
        <v>6</v>
      </c>
      <c r="H5" s="10">
        <v>6.6</v>
      </c>
      <c r="I5" s="10">
        <v>9.8000000000000007</v>
      </c>
      <c r="J5" s="10">
        <v>8.8000000000000007</v>
      </c>
      <c r="K5" s="10">
        <v>6.7</v>
      </c>
      <c r="L5" s="10">
        <v>8.8000000000000007</v>
      </c>
      <c r="M5" s="10">
        <v>6.9</v>
      </c>
      <c r="N5" s="10">
        <v>5.8</v>
      </c>
      <c r="O5" s="10">
        <v>2</v>
      </c>
      <c r="P5" s="10">
        <v>3</v>
      </c>
    </row>
    <row r="6" spans="1:16" x14ac:dyDescent="0.25">
      <c r="A6" s="9" t="s">
        <v>20</v>
      </c>
      <c r="B6" s="9" t="s">
        <v>28</v>
      </c>
      <c r="C6" s="9" t="s">
        <v>37</v>
      </c>
      <c r="D6" s="9" t="s">
        <v>127</v>
      </c>
      <c r="E6" s="10">
        <v>7.9</v>
      </c>
      <c r="F6" s="10">
        <v>7</v>
      </c>
      <c r="G6" s="10">
        <v>7.4</v>
      </c>
      <c r="H6" s="10">
        <v>9.3000000000000007</v>
      </c>
      <c r="I6" s="10">
        <v>10.8</v>
      </c>
      <c r="J6" s="10">
        <v>7.9</v>
      </c>
      <c r="K6" s="10">
        <v>8.1999999999999993</v>
      </c>
      <c r="L6" s="10">
        <v>11.2</v>
      </c>
      <c r="M6" s="10">
        <v>13.7</v>
      </c>
      <c r="N6" s="10">
        <v>11.1</v>
      </c>
      <c r="O6" s="10">
        <v>9.6</v>
      </c>
      <c r="P6" s="10">
        <v>9</v>
      </c>
    </row>
    <row r="7" spans="1:16" x14ac:dyDescent="0.25">
      <c r="A7" s="9" t="s">
        <v>20</v>
      </c>
      <c r="B7" s="9" t="s">
        <v>28</v>
      </c>
      <c r="C7" s="9" t="s">
        <v>37</v>
      </c>
      <c r="D7" s="9" t="s">
        <v>128</v>
      </c>
      <c r="E7" s="10">
        <v>0</v>
      </c>
      <c r="F7" s="10">
        <v>0</v>
      </c>
      <c r="G7" s="10">
        <v>0</v>
      </c>
      <c r="H7" s="10">
        <v>0.1</v>
      </c>
      <c r="I7" s="10">
        <v>0.5</v>
      </c>
      <c r="J7" s="10">
        <v>-0.4</v>
      </c>
      <c r="K7" s="10">
        <v>0.1</v>
      </c>
      <c r="L7" s="10">
        <v>0</v>
      </c>
      <c r="M7" s="10">
        <v>0.2</v>
      </c>
      <c r="N7" s="10">
        <v>0.7</v>
      </c>
      <c r="O7" s="10">
        <v>0</v>
      </c>
      <c r="P7" s="10">
        <v>-0.7</v>
      </c>
    </row>
    <row r="8" spans="1:16" x14ac:dyDescent="0.25">
      <c r="A8" s="9" t="s">
        <v>20</v>
      </c>
      <c r="B8" s="9" t="s">
        <v>28</v>
      </c>
      <c r="C8" s="9" t="s">
        <v>37</v>
      </c>
      <c r="D8" s="9" t="s">
        <v>129</v>
      </c>
      <c r="E8" s="10">
        <v>0</v>
      </c>
      <c r="F8" s="10">
        <v>0</v>
      </c>
      <c r="G8" s="10">
        <v>0.5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</row>
    <row r="9" spans="1:16" x14ac:dyDescent="0.25">
      <c r="A9" s="9" t="s">
        <v>20</v>
      </c>
      <c r="B9" s="9" t="s">
        <v>28</v>
      </c>
      <c r="C9" s="9" t="s">
        <v>38</v>
      </c>
      <c r="D9" s="9" t="s">
        <v>130</v>
      </c>
      <c r="E9" s="10">
        <v>1.1000000000000001</v>
      </c>
      <c r="F9" s="10">
        <v>1.1000000000000001</v>
      </c>
      <c r="G9" s="10">
        <v>1.1000000000000001</v>
      </c>
      <c r="H9" s="10">
        <v>1.7</v>
      </c>
      <c r="I9" s="10">
        <v>1.4</v>
      </c>
      <c r="J9" s="10">
        <v>1.3</v>
      </c>
      <c r="K9" s="10">
        <v>1.2</v>
      </c>
      <c r="L9" s="10">
        <v>1</v>
      </c>
      <c r="M9" s="10">
        <v>1</v>
      </c>
      <c r="N9" s="10">
        <v>0.9</v>
      </c>
      <c r="O9" s="10">
        <v>0.8</v>
      </c>
      <c r="P9" s="10">
        <v>1</v>
      </c>
    </row>
    <row r="10" spans="1:16" x14ac:dyDescent="0.25">
      <c r="A10" s="9" t="s">
        <v>20</v>
      </c>
      <c r="B10" s="9" t="s">
        <v>28</v>
      </c>
      <c r="C10" s="9" t="s">
        <v>38</v>
      </c>
      <c r="D10" s="9" t="s">
        <v>131</v>
      </c>
      <c r="E10" s="10">
        <v>2.7</v>
      </c>
      <c r="F10" s="10">
        <v>3.2</v>
      </c>
      <c r="G10" s="10">
        <v>4.5</v>
      </c>
      <c r="H10" s="10">
        <v>5.3</v>
      </c>
      <c r="I10" s="10">
        <v>5.6</v>
      </c>
      <c r="J10" s="10">
        <v>4.4000000000000004</v>
      </c>
      <c r="K10" s="10">
        <v>4.0999999999999996</v>
      </c>
      <c r="L10" s="10">
        <v>9.6</v>
      </c>
      <c r="M10" s="10">
        <v>8.8000000000000007</v>
      </c>
      <c r="N10" s="10">
        <v>7.5</v>
      </c>
      <c r="O10" s="10">
        <v>3.5</v>
      </c>
      <c r="P10" s="10">
        <v>3.3</v>
      </c>
    </row>
    <row r="11" spans="1:16" x14ac:dyDescent="0.25">
      <c r="A11" s="9" t="s">
        <v>20</v>
      </c>
      <c r="B11" s="9" t="s">
        <v>28</v>
      </c>
      <c r="C11" s="9" t="s">
        <v>38</v>
      </c>
      <c r="D11" s="9" t="s">
        <v>132</v>
      </c>
      <c r="E11" s="10">
        <v>6.6</v>
      </c>
      <c r="F11" s="10">
        <v>5.0999999999999996</v>
      </c>
      <c r="G11" s="10">
        <v>5.6</v>
      </c>
      <c r="H11" s="10">
        <v>7</v>
      </c>
      <c r="I11" s="10">
        <v>7.3</v>
      </c>
      <c r="J11" s="10">
        <v>4.5999999999999996</v>
      </c>
      <c r="K11" s="10">
        <v>5</v>
      </c>
      <c r="L11" s="10">
        <v>5.5</v>
      </c>
      <c r="M11" s="10">
        <v>7.5</v>
      </c>
      <c r="N11" s="10">
        <v>6</v>
      </c>
      <c r="O11" s="10">
        <v>7.4</v>
      </c>
      <c r="P11" s="10">
        <v>5.4</v>
      </c>
    </row>
    <row r="12" spans="1:16" x14ac:dyDescent="0.25">
      <c r="A12" s="9" t="s">
        <v>20</v>
      </c>
      <c r="B12" s="9" t="s">
        <v>28</v>
      </c>
      <c r="C12" s="9" t="s">
        <v>38</v>
      </c>
      <c r="D12" s="9" t="s">
        <v>133</v>
      </c>
      <c r="E12" s="10">
        <v>1.4</v>
      </c>
      <c r="F12" s="10">
        <v>1.5</v>
      </c>
      <c r="G12" s="10">
        <v>1.6</v>
      </c>
      <c r="H12" s="10">
        <v>1.8</v>
      </c>
      <c r="I12" s="10">
        <v>2.2000000000000002</v>
      </c>
      <c r="J12" s="10">
        <v>2</v>
      </c>
      <c r="K12" s="10">
        <v>1.9</v>
      </c>
      <c r="L12" s="10">
        <v>3.4</v>
      </c>
      <c r="M12" s="10">
        <v>3</v>
      </c>
      <c r="N12" s="10">
        <v>3.3</v>
      </c>
      <c r="O12" s="10">
        <v>2.1</v>
      </c>
      <c r="P12" s="10">
        <v>1.4</v>
      </c>
    </row>
    <row r="13" spans="1:16" x14ac:dyDescent="0.25">
      <c r="A13" s="9" t="s">
        <v>20</v>
      </c>
      <c r="B13" s="9" t="s">
        <v>28</v>
      </c>
      <c r="C13" s="9" t="s">
        <v>38</v>
      </c>
      <c r="D13" s="9" t="s">
        <v>134</v>
      </c>
      <c r="E13" s="10">
        <v>4</v>
      </c>
      <c r="F13" s="10">
        <v>4.9000000000000004</v>
      </c>
      <c r="G13" s="10">
        <v>5.2</v>
      </c>
      <c r="H13" s="10">
        <v>6.2</v>
      </c>
      <c r="I13" s="10">
        <v>5.7</v>
      </c>
      <c r="J13" s="10">
        <v>5.8</v>
      </c>
      <c r="K13" s="10">
        <v>4</v>
      </c>
      <c r="L13" s="10">
        <v>5.2</v>
      </c>
      <c r="M13" s="10">
        <v>6.8</v>
      </c>
      <c r="N13" s="10">
        <v>4.4000000000000004</v>
      </c>
      <c r="O13" s="10">
        <v>6.5</v>
      </c>
      <c r="P13" s="10">
        <v>2.7</v>
      </c>
    </row>
    <row r="14" spans="1:16" x14ac:dyDescent="0.25">
      <c r="A14" s="9" t="s">
        <v>20</v>
      </c>
      <c r="B14" s="9" t="s">
        <v>28</v>
      </c>
      <c r="C14" s="9" t="s">
        <v>38</v>
      </c>
      <c r="D14" s="9" t="s">
        <v>135</v>
      </c>
      <c r="E14" s="10">
        <v>3.4</v>
      </c>
      <c r="F14" s="10">
        <v>3.7</v>
      </c>
      <c r="G14" s="10">
        <v>3.1</v>
      </c>
      <c r="H14" s="10">
        <v>3.6</v>
      </c>
      <c r="I14" s="10">
        <v>2.7</v>
      </c>
      <c r="J14" s="10">
        <v>2.2000000000000002</v>
      </c>
      <c r="K14" s="10">
        <v>2</v>
      </c>
      <c r="L14" s="10">
        <v>2.7</v>
      </c>
      <c r="M14" s="10">
        <v>3.5</v>
      </c>
      <c r="N14" s="10">
        <v>3.4</v>
      </c>
      <c r="O14" s="10">
        <v>2.2999999999999998</v>
      </c>
      <c r="P14" s="10">
        <v>2</v>
      </c>
    </row>
    <row r="15" spans="1:16" x14ac:dyDescent="0.25">
      <c r="A15" s="9" t="s">
        <v>20</v>
      </c>
      <c r="B15" s="9" t="s">
        <v>28</v>
      </c>
      <c r="C15" s="9" t="s">
        <v>38</v>
      </c>
      <c r="D15" s="9" t="s">
        <v>136</v>
      </c>
      <c r="E15" s="10">
        <v>4.3</v>
      </c>
      <c r="F15" s="10">
        <v>4</v>
      </c>
      <c r="G15" s="10">
        <v>4.5</v>
      </c>
      <c r="H15" s="10">
        <v>6.3</v>
      </c>
      <c r="I15" s="10">
        <v>9.9</v>
      </c>
      <c r="J15" s="10">
        <v>7</v>
      </c>
      <c r="K15" s="10">
        <v>4.5999999999999996</v>
      </c>
      <c r="L15" s="10">
        <v>7.3</v>
      </c>
      <c r="M15" s="10">
        <v>9.6999999999999993</v>
      </c>
      <c r="N15" s="10">
        <v>5.9</v>
      </c>
      <c r="O15" s="10">
        <v>2</v>
      </c>
      <c r="P15" s="10">
        <v>0.8</v>
      </c>
    </row>
    <row r="16" spans="1:16" x14ac:dyDescent="0.25">
      <c r="A16" s="9" t="s">
        <v>20</v>
      </c>
      <c r="B16" s="9" t="s">
        <v>28</v>
      </c>
      <c r="C16" s="9" t="s">
        <v>38</v>
      </c>
      <c r="D16" s="9" t="s">
        <v>137</v>
      </c>
      <c r="E16" s="10">
        <v>2.4</v>
      </c>
      <c r="F16" s="10">
        <v>2.2000000000000002</v>
      </c>
      <c r="G16" s="10">
        <v>2.7</v>
      </c>
      <c r="H16" s="10">
        <v>4.0999999999999996</v>
      </c>
      <c r="I16" s="10">
        <v>4.3</v>
      </c>
      <c r="J16" s="10">
        <v>4.0999999999999996</v>
      </c>
      <c r="K16" s="10">
        <v>4.0999999999999996</v>
      </c>
      <c r="L16" s="10">
        <v>4.9000000000000004</v>
      </c>
      <c r="M16" s="10">
        <v>7.4</v>
      </c>
      <c r="N16" s="10">
        <v>4.0999999999999996</v>
      </c>
      <c r="O16" s="10">
        <v>3.4</v>
      </c>
      <c r="P16" s="10">
        <v>2.2999999999999998</v>
      </c>
    </row>
    <row r="17" spans="1:16" x14ac:dyDescent="0.25">
      <c r="A17" s="9" t="s">
        <v>20</v>
      </c>
      <c r="B17" s="9" t="s">
        <v>28</v>
      </c>
      <c r="C17" s="9" t="s">
        <v>38</v>
      </c>
      <c r="D17" s="9" t="s">
        <v>138</v>
      </c>
      <c r="E17" s="10">
        <v>2</v>
      </c>
      <c r="F17" s="10">
        <v>2.5</v>
      </c>
      <c r="G17" s="10">
        <v>3.2</v>
      </c>
      <c r="H17" s="10">
        <v>3.4</v>
      </c>
      <c r="I17" s="10">
        <v>6.4</v>
      </c>
      <c r="J17" s="10">
        <v>6</v>
      </c>
      <c r="K17" s="10">
        <v>4.5999999999999996</v>
      </c>
      <c r="L17" s="10">
        <v>6.8</v>
      </c>
      <c r="M17" s="10">
        <v>7</v>
      </c>
      <c r="N17" s="10">
        <v>7.3</v>
      </c>
      <c r="O17" s="10">
        <v>4.8</v>
      </c>
      <c r="P17" s="10">
        <v>4.5999999999999996</v>
      </c>
    </row>
    <row r="18" spans="1:16" x14ac:dyDescent="0.25">
      <c r="A18" s="9" t="s">
        <v>20</v>
      </c>
      <c r="B18" s="9" t="s">
        <v>28</v>
      </c>
      <c r="C18" s="9" t="s">
        <v>39</v>
      </c>
      <c r="D18" s="9" t="s">
        <v>139</v>
      </c>
      <c r="E18" s="10">
        <v>4.8</v>
      </c>
      <c r="F18" s="10">
        <v>2.5</v>
      </c>
      <c r="G18" s="10">
        <v>2.4</v>
      </c>
      <c r="H18" s="10">
        <v>1.3</v>
      </c>
      <c r="I18" s="10">
        <v>1.9</v>
      </c>
      <c r="J18" s="10">
        <v>1.2</v>
      </c>
      <c r="K18" s="10">
        <v>1.2</v>
      </c>
      <c r="L18" s="10">
        <v>1.9</v>
      </c>
      <c r="M18" s="10">
        <v>2.2000000000000002</v>
      </c>
      <c r="N18" s="10">
        <v>1.2</v>
      </c>
      <c r="O18" s="10">
        <v>0.4</v>
      </c>
      <c r="P18" s="10">
        <v>-0.1</v>
      </c>
    </row>
    <row r="19" spans="1:16" x14ac:dyDescent="0.25">
      <c r="A19" s="9" t="s">
        <v>20</v>
      </c>
      <c r="B19" s="9" t="s">
        <v>28</v>
      </c>
      <c r="C19" s="9" t="s">
        <v>39</v>
      </c>
      <c r="D19" s="9" t="s">
        <v>140</v>
      </c>
      <c r="E19" s="10">
        <v>3.3</v>
      </c>
      <c r="F19" s="10">
        <v>2.4</v>
      </c>
      <c r="G19" s="10">
        <v>2.8</v>
      </c>
      <c r="H19" s="10">
        <v>4.4000000000000004</v>
      </c>
      <c r="I19" s="10">
        <v>6</v>
      </c>
      <c r="J19" s="10">
        <v>4.4000000000000004</v>
      </c>
      <c r="K19" s="10">
        <v>4.7</v>
      </c>
      <c r="L19" s="10">
        <v>5.7</v>
      </c>
      <c r="M19" s="10">
        <v>6.5</v>
      </c>
      <c r="N19" s="10">
        <v>4.4000000000000004</v>
      </c>
      <c r="O19" s="10">
        <v>7</v>
      </c>
      <c r="P19" s="10">
        <v>8.8000000000000007</v>
      </c>
    </row>
    <row r="20" spans="1:16" x14ac:dyDescent="0.25">
      <c r="A20" s="9" t="s">
        <v>20</v>
      </c>
      <c r="B20" s="9" t="s">
        <v>28</v>
      </c>
      <c r="C20" s="9" t="s">
        <v>39</v>
      </c>
      <c r="D20" s="9" t="s">
        <v>141</v>
      </c>
      <c r="E20" s="10">
        <v>14.5</v>
      </c>
      <c r="F20" s="10">
        <v>22.9</v>
      </c>
      <c r="G20" s="10">
        <v>29.2</v>
      </c>
      <c r="H20" s="10">
        <v>22.1</v>
      </c>
      <c r="I20" s="10">
        <v>29.1</v>
      </c>
      <c r="J20" s="10">
        <v>32.1</v>
      </c>
      <c r="K20" s="10">
        <v>13.5</v>
      </c>
      <c r="L20" s="10">
        <v>21.6</v>
      </c>
      <c r="M20" s="10">
        <v>20.7</v>
      </c>
      <c r="N20" s="10">
        <v>26.2</v>
      </c>
      <c r="O20" s="10">
        <v>20.9</v>
      </c>
      <c r="P20" s="10">
        <v>29.6</v>
      </c>
    </row>
    <row r="21" spans="1:16" x14ac:dyDescent="0.25">
      <c r="A21" s="9" t="s">
        <v>20</v>
      </c>
      <c r="B21" s="9" t="s">
        <v>28</v>
      </c>
      <c r="C21" s="9" t="s">
        <v>39</v>
      </c>
      <c r="D21" s="9" t="s">
        <v>142</v>
      </c>
      <c r="E21" s="10">
        <v>1.6</v>
      </c>
      <c r="F21" s="10">
        <v>0.4</v>
      </c>
      <c r="G21" s="10">
        <v>0.6</v>
      </c>
      <c r="H21" s="10">
        <v>6.4</v>
      </c>
      <c r="I21" s="10">
        <v>0.5</v>
      </c>
      <c r="J21" s="10">
        <v>1.5</v>
      </c>
      <c r="K21" s="10">
        <v>0.7</v>
      </c>
      <c r="L21" s="10">
        <v>0.8</v>
      </c>
      <c r="M21" s="10">
        <v>1</v>
      </c>
      <c r="N21" s="10">
        <v>1.5</v>
      </c>
      <c r="O21" s="10">
        <v>1</v>
      </c>
      <c r="P21" s="10">
        <v>6.9</v>
      </c>
    </row>
    <row r="22" spans="1:16" x14ac:dyDescent="0.25">
      <c r="A22" s="9" t="s">
        <v>20</v>
      </c>
      <c r="B22" s="9" t="s">
        <v>28</v>
      </c>
      <c r="C22" s="9" t="s">
        <v>39</v>
      </c>
      <c r="D22" s="9" t="s">
        <v>143</v>
      </c>
      <c r="E22" s="10">
        <v>0.1</v>
      </c>
      <c r="F22" s="10">
        <v>-0.2</v>
      </c>
      <c r="G22" s="10">
        <v>0</v>
      </c>
      <c r="H22" s="10">
        <v>-0.1</v>
      </c>
      <c r="I22" s="10">
        <v>0.1</v>
      </c>
      <c r="J22" s="10">
        <v>0</v>
      </c>
      <c r="K22" s="10">
        <v>0</v>
      </c>
      <c r="L22" s="10">
        <v>0.1</v>
      </c>
      <c r="M22" s="10">
        <v>0</v>
      </c>
      <c r="N22" s="10">
        <v>0.1</v>
      </c>
      <c r="O22" s="10">
        <v>0.1</v>
      </c>
      <c r="P22" s="10">
        <v>0.1</v>
      </c>
    </row>
    <row r="23" spans="1:16" x14ac:dyDescent="0.25">
      <c r="A23" s="9" t="s">
        <v>20</v>
      </c>
      <c r="B23" s="9" t="s">
        <v>28</v>
      </c>
      <c r="C23" s="9" t="s">
        <v>39</v>
      </c>
      <c r="D23" s="9" t="s">
        <v>144</v>
      </c>
      <c r="E23" s="10">
        <v>0.2</v>
      </c>
      <c r="F23" s="10">
        <v>0.1</v>
      </c>
      <c r="G23" s="10">
        <v>0.2</v>
      </c>
      <c r="H23" s="10">
        <v>0.1</v>
      </c>
      <c r="I23" s="10">
        <v>0.2</v>
      </c>
      <c r="J23" s="10">
        <v>0.1</v>
      </c>
      <c r="K23" s="10">
        <v>0.1</v>
      </c>
      <c r="L23" s="10">
        <v>0.2</v>
      </c>
      <c r="M23" s="10">
        <v>0.2</v>
      </c>
      <c r="N23" s="10">
        <v>0.2</v>
      </c>
      <c r="O23" s="10">
        <v>0.2</v>
      </c>
      <c r="P23" s="10">
        <v>0.3</v>
      </c>
    </row>
    <row r="24" spans="1:16" x14ac:dyDescent="0.25">
      <c r="A24" s="9" t="s">
        <v>20</v>
      </c>
      <c r="B24" s="9" t="s">
        <v>28</v>
      </c>
      <c r="C24" s="9" t="s">
        <v>92</v>
      </c>
      <c r="D24" s="9" t="s">
        <v>145</v>
      </c>
      <c r="E24" s="10">
        <v>29.6</v>
      </c>
      <c r="F24" s="10">
        <v>30.3</v>
      </c>
      <c r="G24" s="10">
        <v>30.9</v>
      </c>
      <c r="H24" s="10">
        <v>33.4</v>
      </c>
      <c r="I24" s="10">
        <v>29.5</v>
      </c>
      <c r="J24" s="10">
        <v>29.2</v>
      </c>
      <c r="K24" s="10">
        <v>22.4</v>
      </c>
      <c r="L24" s="10">
        <v>24.5</v>
      </c>
      <c r="M24" s="10">
        <v>33.1</v>
      </c>
      <c r="N24" s="10">
        <v>32.299999999999997</v>
      </c>
      <c r="O24" s="10">
        <v>32.5</v>
      </c>
      <c r="P24" s="10">
        <v>33.6</v>
      </c>
    </row>
    <row r="25" spans="1:16" x14ac:dyDescent="0.25">
      <c r="A25" s="9" t="s">
        <v>20</v>
      </c>
      <c r="B25" s="9" t="s">
        <v>28</v>
      </c>
      <c r="C25" s="9" t="s">
        <v>92</v>
      </c>
      <c r="D25" s="9" t="s">
        <v>146</v>
      </c>
      <c r="E25" s="10">
        <v>1.3</v>
      </c>
      <c r="F25" s="10">
        <v>1.9</v>
      </c>
      <c r="G25" s="10">
        <v>1.3</v>
      </c>
      <c r="H25" s="10">
        <v>1.5</v>
      </c>
      <c r="I25" s="10">
        <v>1.9</v>
      </c>
      <c r="J25" s="10">
        <v>2.2999999999999998</v>
      </c>
      <c r="K25" s="10">
        <v>1.8</v>
      </c>
      <c r="L25" s="10">
        <v>4.5999999999999996</v>
      </c>
      <c r="M25" s="10">
        <v>3.4</v>
      </c>
      <c r="N25" s="10">
        <v>3.4</v>
      </c>
      <c r="O25" s="10">
        <v>3.8</v>
      </c>
      <c r="P25" s="10">
        <v>6.5</v>
      </c>
    </row>
    <row r="26" spans="1:16" x14ac:dyDescent="0.25">
      <c r="A26" s="9" t="s">
        <v>20</v>
      </c>
      <c r="B26" s="9" t="s">
        <v>28</v>
      </c>
      <c r="C26" s="9" t="s">
        <v>92</v>
      </c>
      <c r="D26" s="9" t="s">
        <v>147</v>
      </c>
      <c r="E26" s="10">
        <v>6.7</v>
      </c>
      <c r="F26" s="10">
        <v>8.4</v>
      </c>
      <c r="G26" s="10">
        <v>10.7</v>
      </c>
      <c r="H26" s="10">
        <v>11.5</v>
      </c>
      <c r="I26" s="10">
        <v>11.8</v>
      </c>
      <c r="J26" s="10">
        <v>9.4</v>
      </c>
      <c r="K26" s="10">
        <v>6.6</v>
      </c>
      <c r="L26" s="10">
        <v>8.1</v>
      </c>
      <c r="M26" s="10">
        <v>10.199999999999999</v>
      </c>
      <c r="N26" s="10">
        <v>9.5</v>
      </c>
      <c r="O26" s="10">
        <v>9.3000000000000007</v>
      </c>
      <c r="P26" s="10">
        <v>9</v>
      </c>
    </row>
    <row r="27" spans="1:16" x14ac:dyDescent="0.25">
      <c r="A27" s="9" t="s">
        <v>20</v>
      </c>
      <c r="B27" s="9" t="s">
        <v>28</v>
      </c>
      <c r="C27" s="9" t="s">
        <v>92</v>
      </c>
      <c r="D27" s="9" t="s">
        <v>148</v>
      </c>
      <c r="E27" s="10">
        <v>3.8</v>
      </c>
      <c r="F27" s="10">
        <v>3.7</v>
      </c>
      <c r="G27" s="10">
        <v>4.0999999999999996</v>
      </c>
      <c r="H27" s="10">
        <v>2.7</v>
      </c>
      <c r="I27" s="10">
        <v>3.9</v>
      </c>
      <c r="J27" s="10">
        <v>3.7</v>
      </c>
      <c r="K27" s="10">
        <v>4.8</v>
      </c>
      <c r="L27" s="10">
        <v>5.8</v>
      </c>
      <c r="M27" s="10">
        <v>7.8</v>
      </c>
      <c r="N27" s="10">
        <v>5.7</v>
      </c>
      <c r="O27" s="10">
        <v>8.1</v>
      </c>
      <c r="P27" s="10">
        <v>7.2</v>
      </c>
    </row>
    <row r="28" spans="1:16" x14ac:dyDescent="0.25">
      <c r="A28" s="9" t="s">
        <v>20</v>
      </c>
      <c r="B28" s="9" t="s">
        <v>28</v>
      </c>
      <c r="C28" s="9" t="s">
        <v>92</v>
      </c>
      <c r="D28" s="9" t="s">
        <v>149</v>
      </c>
      <c r="E28" s="10">
        <v>0</v>
      </c>
      <c r="F28" s="10">
        <v>0</v>
      </c>
      <c r="G28" s="10">
        <v>0</v>
      </c>
      <c r="H28" s="10">
        <v>0.1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</row>
    <row r="29" spans="1:16" x14ac:dyDescent="0.25">
      <c r="A29" s="9" t="s">
        <v>20</v>
      </c>
      <c r="B29" s="9" t="s">
        <v>28</v>
      </c>
      <c r="C29" s="9" t="s">
        <v>40</v>
      </c>
      <c r="D29" s="9" t="s">
        <v>150</v>
      </c>
      <c r="E29" s="10">
        <v>2.4</v>
      </c>
      <c r="F29" s="10">
        <v>3.2</v>
      </c>
      <c r="G29" s="10">
        <v>3.1</v>
      </c>
      <c r="H29" s="10">
        <v>3.1</v>
      </c>
      <c r="I29" s="10">
        <v>4.7</v>
      </c>
      <c r="J29" s="10">
        <v>5.9</v>
      </c>
      <c r="K29" s="10">
        <v>1.4</v>
      </c>
      <c r="L29" s="10">
        <v>3.7</v>
      </c>
      <c r="M29" s="10">
        <v>3.6</v>
      </c>
      <c r="N29" s="10">
        <v>4.0999999999999996</v>
      </c>
      <c r="O29" s="10">
        <v>4.2</v>
      </c>
      <c r="P29" s="10">
        <v>4.7</v>
      </c>
    </row>
    <row r="30" spans="1:16" x14ac:dyDescent="0.25">
      <c r="A30" s="9" t="s">
        <v>20</v>
      </c>
      <c r="B30" s="9" t="s">
        <v>28</v>
      </c>
      <c r="C30" s="9" t="s">
        <v>40</v>
      </c>
      <c r="D30" s="9" t="s">
        <v>151</v>
      </c>
      <c r="E30" s="10">
        <v>2.2999999999999998</v>
      </c>
      <c r="F30" s="10">
        <v>2.2999999999999998</v>
      </c>
      <c r="G30" s="10">
        <v>2.5</v>
      </c>
      <c r="H30" s="10">
        <v>3.8</v>
      </c>
      <c r="I30" s="10">
        <v>6.3</v>
      </c>
      <c r="J30" s="10">
        <v>4.5999999999999996</v>
      </c>
      <c r="K30" s="10">
        <v>4.4000000000000004</v>
      </c>
      <c r="L30" s="10">
        <v>7.6</v>
      </c>
      <c r="M30" s="10">
        <v>8.1</v>
      </c>
      <c r="N30" s="10">
        <v>5.0999999999999996</v>
      </c>
      <c r="O30" s="10">
        <v>5.3</v>
      </c>
      <c r="P30" s="10">
        <v>4.8</v>
      </c>
    </row>
    <row r="31" spans="1:16" x14ac:dyDescent="0.25">
      <c r="A31" s="9" t="s">
        <v>20</v>
      </c>
      <c r="B31" s="9" t="s">
        <v>28</v>
      </c>
      <c r="C31" s="9" t="s">
        <v>40</v>
      </c>
      <c r="D31" s="9" t="s">
        <v>152</v>
      </c>
      <c r="E31" s="10">
        <v>1.9</v>
      </c>
      <c r="F31" s="10">
        <v>1</v>
      </c>
      <c r="G31" s="10">
        <v>1.9</v>
      </c>
      <c r="H31" s="10">
        <v>1.6</v>
      </c>
      <c r="I31" s="10">
        <v>1.4</v>
      </c>
      <c r="J31" s="10">
        <v>1.2</v>
      </c>
      <c r="K31" s="10">
        <v>1.4</v>
      </c>
      <c r="L31" s="10">
        <v>1.4</v>
      </c>
      <c r="M31" s="10">
        <v>1.7</v>
      </c>
      <c r="N31" s="10">
        <v>0.9</v>
      </c>
      <c r="O31" s="10">
        <v>2</v>
      </c>
      <c r="P31" s="10">
        <v>1.8</v>
      </c>
    </row>
    <row r="32" spans="1:16" x14ac:dyDescent="0.25">
      <c r="A32" s="9" t="s">
        <v>20</v>
      </c>
      <c r="B32" s="9" t="s">
        <v>28</v>
      </c>
      <c r="C32" s="9" t="s">
        <v>40</v>
      </c>
      <c r="D32" s="9" t="s">
        <v>153</v>
      </c>
      <c r="E32" s="10">
        <v>0.1</v>
      </c>
      <c r="F32" s="10">
        <v>0.5</v>
      </c>
      <c r="G32" s="10">
        <v>0.2</v>
      </c>
      <c r="H32" s="10">
        <v>0.4</v>
      </c>
      <c r="I32" s="10">
        <v>1.2</v>
      </c>
      <c r="J32" s="10">
        <v>0.1</v>
      </c>
      <c r="K32" s="10">
        <v>0.5</v>
      </c>
      <c r="L32" s="10">
        <v>0.5</v>
      </c>
      <c r="M32" s="10">
        <v>0.2</v>
      </c>
      <c r="N32" s="10">
        <v>0.9</v>
      </c>
      <c r="O32" s="10">
        <v>0.9</v>
      </c>
      <c r="P32" s="10">
        <v>-0.1</v>
      </c>
    </row>
    <row r="33" spans="1:16" x14ac:dyDescent="0.25">
      <c r="A33" s="9" t="s">
        <v>20</v>
      </c>
      <c r="B33" s="9" t="s">
        <v>28</v>
      </c>
      <c r="C33" s="9" t="s">
        <v>40</v>
      </c>
      <c r="D33" s="9" t="s">
        <v>154</v>
      </c>
      <c r="E33" s="10">
        <v>2.2000000000000002</v>
      </c>
      <c r="F33" s="10">
        <v>2.2999999999999998</v>
      </c>
      <c r="G33" s="10">
        <v>1.9</v>
      </c>
      <c r="H33" s="10">
        <v>2.2999999999999998</v>
      </c>
      <c r="I33" s="10">
        <v>1.8</v>
      </c>
      <c r="J33" s="10">
        <v>1</v>
      </c>
      <c r="K33" s="10">
        <v>2.1</v>
      </c>
      <c r="L33" s="10">
        <v>1.9</v>
      </c>
      <c r="M33" s="10">
        <v>2.1</v>
      </c>
      <c r="N33" s="10">
        <v>1.9</v>
      </c>
      <c r="O33" s="10">
        <v>2</v>
      </c>
      <c r="P33" s="10">
        <v>0.6</v>
      </c>
    </row>
    <row r="34" spans="1:16" x14ac:dyDescent="0.25">
      <c r="A34" s="9" t="s">
        <v>20</v>
      </c>
      <c r="B34" s="9" t="s">
        <v>28</v>
      </c>
      <c r="C34" s="9" t="s">
        <v>40</v>
      </c>
      <c r="D34" s="9" t="s">
        <v>155</v>
      </c>
      <c r="E34" s="10">
        <v>0</v>
      </c>
      <c r="F34" s="10">
        <v>0.1</v>
      </c>
      <c r="G34" s="10">
        <v>0</v>
      </c>
      <c r="H34" s="10">
        <v>0</v>
      </c>
      <c r="I34" s="10">
        <v>0</v>
      </c>
      <c r="J34" s="10">
        <v>-0.1</v>
      </c>
      <c r="K34" s="10">
        <v>0</v>
      </c>
      <c r="L34" s="10">
        <v>0</v>
      </c>
      <c r="M34" s="10">
        <v>0</v>
      </c>
      <c r="N34" s="10">
        <v>0.1</v>
      </c>
      <c r="O34" s="10">
        <v>0</v>
      </c>
      <c r="P34" s="10">
        <v>-0.2</v>
      </c>
    </row>
    <row r="35" spans="1:16" x14ac:dyDescent="0.25">
      <c r="A35" s="9" t="s">
        <v>20</v>
      </c>
      <c r="B35" s="9" t="s">
        <v>28</v>
      </c>
      <c r="C35" s="9" t="s">
        <v>41</v>
      </c>
      <c r="D35" s="9" t="s">
        <v>156</v>
      </c>
      <c r="E35" s="10">
        <v>0</v>
      </c>
      <c r="F35" s="10">
        <v>0</v>
      </c>
      <c r="G35" s="10">
        <v>0.1</v>
      </c>
      <c r="H35" s="10">
        <v>0.1</v>
      </c>
      <c r="I35" s="10">
        <v>0</v>
      </c>
      <c r="J35" s="10">
        <v>0</v>
      </c>
      <c r="K35" s="10">
        <v>0.1</v>
      </c>
      <c r="L35" s="10">
        <v>0.1</v>
      </c>
      <c r="M35" s="10">
        <v>0.1</v>
      </c>
      <c r="N35" s="10">
        <v>0</v>
      </c>
      <c r="O35" s="10">
        <v>0</v>
      </c>
      <c r="P35" s="10">
        <v>0.2</v>
      </c>
    </row>
    <row r="36" spans="1:16" x14ac:dyDescent="0.25">
      <c r="A36" s="9" t="s">
        <v>20</v>
      </c>
      <c r="B36" s="9" t="s">
        <v>28</v>
      </c>
      <c r="C36" s="9" t="s">
        <v>41</v>
      </c>
      <c r="D36" s="9" t="s">
        <v>157</v>
      </c>
      <c r="E36" s="10">
        <v>0</v>
      </c>
      <c r="F36" s="10">
        <v>0</v>
      </c>
      <c r="G36" s="10">
        <v>0</v>
      </c>
      <c r="H36" s="10">
        <v>0.6</v>
      </c>
      <c r="I36" s="10">
        <v>-0.3</v>
      </c>
      <c r="J36" s="10">
        <v>-0.2</v>
      </c>
      <c r="K36" s="10">
        <v>0.1</v>
      </c>
      <c r="L36" s="10">
        <v>-0.2</v>
      </c>
      <c r="M36" s="10">
        <v>0</v>
      </c>
      <c r="N36" s="10">
        <v>0</v>
      </c>
      <c r="O36" s="10">
        <v>0</v>
      </c>
      <c r="P36" s="10">
        <v>2.5</v>
      </c>
    </row>
    <row r="37" spans="1:16" x14ac:dyDescent="0.25">
      <c r="A37" s="9" t="s">
        <v>20</v>
      </c>
      <c r="B37" s="9" t="s">
        <v>28</v>
      </c>
      <c r="C37" s="9" t="s">
        <v>41</v>
      </c>
      <c r="D37" s="9" t="s">
        <v>41</v>
      </c>
      <c r="E37" s="10">
        <v>0</v>
      </c>
      <c r="F37" s="10">
        <v>0</v>
      </c>
      <c r="G37" s="10">
        <v>0.4</v>
      </c>
      <c r="H37" s="10">
        <v>0.3</v>
      </c>
      <c r="I37" s="10">
        <v>-0.5</v>
      </c>
      <c r="J37" s="10">
        <v>-0.7</v>
      </c>
      <c r="K37" s="10">
        <v>0</v>
      </c>
      <c r="L37" s="10">
        <v>0.3</v>
      </c>
      <c r="M37" s="10">
        <v>0.2</v>
      </c>
      <c r="N37" s="10">
        <v>0</v>
      </c>
      <c r="O37" s="10">
        <v>0</v>
      </c>
      <c r="P37" s="10">
        <v>-3.2</v>
      </c>
    </row>
    <row r="38" spans="1:16" x14ac:dyDescent="0.25">
      <c r="A38" s="9" t="s">
        <v>20</v>
      </c>
      <c r="B38" s="9" t="s">
        <v>31</v>
      </c>
      <c r="C38" s="9" t="s">
        <v>42</v>
      </c>
      <c r="D38" s="9" t="s">
        <v>158</v>
      </c>
      <c r="E38" s="10">
        <v>9.3000000000000007</v>
      </c>
      <c r="F38" s="10">
        <v>9.6999999999999993</v>
      </c>
      <c r="G38" s="10">
        <v>15.1</v>
      </c>
      <c r="H38" s="10">
        <v>14.9</v>
      </c>
      <c r="I38" s="10">
        <v>11.4</v>
      </c>
      <c r="J38" s="10">
        <v>13.5</v>
      </c>
      <c r="K38" s="10">
        <v>14.8</v>
      </c>
      <c r="L38" s="10">
        <v>17.7</v>
      </c>
      <c r="M38" s="10">
        <v>21.5</v>
      </c>
      <c r="N38" s="10">
        <v>23.5</v>
      </c>
      <c r="O38" s="10">
        <v>21.8</v>
      </c>
      <c r="P38" s="10">
        <v>22.2</v>
      </c>
    </row>
    <row r="39" spans="1:16" x14ac:dyDescent="0.25">
      <c r="A39" s="9" t="s">
        <v>20</v>
      </c>
      <c r="B39" s="9" t="s">
        <v>31</v>
      </c>
      <c r="C39" s="9" t="s">
        <v>42</v>
      </c>
      <c r="D39" s="9" t="s">
        <v>159</v>
      </c>
      <c r="E39" s="10">
        <v>1.9</v>
      </c>
      <c r="F39" s="10">
        <v>1.1000000000000001</v>
      </c>
      <c r="G39" s="10">
        <v>1</v>
      </c>
      <c r="H39" s="10">
        <v>1.2</v>
      </c>
      <c r="I39" s="10">
        <v>2.1</v>
      </c>
      <c r="J39" s="10">
        <v>1.9</v>
      </c>
      <c r="K39" s="10">
        <v>2.6</v>
      </c>
      <c r="L39" s="10">
        <v>3.6</v>
      </c>
      <c r="M39" s="10">
        <v>3.8</v>
      </c>
      <c r="N39" s="10">
        <v>3.4</v>
      </c>
      <c r="O39" s="10">
        <v>3.5</v>
      </c>
      <c r="P39" s="10">
        <v>1.7</v>
      </c>
    </row>
    <row r="40" spans="1:16" x14ac:dyDescent="0.25">
      <c r="A40" s="9" t="s">
        <v>20</v>
      </c>
      <c r="B40" s="9" t="s">
        <v>31</v>
      </c>
      <c r="C40" s="9" t="s">
        <v>42</v>
      </c>
      <c r="D40" s="9" t="s">
        <v>160</v>
      </c>
      <c r="E40" s="10">
        <v>14.3</v>
      </c>
      <c r="F40" s="10">
        <v>10.7</v>
      </c>
      <c r="G40" s="10">
        <v>10.9</v>
      </c>
      <c r="H40" s="10">
        <v>12.5</v>
      </c>
      <c r="I40" s="10">
        <v>19.399999999999999</v>
      </c>
      <c r="J40" s="10">
        <v>14.5</v>
      </c>
      <c r="K40" s="10">
        <v>12.3</v>
      </c>
      <c r="L40" s="10">
        <v>19.899999999999999</v>
      </c>
      <c r="M40" s="10">
        <v>22.4</v>
      </c>
      <c r="N40" s="10">
        <v>27.1</v>
      </c>
      <c r="O40" s="10">
        <v>28</v>
      </c>
      <c r="P40" s="10">
        <v>28.9</v>
      </c>
    </row>
    <row r="41" spans="1:16" x14ac:dyDescent="0.25">
      <c r="A41" s="9" t="s">
        <v>20</v>
      </c>
      <c r="B41" s="9" t="s">
        <v>31</v>
      </c>
      <c r="C41" s="9" t="s">
        <v>42</v>
      </c>
      <c r="D41" s="9" t="s">
        <v>161</v>
      </c>
      <c r="E41" s="10">
        <v>12.9</v>
      </c>
      <c r="F41" s="10">
        <v>9</v>
      </c>
      <c r="G41" s="10">
        <v>11</v>
      </c>
      <c r="H41" s="10">
        <v>7.2</v>
      </c>
      <c r="I41" s="10">
        <v>7.7</v>
      </c>
      <c r="J41" s="10">
        <v>4.0999999999999996</v>
      </c>
      <c r="K41" s="10">
        <v>3.1</v>
      </c>
      <c r="L41" s="10">
        <v>4.4000000000000004</v>
      </c>
      <c r="M41" s="10">
        <v>8.4</v>
      </c>
      <c r="N41" s="10">
        <v>8.5</v>
      </c>
      <c r="O41" s="10">
        <v>5.8</v>
      </c>
      <c r="P41" s="10">
        <v>9.5</v>
      </c>
    </row>
    <row r="42" spans="1:16" x14ac:dyDescent="0.25">
      <c r="A42" s="9" t="s">
        <v>20</v>
      </c>
      <c r="B42" s="9" t="s">
        <v>31</v>
      </c>
      <c r="C42" s="9" t="s">
        <v>42</v>
      </c>
      <c r="D42" s="9" t="s">
        <v>162</v>
      </c>
      <c r="E42" s="10">
        <v>8.1999999999999993</v>
      </c>
      <c r="F42" s="10">
        <v>7.5</v>
      </c>
      <c r="G42" s="10">
        <v>10.3</v>
      </c>
      <c r="H42" s="10">
        <v>9.8000000000000007</v>
      </c>
      <c r="I42" s="10">
        <v>12.2</v>
      </c>
      <c r="J42" s="10">
        <v>9.4</v>
      </c>
      <c r="K42" s="10">
        <v>6.7</v>
      </c>
      <c r="L42" s="10">
        <v>8.3000000000000007</v>
      </c>
      <c r="M42" s="10">
        <v>8.8000000000000007</v>
      </c>
      <c r="N42" s="10">
        <v>10</v>
      </c>
      <c r="O42" s="10">
        <v>10.5</v>
      </c>
      <c r="P42" s="10">
        <v>7.1</v>
      </c>
    </row>
    <row r="43" spans="1:16" x14ac:dyDescent="0.25">
      <c r="A43" s="9" t="s">
        <v>20</v>
      </c>
      <c r="B43" s="9" t="s">
        <v>31</v>
      </c>
      <c r="C43" s="9" t="s">
        <v>42</v>
      </c>
      <c r="D43" s="9" t="s">
        <v>163</v>
      </c>
      <c r="E43" s="10">
        <v>0.5</v>
      </c>
      <c r="F43" s="10">
        <v>1.8</v>
      </c>
      <c r="G43" s="10">
        <v>0.9</v>
      </c>
      <c r="H43" s="10">
        <v>1.6</v>
      </c>
      <c r="I43" s="10">
        <v>1.6</v>
      </c>
      <c r="J43" s="10">
        <v>2</v>
      </c>
      <c r="K43" s="10">
        <v>2.2000000000000002</v>
      </c>
      <c r="L43" s="10">
        <v>2.2999999999999998</v>
      </c>
      <c r="M43" s="10">
        <v>1.6</v>
      </c>
      <c r="N43" s="10">
        <v>1.3</v>
      </c>
      <c r="O43" s="10">
        <v>1.9</v>
      </c>
      <c r="P43" s="10">
        <v>3.5</v>
      </c>
    </row>
    <row r="44" spans="1:16" x14ac:dyDescent="0.25">
      <c r="A44" s="9" t="s">
        <v>20</v>
      </c>
      <c r="B44" s="9" t="s">
        <v>31</v>
      </c>
      <c r="C44" s="9" t="s">
        <v>42</v>
      </c>
      <c r="D44" s="9" t="s">
        <v>164</v>
      </c>
      <c r="E44" s="10">
        <v>2.8</v>
      </c>
      <c r="F44" s="10">
        <v>2.6</v>
      </c>
      <c r="G44" s="10">
        <v>3.4</v>
      </c>
      <c r="H44" s="10">
        <v>4</v>
      </c>
      <c r="I44" s="10">
        <v>3.6</v>
      </c>
      <c r="J44" s="10">
        <v>2.9</v>
      </c>
      <c r="K44" s="10">
        <v>3</v>
      </c>
      <c r="L44" s="10">
        <v>2.9</v>
      </c>
      <c r="M44" s="10">
        <v>3.2</v>
      </c>
      <c r="N44" s="10">
        <v>2.6</v>
      </c>
      <c r="O44" s="10">
        <v>2.6</v>
      </c>
      <c r="P44" s="10">
        <v>2.2999999999999998</v>
      </c>
    </row>
    <row r="45" spans="1:16" x14ac:dyDescent="0.25">
      <c r="A45" s="9" t="s">
        <v>20</v>
      </c>
      <c r="B45" s="9" t="s">
        <v>31</v>
      </c>
      <c r="C45" s="9" t="s">
        <v>42</v>
      </c>
      <c r="D45" s="9" t="s">
        <v>165</v>
      </c>
      <c r="E45" s="10">
        <v>0.3</v>
      </c>
      <c r="F45" s="10">
        <v>0.4</v>
      </c>
      <c r="G45" s="10">
        <v>0.4</v>
      </c>
      <c r="H45" s="10">
        <v>0.4</v>
      </c>
      <c r="I45" s="10">
        <v>0.5</v>
      </c>
      <c r="J45" s="10">
        <v>0.3</v>
      </c>
      <c r="K45" s="10">
        <v>0.3</v>
      </c>
      <c r="L45" s="10">
        <v>0.5</v>
      </c>
      <c r="M45" s="10">
        <v>0.7</v>
      </c>
      <c r="N45" s="10">
        <v>0.3</v>
      </c>
      <c r="O45" s="10">
        <v>0.3</v>
      </c>
      <c r="P45" s="10">
        <v>0.2</v>
      </c>
    </row>
    <row r="46" spans="1:16" x14ac:dyDescent="0.25">
      <c r="A46" s="9" t="s">
        <v>20</v>
      </c>
      <c r="B46" s="9" t="s">
        <v>31</v>
      </c>
      <c r="C46" s="9" t="s">
        <v>43</v>
      </c>
      <c r="D46" s="9" t="s">
        <v>166</v>
      </c>
      <c r="E46" s="10">
        <v>16.399999999999999</v>
      </c>
      <c r="F46" s="10">
        <v>17.7</v>
      </c>
      <c r="G46" s="10">
        <v>19.3</v>
      </c>
      <c r="H46" s="10">
        <v>25.2</v>
      </c>
      <c r="I46" s="10">
        <v>21.6</v>
      </c>
      <c r="J46" s="10">
        <v>22.1</v>
      </c>
      <c r="K46" s="10">
        <v>17.3</v>
      </c>
      <c r="L46" s="10">
        <v>25</v>
      </c>
      <c r="M46" s="10">
        <v>28.9</v>
      </c>
      <c r="N46" s="10">
        <v>34.200000000000003</v>
      </c>
      <c r="O46" s="10">
        <v>34.9</v>
      </c>
      <c r="P46" s="10">
        <v>50.8</v>
      </c>
    </row>
    <row r="47" spans="1:16" x14ac:dyDescent="0.25">
      <c r="A47" s="9" t="s">
        <v>20</v>
      </c>
      <c r="B47" s="9" t="s">
        <v>31</v>
      </c>
      <c r="C47" s="9" t="s">
        <v>43</v>
      </c>
      <c r="D47" s="9" t="s">
        <v>167</v>
      </c>
      <c r="E47" s="10">
        <v>6.8</v>
      </c>
      <c r="F47" s="10">
        <v>5.6</v>
      </c>
      <c r="G47" s="10">
        <v>6.6</v>
      </c>
      <c r="H47" s="10">
        <v>6.2</v>
      </c>
      <c r="I47" s="10">
        <v>7.4</v>
      </c>
      <c r="J47" s="10">
        <v>4.5999999999999996</v>
      </c>
      <c r="K47" s="10">
        <v>3.6</v>
      </c>
      <c r="L47" s="10">
        <v>5.0999999999999996</v>
      </c>
      <c r="M47" s="10">
        <v>4.5999999999999996</v>
      </c>
      <c r="N47" s="10">
        <v>4.5</v>
      </c>
      <c r="O47" s="10">
        <v>4.2</v>
      </c>
      <c r="P47" s="10">
        <v>6.9</v>
      </c>
    </row>
    <row r="48" spans="1:16" x14ac:dyDescent="0.25">
      <c r="A48" s="9" t="s">
        <v>20</v>
      </c>
      <c r="B48" s="9" t="s">
        <v>31</v>
      </c>
      <c r="C48" s="9" t="s">
        <v>43</v>
      </c>
      <c r="D48" s="9" t="s">
        <v>168</v>
      </c>
      <c r="E48" s="10">
        <v>3</v>
      </c>
      <c r="F48" s="10">
        <v>3.9</v>
      </c>
      <c r="G48" s="10">
        <v>2.8</v>
      </c>
      <c r="H48" s="10">
        <v>4.7</v>
      </c>
      <c r="I48" s="10">
        <v>4.5</v>
      </c>
      <c r="J48" s="10">
        <v>3.5</v>
      </c>
      <c r="K48" s="10">
        <v>4.8</v>
      </c>
      <c r="L48" s="10">
        <v>5.5</v>
      </c>
      <c r="M48" s="10">
        <v>5</v>
      </c>
      <c r="N48" s="10">
        <v>6.2</v>
      </c>
      <c r="O48" s="10">
        <v>5.4</v>
      </c>
      <c r="P48" s="10">
        <v>4.3</v>
      </c>
    </row>
    <row r="49" spans="1:16" x14ac:dyDescent="0.25">
      <c r="A49" s="9" t="s">
        <v>20</v>
      </c>
      <c r="B49" s="9" t="s">
        <v>31</v>
      </c>
      <c r="C49" s="9" t="s">
        <v>44</v>
      </c>
      <c r="D49" s="9" t="s">
        <v>169</v>
      </c>
      <c r="E49" s="10">
        <v>0.2</v>
      </c>
      <c r="F49" s="10">
        <v>0.4</v>
      </c>
      <c r="G49" s="10">
        <v>0.6</v>
      </c>
      <c r="H49" s="10">
        <v>1.2</v>
      </c>
      <c r="I49" s="10">
        <v>1.5</v>
      </c>
      <c r="J49" s="10">
        <v>1.8</v>
      </c>
      <c r="K49" s="10">
        <v>1.1000000000000001</v>
      </c>
      <c r="L49" s="10">
        <v>2.5</v>
      </c>
      <c r="M49" s="10">
        <v>3.4</v>
      </c>
      <c r="N49" s="10">
        <v>1.7</v>
      </c>
      <c r="O49" s="10">
        <v>1</v>
      </c>
      <c r="P49" s="10">
        <v>0.8</v>
      </c>
    </row>
    <row r="50" spans="1:16" x14ac:dyDescent="0.25">
      <c r="A50" s="9" t="s">
        <v>20</v>
      </c>
      <c r="B50" s="9" t="s">
        <v>31</v>
      </c>
      <c r="C50" s="9" t="s">
        <v>44</v>
      </c>
      <c r="D50" s="9" t="s">
        <v>170</v>
      </c>
      <c r="E50" s="10">
        <v>0.3</v>
      </c>
      <c r="F50" s="10">
        <v>0.4</v>
      </c>
      <c r="G50" s="10">
        <v>1.2</v>
      </c>
      <c r="H50" s="10">
        <v>2.1</v>
      </c>
      <c r="I50" s="10">
        <v>4.8</v>
      </c>
      <c r="J50" s="10">
        <v>3.6</v>
      </c>
      <c r="K50" s="10">
        <v>3.4</v>
      </c>
      <c r="L50" s="10">
        <v>4.0999999999999996</v>
      </c>
      <c r="M50" s="10">
        <v>5.9</v>
      </c>
      <c r="N50" s="10">
        <v>7.2</v>
      </c>
      <c r="O50" s="10">
        <v>9.6999999999999993</v>
      </c>
      <c r="P50" s="10">
        <v>8.5</v>
      </c>
    </row>
    <row r="51" spans="1:16" x14ac:dyDescent="0.25">
      <c r="A51" s="9" t="s">
        <v>20</v>
      </c>
      <c r="B51" s="9" t="s">
        <v>31</v>
      </c>
      <c r="C51" s="9" t="s">
        <v>44</v>
      </c>
      <c r="D51" s="9" t="s">
        <v>171</v>
      </c>
      <c r="E51" s="10">
        <v>0</v>
      </c>
      <c r="F51" s="10">
        <v>0</v>
      </c>
      <c r="G51" s="10">
        <v>0.1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</row>
    <row r="52" spans="1:16" x14ac:dyDescent="0.25">
      <c r="A52" s="9" t="s">
        <v>20</v>
      </c>
      <c r="B52" s="9" t="s">
        <v>31</v>
      </c>
      <c r="C52" s="9" t="s">
        <v>44</v>
      </c>
      <c r="D52" s="9" t="s">
        <v>172</v>
      </c>
      <c r="E52" s="10">
        <v>0.1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</row>
    <row r="53" spans="1:16" x14ac:dyDescent="0.25">
      <c r="A53" s="9" t="s">
        <v>20</v>
      </c>
      <c r="B53" s="9" t="s">
        <v>31</v>
      </c>
      <c r="C53" s="9" t="s">
        <v>45</v>
      </c>
      <c r="D53" s="9" t="s">
        <v>173</v>
      </c>
      <c r="E53" s="10">
        <v>6.8</v>
      </c>
      <c r="F53" s="10">
        <v>7.3</v>
      </c>
      <c r="G53" s="10">
        <v>6.3</v>
      </c>
      <c r="H53" s="10">
        <v>5.6</v>
      </c>
      <c r="I53" s="10">
        <v>5.0999999999999996</v>
      </c>
      <c r="J53" s="10">
        <v>3.2</v>
      </c>
      <c r="K53" s="10">
        <v>2.9</v>
      </c>
      <c r="L53" s="10">
        <v>6.7</v>
      </c>
      <c r="M53" s="10">
        <v>3.7</v>
      </c>
      <c r="N53" s="10">
        <v>3.6</v>
      </c>
      <c r="O53" s="10">
        <v>1.3</v>
      </c>
      <c r="P53" s="10">
        <v>1.3</v>
      </c>
    </row>
    <row r="54" spans="1:16" x14ac:dyDescent="0.25">
      <c r="A54" s="9" t="s">
        <v>20</v>
      </c>
      <c r="B54" s="9" t="s">
        <v>31</v>
      </c>
      <c r="C54" s="9" t="s">
        <v>46</v>
      </c>
      <c r="D54" s="9" t="s">
        <v>174</v>
      </c>
      <c r="E54" s="10">
        <v>3.8</v>
      </c>
      <c r="F54" s="10">
        <v>22.2</v>
      </c>
      <c r="G54" s="10">
        <v>21.2</v>
      </c>
      <c r="H54" s="10">
        <v>32.200000000000003</v>
      </c>
      <c r="I54" s="10">
        <v>16.600000000000001</v>
      </c>
      <c r="J54" s="10">
        <v>15.8</v>
      </c>
      <c r="K54" s="10">
        <v>13.5</v>
      </c>
      <c r="L54" s="10">
        <v>17.2</v>
      </c>
      <c r="M54" s="10">
        <v>20.100000000000001</v>
      </c>
      <c r="N54" s="10">
        <v>19.8</v>
      </c>
      <c r="O54" s="10">
        <v>12</v>
      </c>
      <c r="P54" s="10">
        <v>11.8</v>
      </c>
    </row>
    <row r="55" spans="1:16" x14ac:dyDescent="0.25">
      <c r="A55" s="9" t="s">
        <v>20</v>
      </c>
      <c r="B55" s="9" t="s">
        <v>31</v>
      </c>
      <c r="C55" s="9" t="s">
        <v>46</v>
      </c>
      <c r="D55" s="9" t="s">
        <v>175</v>
      </c>
      <c r="E55" s="10">
        <v>0.4</v>
      </c>
      <c r="F55" s="10">
        <v>0.7</v>
      </c>
      <c r="G55" s="10">
        <v>2.8</v>
      </c>
      <c r="H55" s="10">
        <v>3.8</v>
      </c>
      <c r="I55" s="10">
        <v>5.9</v>
      </c>
      <c r="J55" s="10">
        <v>3.9</v>
      </c>
      <c r="K55" s="10">
        <v>3.3</v>
      </c>
      <c r="L55" s="10">
        <v>4.9000000000000004</v>
      </c>
      <c r="M55" s="10">
        <v>5.6</v>
      </c>
      <c r="N55" s="10">
        <v>3.6</v>
      </c>
      <c r="O55" s="10">
        <v>1.9</v>
      </c>
      <c r="P55" s="10">
        <v>4.0999999999999996</v>
      </c>
    </row>
    <row r="56" spans="1:16" x14ac:dyDescent="0.25">
      <c r="A56" s="9" t="s">
        <v>20</v>
      </c>
      <c r="B56" s="9" t="s">
        <v>31</v>
      </c>
      <c r="C56" s="9" t="s">
        <v>46</v>
      </c>
      <c r="D56" s="9" t="s">
        <v>176</v>
      </c>
      <c r="E56" s="10">
        <v>6.1</v>
      </c>
      <c r="F56" s="10">
        <v>7.2</v>
      </c>
      <c r="G56" s="10">
        <v>9.6999999999999993</v>
      </c>
      <c r="H56" s="10">
        <v>11</v>
      </c>
      <c r="I56" s="10">
        <v>14.3</v>
      </c>
      <c r="J56" s="10">
        <v>10.9</v>
      </c>
      <c r="K56" s="10">
        <v>8.6999999999999993</v>
      </c>
      <c r="L56" s="10">
        <v>12.5</v>
      </c>
      <c r="M56" s="10">
        <v>11.9</v>
      </c>
      <c r="N56" s="10">
        <v>12.5</v>
      </c>
      <c r="O56" s="10">
        <v>20.6</v>
      </c>
      <c r="P56" s="10">
        <v>11.7</v>
      </c>
    </row>
    <row r="57" spans="1:16" x14ac:dyDescent="0.25">
      <c r="A57" s="9" t="s">
        <v>20</v>
      </c>
      <c r="B57" s="9" t="s">
        <v>31</v>
      </c>
      <c r="C57" s="9" t="s">
        <v>46</v>
      </c>
      <c r="D57" s="9" t="s">
        <v>177</v>
      </c>
      <c r="E57" s="10">
        <v>8.1999999999999993</v>
      </c>
      <c r="F57" s="10">
        <v>-8</v>
      </c>
      <c r="G57" s="10">
        <v>-1.1000000000000001</v>
      </c>
      <c r="H57" s="10">
        <v>0</v>
      </c>
      <c r="I57" s="10">
        <v>-0.9</v>
      </c>
      <c r="J57" s="10">
        <v>-0.3</v>
      </c>
      <c r="K57" s="10">
        <v>-0.3</v>
      </c>
      <c r="L57" s="10">
        <v>-0.4</v>
      </c>
      <c r="M57" s="10">
        <v>-0.4</v>
      </c>
      <c r="N57" s="10">
        <v>-0.8</v>
      </c>
      <c r="O57" s="10">
        <v>-0.1</v>
      </c>
      <c r="P57" s="10">
        <v>-0.5</v>
      </c>
    </row>
    <row r="58" spans="1:16" x14ac:dyDescent="0.25">
      <c r="A58" s="9" t="s">
        <v>20</v>
      </c>
      <c r="B58" s="9" t="s">
        <v>31</v>
      </c>
      <c r="C58" s="9" t="s">
        <v>5</v>
      </c>
      <c r="D58" s="9" t="s">
        <v>5</v>
      </c>
      <c r="E58" s="10">
        <v>4</v>
      </c>
      <c r="F58" s="10">
        <v>2.2000000000000002</v>
      </c>
      <c r="G58" s="10">
        <v>5.5</v>
      </c>
      <c r="H58" s="10">
        <v>5.2</v>
      </c>
      <c r="I58" s="10">
        <v>5.8</v>
      </c>
      <c r="J58" s="10">
        <v>4.8</v>
      </c>
      <c r="K58" s="10">
        <v>5</v>
      </c>
      <c r="L58" s="10">
        <v>5.5</v>
      </c>
      <c r="M58" s="10">
        <v>5.8</v>
      </c>
      <c r="N58" s="10">
        <v>10.199999999999999</v>
      </c>
      <c r="O58" s="10">
        <v>8.6999999999999993</v>
      </c>
      <c r="P58" s="10">
        <v>7.4</v>
      </c>
    </row>
    <row r="59" spans="1:16" x14ac:dyDescent="0.25">
      <c r="A59" s="9" t="s">
        <v>20</v>
      </c>
      <c r="B59" s="9" t="s">
        <v>31</v>
      </c>
      <c r="C59" s="9" t="s">
        <v>95</v>
      </c>
      <c r="D59" s="9" t="s">
        <v>178</v>
      </c>
      <c r="E59" s="10">
        <v>0</v>
      </c>
      <c r="F59" s="10">
        <v>0</v>
      </c>
      <c r="G59" s="10">
        <v>0</v>
      </c>
      <c r="H59" s="10">
        <v>0</v>
      </c>
      <c r="I59" s="10">
        <v>-0.1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</row>
    <row r="60" spans="1:16" x14ac:dyDescent="0.25">
      <c r="A60" s="9" t="s">
        <v>20</v>
      </c>
      <c r="B60" s="9" t="s">
        <v>29</v>
      </c>
      <c r="C60" s="9" t="s">
        <v>47</v>
      </c>
      <c r="D60" s="9" t="s">
        <v>47</v>
      </c>
      <c r="E60" s="10">
        <v>0.1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0.5</v>
      </c>
      <c r="L60" s="10">
        <v>0</v>
      </c>
      <c r="M60" s="10">
        <v>0</v>
      </c>
      <c r="N60" s="10">
        <v>0</v>
      </c>
      <c r="O60" s="10">
        <v>0</v>
      </c>
      <c r="P60" s="10">
        <v>0.3</v>
      </c>
    </row>
    <row r="61" spans="1:16" x14ac:dyDescent="0.25">
      <c r="A61" s="9" t="s">
        <v>20</v>
      </c>
      <c r="B61" s="9" t="s">
        <v>29</v>
      </c>
      <c r="C61" s="9" t="s">
        <v>48</v>
      </c>
      <c r="D61" s="9" t="s">
        <v>179</v>
      </c>
      <c r="E61" s="10">
        <v>0</v>
      </c>
      <c r="F61" s="10">
        <v>0.3</v>
      </c>
      <c r="G61" s="10">
        <v>0.1</v>
      </c>
      <c r="H61" s="10">
        <v>0.1</v>
      </c>
      <c r="I61" s="10">
        <v>0.1</v>
      </c>
      <c r="J61" s="10">
        <v>0</v>
      </c>
      <c r="K61" s="10">
        <v>0.1</v>
      </c>
      <c r="L61" s="10">
        <v>0</v>
      </c>
      <c r="M61" s="10">
        <v>0.2</v>
      </c>
      <c r="N61" s="10">
        <v>0.1</v>
      </c>
      <c r="O61" s="10">
        <v>0</v>
      </c>
      <c r="P61" s="10">
        <v>0.1</v>
      </c>
    </row>
    <row r="62" spans="1:16" x14ac:dyDescent="0.25">
      <c r="A62" s="9" t="s">
        <v>20</v>
      </c>
      <c r="B62" s="9" t="s">
        <v>29</v>
      </c>
      <c r="C62" s="9" t="s">
        <v>93</v>
      </c>
      <c r="D62" s="9" t="s">
        <v>180</v>
      </c>
      <c r="E62" s="10">
        <v>0</v>
      </c>
      <c r="F62" s="10">
        <v>0</v>
      </c>
      <c r="G62" s="10">
        <v>0</v>
      </c>
      <c r="H62" s="10">
        <v>0.2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</row>
    <row r="63" spans="1:16" x14ac:dyDescent="0.25">
      <c r="A63" s="9" t="s">
        <v>20</v>
      </c>
      <c r="B63" s="9" t="s">
        <v>29</v>
      </c>
      <c r="C63" s="9" t="s">
        <v>49</v>
      </c>
      <c r="D63" s="9" t="s">
        <v>181</v>
      </c>
      <c r="E63" s="10">
        <v>-0.2</v>
      </c>
      <c r="F63" s="10">
        <v>-0.3</v>
      </c>
      <c r="G63" s="10">
        <v>-0.2</v>
      </c>
      <c r="H63" s="10">
        <v>1</v>
      </c>
      <c r="I63" s="10">
        <v>0</v>
      </c>
      <c r="J63" s="10">
        <v>0</v>
      </c>
      <c r="K63" s="10">
        <v>0.1</v>
      </c>
      <c r="L63" s="10">
        <v>-0.1</v>
      </c>
      <c r="M63" s="10">
        <v>0</v>
      </c>
      <c r="N63" s="10">
        <v>0.1</v>
      </c>
      <c r="O63" s="10">
        <v>0</v>
      </c>
      <c r="P63" s="10">
        <v>0</v>
      </c>
    </row>
    <row r="64" spans="1:16" x14ac:dyDescent="0.25">
      <c r="A64" s="9" t="s">
        <v>32</v>
      </c>
      <c r="B64" s="9" t="s">
        <v>79</v>
      </c>
      <c r="C64" s="9" t="s">
        <v>50</v>
      </c>
      <c r="D64" s="9" t="s">
        <v>51</v>
      </c>
      <c r="E64" s="10">
        <v>27.6</v>
      </c>
      <c r="F64" s="10">
        <v>24.7</v>
      </c>
      <c r="G64" s="10">
        <v>19.2</v>
      </c>
      <c r="H64" s="10">
        <v>17.600000000000001</v>
      </c>
      <c r="I64" s="10">
        <v>17.600000000000001</v>
      </c>
      <c r="J64" s="10">
        <v>19.2</v>
      </c>
      <c r="K64" s="10">
        <v>11.1</v>
      </c>
      <c r="L64" s="10">
        <v>14.3</v>
      </c>
      <c r="M64" s="10">
        <v>13.5</v>
      </c>
      <c r="N64" s="10">
        <v>14.7</v>
      </c>
      <c r="O64" s="10">
        <v>12.4</v>
      </c>
      <c r="P64" s="10">
        <v>12.4</v>
      </c>
    </row>
    <row r="65" spans="1:16" x14ac:dyDescent="0.25">
      <c r="A65" s="9" t="s">
        <v>32</v>
      </c>
      <c r="B65" s="9" t="s">
        <v>79</v>
      </c>
      <c r="C65" s="9" t="s">
        <v>50</v>
      </c>
      <c r="D65" s="9" t="s">
        <v>182</v>
      </c>
      <c r="E65" s="10">
        <v>10.7</v>
      </c>
      <c r="F65" s="10">
        <v>10.5</v>
      </c>
      <c r="G65" s="10">
        <v>10.5</v>
      </c>
      <c r="H65" s="10">
        <v>10.8</v>
      </c>
      <c r="I65" s="10">
        <v>9.8000000000000007</v>
      </c>
      <c r="J65" s="10">
        <v>7.5</v>
      </c>
      <c r="K65" s="10">
        <v>7.9</v>
      </c>
      <c r="L65" s="10">
        <v>8.6999999999999993</v>
      </c>
      <c r="M65" s="10">
        <v>8.8000000000000007</v>
      </c>
      <c r="N65" s="10">
        <v>8.6999999999999993</v>
      </c>
      <c r="O65" s="10">
        <v>8.1</v>
      </c>
      <c r="P65" s="10">
        <v>8.6</v>
      </c>
    </row>
    <row r="66" spans="1:16" x14ac:dyDescent="0.25">
      <c r="A66" s="9" t="s">
        <v>32</v>
      </c>
      <c r="B66" s="9" t="s">
        <v>79</v>
      </c>
      <c r="C66" s="9" t="s">
        <v>51</v>
      </c>
      <c r="D66" s="9" t="s">
        <v>183</v>
      </c>
      <c r="E66" s="10">
        <v>9.1</v>
      </c>
      <c r="F66" s="10">
        <v>9.4</v>
      </c>
      <c r="G66" s="10">
        <v>8.6999999999999993</v>
      </c>
      <c r="H66" s="10">
        <v>6.4</v>
      </c>
      <c r="I66" s="10">
        <v>7.6</v>
      </c>
      <c r="J66" s="10">
        <v>5.3</v>
      </c>
      <c r="K66" s="10">
        <v>6.5</v>
      </c>
      <c r="L66" s="10">
        <v>7.2</v>
      </c>
      <c r="M66" s="10">
        <v>7.2</v>
      </c>
      <c r="N66" s="10">
        <v>6.2</v>
      </c>
      <c r="O66" s="10">
        <v>7.5</v>
      </c>
      <c r="P66" s="10">
        <v>6.1</v>
      </c>
    </row>
    <row r="67" spans="1:16" x14ac:dyDescent="0.25">
      <c r="A67" s="9" t="s">
        <v>32</v>
      </c>
      <c r="B67" s="9" t="s">
        <v>79</v>
      </c>
      <c r="C67" s="9" t="s">
        <v>51</v>
      </c>
      <c r="D67" s="9" t="s">
        <v>184</v>
      </c>
      <c r="E67" s="10">
        <v>2.9</v>
      </c>
      <c r="F67" s="10">
        <v>3.4</v>
      </c>
      <c r="G67" s="10">
        <v>3.5</v>
      </c>
      <c r="H67" s="10">
        <v>2.9</v>
      </c>
      <c r="I67" s="10">
        <v>3.1</v>
      </c>
      <c r="J67" s="10">
        <v>2.2000000000000002</v>
      </c>
      <c r="K67" s="10">
        <v>2</v>
      </c>
      <c r="L67" s="10">
        <v>1.9</v>
      </c>
      <c r="M67" s="10">
        <v>3.3</v>
      </c>
      <c r="N67" s="10">
        <v>2.2000000000000002</v>
      </c>
      <c r="O67" s="10">
        <v>2.1</v>
      </c>
      <c r="P67" s="10">
        <v>1.7</v>
      </c>
    </row>
    <row r="68" spans="1:16" x14ac:dyDescent="0.25">
      <c r="A68" s="9" t="s">
        <v>32</v>
      </c>
      <c r="B68" s="9" t="s">
        <v>79</v>
      </c>
      <c r="C68" s="9" t="s">
        <v>51</v>
      </c>
      <c r="D68" s="9" t="s">
        <v>185</v>
      </c>
      <c r="E68" s="10">
        <v>2</v>
      </c>
      <c r="F68" s="10">
        <v>0.6</v>
      </c>
      <c r="G68" s="10">
        <v>2.9</v>
      </c>
      <c r="H68" s="10">
        <v>2</v>
      </c>
      <c r="I68" s="10">
        <v>1.8</v>
      </c>
      <c r="J68" s="10">
        <v>1.8</v>
      </c>
      <c r="K68" s="10">
        <v>1.8</v>
      </c>
      <c r="L68" s="10">
        <v>1.7</v>
      </c>
      <c r="M68" s="10">
        <v>1.9</v>
      </c>
      <c r="N68" s="10">
        <v>2.2000000000000002</v>
      </c>
      <c r="O68" s="10">
        <v>2.6</v>
      </c>
      <c r="P68" s="10">
        <v>2.1</v>
      </c>
    </row>
    <row r="69" spans="1:16" x14ac:dyDescent="0.25">
      <c r="A69" s="9" t="s">
        <v>32</v>
      </c>
      <c r="B69" s="9" t="s">
        <v>79</v>
      </c>
      <c r="C69" s="9" t="s">
        <v>51</v>
      </c>
      <c r="D69" s="9" t="s">
        <v>186</v>
      </c>
      <c r="E69" s="10">
        <v>0.5</v>
      </c>
      <c r="F69" s="10">
        <v>1.3</v>
      </c>
      <c r="G69" s="10">
        <v>1.1000000000000001</v>
      </c>
      <c r="H69" s="10">
        <v>0.8</v>
      </c>
      <c r="I69" s="10">
        <v>0.6</v>
      </c>
      <c r="J69" s="10">
        <v>0.5</v>
      </c>
      <c r="K69" s="10">
        <v>0.7</v>
      </c>
      <c r="L69" s="10">
        <v>0.6</v>
      </c>
      <c r="M69" s="10">
        <v>0.8</v>
      </c>
      <c r="N69" s="10">
        <v>0.5</v>
      </c>
      <c r="O69" s="10">
        <v>0.7</v>
      </c>
      <c r="P69" s="10">
        <v>0.8</v>
      </c>
    </row>
    <row r="70" spans="1:16" x14ac:dyDescent="0.25">
      <c r="A70" s="9" t="s">
        <v>32</v>
      </c>
      <c r="B70" s="9" t="s">
        <v>79</v>
      </c>
      <c r="C70" s="9" t="s">
        <v>51</v>
      </c>
      <c r="D70" s="9" t="s">
        <v>187</v>
      </c>
      <c r="E70" s="10">
        <v>0.2</v>
      </c>
      <c r="F70" s="10">
        <v>0.2</v>
      </c>
      <c r="G70" s="10">
        <v>0.2</v>
      </c>
      <c r="H70" s="10">
        <v>0.1</v>
      </c>
      <c r="I70" s="10">
        <v>0.2</v>
      </c>
      <c r="J70" s="10">
        <v>0.1</v>
      </c>
      <c r="K70" s="10">
        <v>0.1</v>
      </c>
      <c r="L70" s="10">
        <v>0.1</v>
      </c>
      <c r="M70" s="10">
        <v>0.2</v>
      </c>
      <c r="N70" s="10">
        <v>0.3</v>
      </c>
      <c r="O70" s="10">
        <v>0.1</v>
      </c>
      <c r="P70" s="10">
        <v>0</v>
      </c>
    </row>
    <row r="71" spans="1:16" x14ac:dyDescent="0.25">
      <c r="A71" s="9" t="s">
        <v>32</v>
      </c>
      <c r="B71" s="9" t="s">
        <v>79</v>
      </c>
      <c r="C71" s="9" t="s">
        <v>51</v>
      </c>
      <c r="D71" s="9" t="s">
        <v>188</v>
      </c>
      <c r="E71" s="10">
        <v>0</v>
      </c>
      <c r="F71" s="10">
        <v>0.2</v>
      </c>
      <c r="G71" s="10">
        <v>0.2</v>
      </c>
      <c r="H71" s="10">
        <v>0</v>
      </c>
      <c r="I71" s="10">
        <v>0.3</v>
      </c>
      <c r="J71" s="10">
        <v>0.3</v>
      </c>
      <c r="K71" s="10">
        <v>0.2</v>
      </c>
      <c r="L71" s="10">
        <v>0.1</v>
      </c>
      <c r="M71" s="10">
        <v>0.2</v>
      </c>
      <c r="N71" s="10">
        <v>0.2</v>
      </c>
      <c r="O71" s="10">
        <v>0.2</v>
      </c>
      <c r="P71" s="10">
        <v>0.6</v>
      </c>
    </row>
    <row r="72" spans="1:16" x14ac:dyDescent="0.25">
      <c r="A72" s="9" t="s">
        <v>32</v>
      </c>
      <c r="B72" s="9" t="s">
        <v>79</v>
      </c>
      <c r="C72" s="9" t="s">
        <v>51</v>
      </c>
      <c r="D72" s="9" t="s">
        <v>189</v>
      </c>
      <c r="E72" s="10">
        <v>1.5</v>
      </c>
      <c r="F72" s="10">
        <v>1.1000000000000001</v>
      </c>
      <c r="G72" s="10">
        <v>0.2</v>
      </c>
      <c r="H72" s="10">
        <v>0.8</v>
      </c>
      <c r="I72" s="10">
        <v>1</v>
      </c>
      <c r="J72" s="10">
        <v>-0.4</v>
      </c>
      <c r="K72" s="10">
        <v>0.2</v>
      </c>
      <c r="L72" s="10">
        <v>0.3</v>
      </c>
      <c r="M72" s="10">
        <v>-0.2</v>
      </c>
      <c r="N72" s="10">
        <v>0.3</v>
      </c>
      <c r="O72" s="10">
        <v>0.4</v>
      </c>
      <c r="P72" s="10">
        <v>-0.7</v>
      </c>
    </row>
    <row r="73" spans="1:16" x14ac:dyDescent="0.25">
      <c r="A73" s="9" t="s">
        <v>32</v>
      </c>
      <c r="B73" s="9" t="s">
        <v>79</v>
      </c>
      <c r="C73" s="9" t="s">
        <v>33</v>
      </c>
      <c r="D73" s="9" t="s">
        <v>190</v>
      </c>
      <c r="E73" s="10">
        <v>9.9</v>
      </c>
      <c r="F73" s="10">
        <v>8.3000000000000007</v>
      </c>
      <c r="G73" s="10">
        <v>8</v>
      </c>
      <c r="H73" s="10">
        <v>8.1</v>
      </c>
      <c r="I73" s="10">
        <v>9.3000000000000007</v>
      </c>
      <c r="J73" s="10">
        <v>7.6</v>
      </c>
      <c r="K73" s="10">
        <v>8.1</v>
      </c>
      <c r="L73" s="10">
        <v>8.3000000000000007</v>
      </c>
      <c r="M73" s="10">
        <v>8.5</v>
      </c>
      <c r="N73" s="10">
        <v>8.1</v>
      </c>
      <c r="O73" s="10">
        <v>9.1999999999999993</v>
      </c>
      <c r="P73" s="10">
        <v>9</v>
      </c>
    </row>
    <row r="74" spans="1:16" x14ac:dyDescent="0.25">
      <c r="A74" s="9" t="s">
        <v>32</v>
      </c>
      <c r="B74" s="9" t="s">
        <v>79</v>
      </c>
      <c r="C74" s="9" t="s">
        <v>33</v>
      </c>
      <c r="D74" s="9" t="s">
        <v>191</v>
      </c>
      <c r="E74" s="10">
        <v>3.5</v>
      </c>
      <c r="F74" s="10">
        <v>1.9</v>
      </c>
      <c r="G74" s="10">
        <v>2.2000000000000002</v>
      </c>
      <c r="H74" s="10">
        <v>3.3</v>
      </c>
      <c r="I74" s="10">
        <v>2.5</v>
      </c>
      <c r="J74" s="10">
        <v>2.1</v>
      </c>
      <c r="K74" s="10">
        <v>2.1</v>
      </c>
      <c r="L74" s="10">
        <v>2.8</v>
      </c>
      <c r="M74" s="10">
        <v>3.4</v>
      </c>
      <c r="N74" s="10">
        <v>2.5</v>
      </c>
      <c r="O74" s="10">
        <v>2.2999999999999998</v>
      </c>
      <c r="P74" s="10">
        <v>2.8</v>
      </c>
    </row>
    <row r="75" spans="1:16" x14ac:dyDescent="0.25">
      <c r="A75" s="9" t="s">
        <v>32</v>
      </c>
      <c r="B75" s="9" t="s">
        <v>79</v>
      </c>
      <c r="C75" s="9" t="s">
        <v>33</v>
      </c>
      <c r="D75" s="9" t="s">
        <v>192</v>
      </c>
      <c r="E75" s="10">
        <v>0</v>
      </c>
      <c r="F75" s="10">
        <v>0</v>
      </c>
      <c r="G75" s="10">
        <v>0</v>
      </c>
      <c r="H75" s="10">
        <v>0.1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0.1</v>
      </c>
      <c r="O75" s="10">
        <v>0.2</v>
      </c>
      <c r="P75" s="10">
        <v>0.1</v>
      </c>
    </row>
    <row r="76" spans="1:16" x14ac:dyDescent="0.25">
      <c r="A76" s="9" t="s">
        <v>32</v>
      </c>
      <c r="B76" s="9" t="s">
        <v>79</v>
      </c>
      <c r="C76" s="9" t="s">
        <v>33</v>
      </c>
      <c r="D76" s="9" t="s">
        <v>193</v>
      </c>
      <c r="E76" s="10">
        <v>0.2</v>
      </c>
      <c r="F76" s="10">
        <v>0.2</v>
      </c>
      <c r="G76" s="10">
        <v>0.2</v>
      </c>
      <c r="H76" s="10">
        <v>0.2</v>
      </c>
      <c r="I76" s="10">
        <v>0.2</v>
      </c>
      <c r="J76" s="10">
        <v>0.1</v>
      </c>
      <c r="K76" s="10">
        <v>0.1</v>
      </c>
      <c r="L76" s="10">
        <v>0.2</v>
      </c>
      <c r="M76" s="10">
        <v>0.2</v>
      </c>
      <c r="N76" s="10">
        <v>0.2</v>
      </c>
      <c r="O76" s="10">
        <v>0.2</v>
      </c>
      <c r="P76" s="10">
        <v>0.2</v>
      </c>
    </row>
    <row r="77" spans="1:16" x14ac:dyDescent="0.25">
      <c r="A77" s="9" t="s">
        <v>32</v>
      </c>
      <c r="B77" s="9" t="s">
        <v>33</v>
      </c>
      <c r="C77" s="9" t="s">
        <v>80</v>
      </c>
      <c r="D77" s="9" t="s">
        <v>194</v>
      </c>
      <c r="E77" s="10">
        <v>19.3</v>
      </c>
      <c r="F77" s="10">
        <v>5.8</v>
      </c>
      <c r="G77" s="10">
        <v>1.1000000000000001</v>
      </c>
      <c r="H77" s="10">
        <v>0.1</v>
      </c>
      <c r="I77" s="10">
        <v>0.4</v>
      </c>
      <c r="J77" s="10">
        <v>3.3</v>
      </c>
      <c r="K77" s="10">
        <v>-0.3</v>
      </c>
      <c r="L77" s="10">
        <v>0</v>
      </c>
      <c r="M77" s="10">
        <v>0</v>
      </c>
      <c r="N77" s="10">
        <v>0</v>
      </c>
      <c r="O77" s="10">
        <v>0.1</v>
      </c>
      <c r="P77" s="10">
        <v>0.2</v>
      </c>
    </row>
    <row r="78" spans="1:16" x14ac:dyDescent="0.25">
      <c r="A78" s="9" t="s">
        <v>32</v>
      </c>
      <c r="B78" s="9" t="s">
        <v>33</v>
      </c>
      <c r="C78" s="9" t="s">
        <v>81</v>
      </c>
      <c r="D78" s="9" t="s">
        <v>81</v>
      </c>
      <c r="E78" s="10">
        <v>0.9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</row>
    <row r="79" spans="1:16" x14ac:dyDescent="0.25">
      <c r="A79" s="9" t="s">
        <v>32</v>
      </c>
      <c r="B79" s="9" t="s">
        <v>34</v>
      </c>
      <c r="C79" s="9" t="s">
        <v>52</v>
      </c>
      <c r="D79" s="9" t="s">
        <v>195</v>
      </c>
      <c r="E79" s="10">
        <v>14.4</v>
      </c>
      <c r="F79" s="10">
        <v>16.8</v>
      </c>
      <c r="G79" s="10">
        <v>15.3</v>
      </c>
      <c r="H79" s="10">
        <v>13.7</v>
      </c>
      <c r="I79" s="10">
        <v>13.1</v>
      </c>
      <c r="J79" s="10">
        <v>11.3</v>
      </c>
      <c r="K79" s="10">
        <v>10.1</v>
      </c>
      <c r="L79" s="10">
        <v>12.1</v>
      </c>
      <c r="M79" s="10">
        <v>13.2</v>
      </c>
      <c r="N79" s="10">
        <v>13.9</v>
      </c>
      <c r="O79" s="10">
        <v>31.7</v>
      </c>
      <c r="P79" s="10">
        <v>13.6</v>
      </c>
    </row>
    <row r="80" spans="1:16" x14ac:dyDescent="0.25">
      <c r="A80" s="9" t="s">
        <v>32</v>
      </c>
      <c r="B80" s="9" t="s">
        <v>34</v>
      </c>
      <c r="C80" s="9" t="s">
        <v>52</v>
      </c>
      <c r="D80" s="9" t="s">
        <v>196</v>
      </c>
      <c r="E80" s="10">
        <v>24.1</v>
      </c>
      <c r="F80" s="10">
        <v>25.5</v>
      </c>
      <c r="G80" s="10">
        <v>22.7</v>
      </c>
      <c r="H80" s="10">
        <v>22.9</v>
      </c>
      <c r="I80" s="10">
        <v>24.1</v>
      </c>
      <c r="J80" s="10">
        <v>22.1</v>
      </c>
      <c r="K80" s="10">
        <v>20.100000000000001</v>
      </c>
      <c r="L80" s="10">
        <v>27.8</v>
      </c>
      <c r="M80" s="10">
        <v>31</v>
      </c>
      <c r="N80" s="10">
        <v>36.700000000000003</v>
      </c>
      <c r="O80" s="10">
        <v>37.6</v>
      </c>
      <c r="P80" s="10">
        <v>56.3</v>
      </c>
    </row>
    <row r="81" spans="1:16" x14ac:dyDescent="0.25">
      <c r="A81" s="9" t="s">
        <v>32</v>
      </c>
      <c r="B81" s="9" t="s">
        <v>34</v>
      </c>
      <c r="C81" s="9" t="s">
        <v>52</v>
      </c>
      <c r="D81" s="9" t="s">
        <v>197</v>
      </c>
      <c r="E81" s="10">
        <v>9.1</v>
      </c>
      <c r="F81" s="10">
        <v>9.4</v>
      </c>
      <c r="G81" s="10">
        <v>9.6</v>
      </c>
      <c r="H81" s="10">
        <v>10.199999999999999</v>
      </c>
      <c r="I81" s="10">
        <v>7.9</v>
      </c>
      <c r="J81" s="10">
        <v>8.1</v>
      </c>
      <c r="K81" s="10">
        <v>7.1</v>
      </c>
      <c r="L81" s="10">
        <v>8.3000000000000007</v>
      </c>
      <c r="M81" s="10">
        <v>9.1999999999999993</v>
      </c>
      <c r="N81" s="10">
        <v>8</v>
      </c>
      <c r="O81" s="10">
        <v>8.8000000000000007</v>
      </c>
      <c r="P81" s="10">
        <v>10.9</v>
      </c>
    </row>
    <row r="82" spans="1:16" x14ac:dyDescent="0.25">
      <c r="A82" s="9" t="s">
        <v>32</v>
      </c>
      <c r="B82" s="9" t="s">
        <v>34</v>
      </c>
      <c r="C82" s="9" t="s">
        <v>53</v>
      </c>
      <c r="D82" s="9" t="s">
        <v>198</v>
      </c>
      <c r="E82" s="10">
        <v>6.2</v>
      </c>
      <c r="F82" s="10">
        <v>5.9</v>
      </c>
      <c r="G82" s="10">
        <v>6.8</v>
      </c>
      <c r="H82" s="10">
        <v>6.7</v>
      </c>
      <c r="I82" s="10">
        <v>6.5</v>
      </c>
      <c r="J82" s="10">
        <v>5.4</v>
      </c>
      <c r="K82" s="10">
        <v>6.2</v>
      </c>
      <c r="L82" s="10">
        <v>5.8</v>
      </c>
      <c r="M82" s="10">
        <v>6.7</v>
      </c>
      <c r="N82" s="10">
        <v>7.2</v>
      </c>
      <c r="O82" s="10">
        <v>6.9</v>
      </c>
      <c r="P82" s="10">
        <v>6.8</v>
      </c>
    </row>
    <row r="83" spans="1:16" x14ac:dyDescent="0.25">
      <c r="A83" s="9" t="s">
        <v>32</v>
      </c>
      <c r="B83" s="9" t="s">
        <v>34</v>
      </c>
      <c r="C83" s="9" t="s">
        <v>53</v>
      </c>
      <c r="D83" s="9" t="s">
        <v>199</v>
      </c>
      <c r="E83" s="10">
        <v>2.5</v>
      </c>
      <c r="F83" s="10">
        <v>2.1</v>
      </c>
      <c r="G83" s="10">
        <v>1.9</v>
      </c>
      <c r="H83" s="10">
        <v>2.4</v>
      </c>
      <c r="I83" s="10">
        <v>1.7</v>
      </c>
      <c r="J83" s="10">
        <v>1.9</v>
      </c>
      <c r="K83" s="10">
        <v>1.7</v>
      </c>
      <c r="L83" s="10">
        <v>1.8</v>
      </c>
      <c r="M83" s="10">
        <v>1.8</v>
      </c>
      <c r="N83" s="10">
        <v>2.1</v>
      </c>
      <c r="O83" s="10">
        <v>1.8</v>
      </c>
      <c r="P83" s="10">
        <v>2</v>
      </c>
    </row>
    <row r="84" spans="1:16" x14ac:dyDescent="0.25">
      <c r="A84" s="9" t="s">
        <v>32</v>
      </c>
      <c r="B84" s="9" t="s">
        <v>34</v>
      </c>
      <c r="C84" s="9" t="s">
        <v>53</v>
      </c>
      <c r="D84" s="9" t="s">
        <v>200</v>
      </c>
      <c r="E84" s="10">
        <v>3.8</v>
      </c>
      <c r="F84" s="10">
        <v>3</v>
      </c>
      <c r="G84" s="10">
        <v>3.1</v>
      </c>
      <c r="H84" s="10">
        <v>2.9</v>
      </c>
      <c r="I84" s="10">
        <v>3.5</v>
      </c>
      <c r="J84" s="10">
        <v>2.2000000000000002</v>
      </c>
      <c r="K84" s="10">
        <v>3.8</v>
      </c>
      <c r="L84" s="10">
        <v>3.3</v>
      </c>
      <c r="M84" s="10">
        <v>3</v>
      </c>
      <c r="N84" s="10">
        <v>3.5</v>
      </c>
      <c r="O84" s="10">
        <v>3.5</v>
      </c>
      <c r="P84" s="10">
        <v>2.8</v>
      </c>
    </row>
    <row r="85" spans="1:16" x14ac:dyDescent="0.25">
      <c r="A85" s="9" t="s">
        <v>32</v>
      </c>
      <c r="B85" s="9" t="s">
        <v>34</v>
      </c>
      <c r="C85" s="9" t="s">
        <v>53</v>
      </c>
      <c r="D85" s="9" t="s">
        <v>201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0.1</v>
      </c>
      <c r="N85" s="10">
        <v>0</v>
      </c>
      <c r="O85" s="10">
        <v>0</v>
      </c>
      <c r="P85" s="10">
        <v>0</v>
      </c>
    </row>
    <row r="86" spans="1:16" x14ac:dyDescent="0.25">
      <c r="A86" s="9" t="s">
        <v>32</v>
      </c>
      <c r="B86" s="9" t="s">
        <v>34</v>
      </c>
      <c r="C86" s="9" t="s">
        <v>53</v>
      </c>
      <c r="D86" s="9" t="s">
        <v>202</v>
      </c>
      <c r="E86" s="10">
        <v>1.1000000000000001</v>
      </c>
      <c r="F86" s="10">
        <v>1.8</v>
      </c>
      <c r="G86" s="10">
        <v>1.3</v>
      </c>
      <c r="H86" s="10">
        <v>2.1</v>
      </c>
      <c r="I86" s="10">
        <v>2.4</v>
      </c>
      <c r="J86" s="10">
        <v>1.1000000000000001</v>
      </c>
      <c r="K86" s="10">
        <v>2.5</v>
      </c>
      <c r="L86" s="10">
        <v>2.5</v>
      </c>
      <c r="M86" s="10">
        <v>5.3</v>
      </c>
      <c r="N86" s="10">
        <v>2</v>
      </c>
      <c r="O86" s="10">
        <v>6</v>
      </c>
      <c r="P86" s="10">
        <v>8.6</v>
      </c>
    </row>
    <row r="87" spans="1:16" x14ac:dyDescent="0.25">
      <c r="A87" s="9" t="s">
        <v>32</v>
      </c>
      <c r="B87" s="9" t="s">
        <v>35</v>
      </c>
      <c r="C87" s="9" t="s">
        <v>35</v>
      </c>
      <c r="D87" s="9" t="s">
        <v>203</v>
      </c>
      <c r="E87" s="10">
        <v>14.3</v>
      </c>
      <c r="F87" s="10">
        <v>13.6</v>
      </c>
      <c r="G87" s="10">
        <v>10.8</v>
      </c>
      <c r="H87" s="10">
        <v>11.5</v>
      </c>
      <c r="I87" s="10">
        <v>11.7</v>
      </c>
      <c r="J87" s="10">
        <v>9.1999999999999993</v>
      </c>
      <c r="K87" s="10">
        <v>4.2</v>
      </c>
      <c r="L87" s="10">
        <v>4.9000000000000004</v>
      </c>
      <c r="M87" s="10">
        <v>7.9</v>
      </c>
      <c r="N87" s="10">
        <v>5.3</v>
      </c>
      <c r="O87" s="10">
        <v>2.9</v>
      </c>
      <c r="P87" s="10">
        <v>3.9</v>
      </c>
    </row>
    <row r="88" spans="1:16" x14ac:dyDescent="0.25">
      <c r="A88" s="9" t="s">
        <v>32</v>
      </c>
      <c r="B88" s="9" t="s">
        <v>35</v>
      </c>
      <c r="C88" s="9" t="s">
        <v>35</v>
      </c>
      <c r="D88" s="9" t="s">
        <v>204</v>
      </c>
      <c r="E88" s="10">
        <v>19.899999999999999</v>
      </c>
      <c r="F88" s="10">
        <v>17.8</v>
      </c>
      <c r="G88" s="10">
        <v>18.100000000000001</v>
      </c>
      <c r="H88" s="10">
        <v>16.5</v>
      </c>
      <c r="I88" s="10">
        <v>15.6</v>
      </c>
      <c r="J88" s="10">
        <v>13</v>
      </c>
      <c r="K88" s="10">
        <v>10.1</v>
      </c>
      <c r="L88" s="10">
        <v>15.2</v>
      </c>
      <c r="M88" s="10">
        <v>13.5</v>
      </c>
      <c r="N88" s="10">
        <v>19.100000000000001</v>
      </c>
      <c r="O88" s="10">
        <v>19.100000000000001</v>
      </c>
      <c r="P88" s="10">
        <v>20.2</v>
      </c>
    </row>
    <row r="89" spans="1:16" x14ac:dyDescent="0.25">
      <c r="A89" s="9" t="s">
        <v>32</v>
      </c>
      <c r="B89" s="9" t="s">
        <v>35</v>
      </c>
      <c r="C89" s="9" t="s">
        <v>35</v>
      </c>
      <c r="D89" s="9" t="s">
        <v>205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0.1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</row>
    <row r="90" spans="1:16" x14ac:dyDescent="0.25">
      <c r="A90" s="9" t="s">
        <v>32</v>
      </c>
      <c r="B90" s="9" t="s">
        <v>82</v>
      </c>
      <c r="C90" s="9" t="s">
        <v>86</v>
      </c>
      <c r="D90" s="9" t="s">
        <v>206</v>
      </c>
      <c r="E90" s="10">
        <v>4.7</v>
      </c>
      <c r="F90" s="10">
        <v>5.3</v>
      </c>
      <c r="G90" s="10">
        <v>4.5999999999999996</v>
      </c>
      <c r="H90" s="10">
        <v>4.5</v>
      </c>
      <c r="I90" s="10">
        <v>4.3</v>
      </c>
      <c r="J90" s="10">
        <v>5.9</v>
      </c>
      <c r="K90" s="10">
        <v>2.7</v>
      </c>
      <c r="L90" s="10">
        <v>4.5</v>
      </c>
      <c r="M90" s="10">
        <v>5.6</v>
      </c>
      <c r="N90" s="10">
        <v>5.6</v>
      </c>
      <c r="O90" s="10">
        <v>5.7</v>
      </c>
      <c r="P90" s="10">
        <v>5.2</v>
      </c>
    </row>
    <row r="91" spans="1:16" x14ac:dyDescent="0.25">
      <c r="A91" s="9" t="s">
        <v>32</v>
      </c>
      <c r="B91" s="9" t="s">
        <v>82</v>
      </c>
      <c r="C91" s="9" t="s">
        <v>86</v>
      </c>
      <c r="D91" s="9" t="s">
        <v>207</v>
      </c>
      <c r="E91" s="10">
        <v>0.6</v>
      </c>
      <c r="F91" s="10">
        <v>0.3</v>
      </c>
      <c r="G91" s="10">
        <v>0.5</v>
      </c>
      <c r="H91" s="10">
        <v>1.1000000000000001</v>
      </c>
      <c r="I91" s="10">
        <v>1.5</v>
      </c>
      <c r="J91" s="10">
        <v>1.2</v>
      </c>
      <c r="K91" s="10">
        <v>0.6</v>
      </c>
      <c r="L91" s="10">
        <v>0.5</v>
      </c>
      <c r="M91" s="10">
        <v>0</v>
      </c>
      <c r="N91" s="10">
        <v>0</v>
      </c>
      <c r="O91" s="10">
        <v>0</v>
      </c>
      <c r="P91" s="10">
        <v>0</v>
      </c>
    </row>
    <row r="92" spans="1:16" x14ac:dyDescent="0.25">
      <c r="A92" s="9" t="s">
        <v>32</v>
      </c>
      <c r="B92" s="9" t="s">
        <v>82</v>
      </c>
      <c r="C92" s="9" t="s">
        <v>86</v>
      </c>
      <c r="D92" s="9" t="s">
        <v>208</v>
      </c>
      <c r="E92" s="10">
        <v>2</v>
      </c>
      <c r="F92" s="10">
        <v>1.7</v>
      </c>
      <c r="G92" s="10">
        <v>2.6</v>
      </c>
      <c r="H92" s="10">
        <v>2.4</v>
      </c>
      <c r="I92" s="10">
        <v>3.1</v>
      </c>
      <c r="J92" s="10">
        <v>1.5</v>
      </c>
      <c r="K92" s="10">
        <v>2.5</v>
      </c>
      <c r="L92" s="10">
        <v>2.6</v>
      </c>
      <c r="M92" s="10">
        <v>2.2000000000000002</v>
      </c>
      <c r="N92" s="10">
        <v>2.4</v>
      </c>
      <c r="O92" s="10">
        <v>2.2999999999999998</v>
      </c>
      <c r="P92" s="10">
        <v>1.7</v>
      </c>
    </row>
    <row r="93" spans="1:16" x14ac:dyDescent="0.25">
      <c r="A93" s="9" t="s">
        <v>32</v>
      </c>
      <c r="B93" s="9" t="s">
        <v>82</v>
      </c>
      <c r="C93" s="9" t="s">
        <v>86</v>
      </c>
      <c r="D93" s="9" t="s">
        <v>209</v>
      </c>
      <c r="E93" s="10">
        <v>3.1</v>
      </c>
      <c r="F93" s="10">
        <v>1.5</v>
      </c>
      <c r="G93" s="10">
        <v>1.4</v>
      </c>
      <c r="H93" s="10">
        <v>2.1</v>
      </c>
      <c r="I93" s="10">
        <v>1.2</v>
      </c>
      <c r="J93" s="10">
        <v>2</v>
      </c>
      <c r="K93" s="10">
        <v>1.4</v>
      </c>
      <c r="L93" s="10">
        <v>0.8</v>
      </c>
      <c r="M93" s="10">
        <v>1.1000000000000001</v>
      </c>
      <c r="N93" s="10">
        <v>0.2</v>
      </c>
      <c r="O93" s="10">
        <v>0</v>
      </c>
      <c r="P93" s="10">
        <v>-0.8</v>
      </c>
    </row>
    <row r="94" spans="1:16" x14ac:dyDescent="0.25">
      <c r="A94" s="9" t="s">
        <v>32</v>
      </c>
      <c r="B94" s="9" t="s">
        <v>82</v>
      </c>
      <c r="C94" s="9" t="s">
        <v>86</v>
      </c>
      <c r="D94" s="9" t="s">
        <v>210</v>
      </c>
      <c r="E94" s="10">
        <v>0.2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</row>
    <row r="95" spans="1:16" x14ac:dyDescent="0.25">
      <c r="A95" s="9" t="s">
        <v>32</v>
      </c>
      <c r="B95" s="9" t="s">
        <v>82</v>
      </c>
      <c r="C95" s="9" t="s">
        <v>86</v>
      </c>
      <c r="D95" s="9" t="s">
        <v>211</v>
      </c>
      <c r="E95" s="10">
        <v>1.7</v>
      </c>
      <c r="F95" s="10">
        <v>1.2</v>
      </c>
      <c r="G95" s="10">
        <v>1.3</v>
      </c>
      <c r="H95" s="10">
        <v>1.1000000000000001</v>
      </c>
      <c r="I95" s="10">
        <v>1.3</v>
      </c>
      <c r="J95" s="10">
        <v>1.6</v>
      </c>
      <c r="K95" s="10">
        <v>1.3</v>
      </c>
      <c r="L95" s="10">
        <v>1.2</v>
      </c>
      <c r="M95" s="10">
        <v>1.5</v>
      </c>
      <c r="N95" s="10">
        <v>1.2</v>
      </c>
      <c r="O95" s="10">
        <v>2</v>
      </c>
      <c r="P95" s="10">
        <v>0.8</v>
      </c>
    </row>
    <row r="96" spans="1:16" x14ac:dyDescent="0.25">
      <c r="A96" s="9" t="s">
        <v>32</v>
      </c>
      <c r="B96" s="9" t="s">
        <v>82</v>
      </c>
      <c r="C96" s="9" t="s">
        <v>86</v>
      </c>
      <c r="D96" s="9" t="s">
        <v>212</v>
      </c>
      <c r="E96" s="10">
        <v>0.2</v>
      </c>
      <c r="F96" s="10">
        <v>0.2</v>
      </c>
      <c r="G96" s="10">
        <v>0.2</v>
      </c>
      <c r="H96" s="10">
        <v>0.2</v>
      </c>
      <c r="I96" s="10">
        <v>0.2</v>
      </c>
      <c r="J96" s="10">
        <v>0.1</v>
      </c>
      <c r="K96" s="10">
        <v>0.2</v>
      </c>
      <c r="L96" s="10">
        <v>0.1</v>
      </c>
      <c r="M96" s="10">
        <v>0.1</v>
      </c>
      <c r="N96" s="10">
        <v>0.1</v>
      </c>
      <c r="O96" s="10">
        <v>0.2</v>
      </c>
      <c r="P96" s="10">
        <v>0.2</v>
      </c>
    </row>
    <row r="97" spans="1:16" x14ac:dyDescent="0.25">
      <c r="A97" s="9" t="s">
        <v>32</v>
      </c>
      <c r="B97" s="9" t="s">
        <v>82</v>
      </c>
      <c r="C97" s="9" t="s">
        <v>87</v>
      </c>
      <c r="D97" s="9" t="s">
        <v>213</v>
      </c>
      <c r="E97" s="10">
        <v>6.2</v>
      </c>
      <c r="F97" s="10">
        <v>8.1</v>
      </c>
      <c r="G97" s="10">
        <v>9.4</v>
      </c>
      <c r="H97" s="10">
        <v>12.8</v>
      </c>
      <c r="I97" s="10">
        <v>7.2</v>
      </c>
      <c r="J97" s="10">
        <v>2</v>
      </c>
      <c r="K97" s="10">
        <v>1.5</v>
      </c>
      <c r="L97" s="10">
        <v>1.5</v>
      </c>
      <c r="M97" s="10">
        <v>6.7</v>
      </c>
      <c r="N97" s="10">
        <v>9</v>
      </c>
      <c r="O97" s="10">
        <v>12.9</v>
      </c>
      <c r="P97" s="10">
        <v>11.6</v>
      </c>
    </row>
    <row r="98" spans="1:16" x14ac:dyDescent="0.25">
      <c r="A98" s="9" t="s">
        <v>32</v>
      </c>
      <c r="B98" s="9" t="s">
        <v>82</v>
      </c>
      <c r="C98" s="9" t="s">
        <v>87</v>
      </c>
      <c r="D98" s="9" t="s">
        <v>214</v>
      </c>
      <c r="E98" s="10">
        <v>2.2000000000000002</v>
      </c>
      <c r="F98" s="10">
        <v>3.4</v>
      </c>
      <c r="G98" s="10">
        <v>4</v>
      </c>
      <c r="H98" s="10">
        <v>2.8</v>
      </c>
      <c r="I98" s="10">
        <v>2.2999999999999998</v>
      </c>
      <c r="J98" s="10">
        <v>1.6</v>
      </c>
      <c r="K98" s="10">
        <v>1.2</v>
      </c>
      <c r="L98" s="10">
        <v>1.8</v>
      </c>
      <c r="M98" s="10">
        <v>1.9</v>
      </c>
      <c r="N98" s="10">
        <v>1.9</v>
      </c>
      <c r="O98" s="10">
        <v>5.2</v>
      </c>
      <c r="P98" s="10">
        <v>8.5</v>
      </c>
    </row>
    <row r="99" spans="1:16" x14ac:dyDescent="0.25">
      <c r="A99" s="9" t="s">
        <v>32</v>
      </c>
      <c r="B99" s="9" t="s">
        <v>82</v>
      </c>
      <c r="C99" s="9" t="s">
        <v>87</v>
      </c>
      <c r="D99" s="9" t="s">
        <v>215</v>
      </c>
      <c r="E99" s="10">
        <v>1.3</v>
      </c>
      <c r="F99" s="10">
        <v>1.4</v>
      </c>
      <c r="G99" s="10">
        <v>8</v>
      </c>
      <c r="H99" s="10">
        <v>15.2</v>
      </c>
      <c r="I99" s="10">
        <v>10.4</v>
      </c>
      <c r="J99" s="10">
        <v>7.6</v>
      </c>
      <c r="K99" s="10">
        <v>1.9</v>
      </c>
      <c r="L99" s="10">
        <v>0.3</v>
      </c>
      <c r="M99" s="10">
        <v>0.4</v>
      </c>
      <c r="N99" s="10">
        <v>0.5</v>
      </c>
      <c r="O99" s="10">
        <v>0.9</v>
      </c>
      <c r="P99" s="10">
        <v>0.3</v>
      </c>
    </row>
    <row r="100" spans="1:16" x14ac:dyDescent="0.25">
      <c r="A100" s="9" t="s">
        <v>32</v>
      </c>
      <c r="B100" s="9" t="s">
        <v>82</v>
      </c>
      <c r="C100" s="9" t="s">
        <v>87</v>
      </c>
      <c r="D100" s="9" t="s">
        <v>216</v>
      </c>
      <c r="E100" s="10">
        <v>4.4000000000000004</v>
      </c>
      <c r="F100" s="10">
        <v>4.9000000000000004</v>
      </c>
      <c r="G100" s="10">
        <v>5.4</v>
      </c>
      <c r="H100" s="10">
        <v>4.9000000000000004</v>
      </c>
      <c r="I100" s="10">
        <v>3.9</v>
      </c>
      <c r="J100" s="10">
        <v>4.4000000000000004</v>
      </c>
      <c r="K100" s="10">
        <v>2.8</v>
      </c>
      <c r="L100" s="10">
        <v>3.4</v>
      </c>
      <c r="M100" s="10">
        <v>4.8</v>
      </c>
      <c r="N100" s="10">
        <v>4.4000000000000004</v>
      </c>
      <c r="O100" s="10">
        <v>4.5</v>
      </c>
      <c r="P100" s="10">
        <v>4.8</v>
      </c>
    </row>
    <row r="101" spans="1:16" x14ac:dyDescent="0.25">
      <c r="A101" s="9" t="s">
        <v>32</v>
      </c>
      <c r="B101" s="9" t="s">
        <v>82</v>
      </c>
      <c r="C101" s="9" t="s">
        <v>88</v>
      </c>
      <c r="D101" s="9" t="s">
        <v>217</v>
      </c>
      <c r="E101" s="10">
        <v>1.1000000000000001</v>
      </c>
      <c r="F101" s="10">
        <v>0.9</v>
      </c>
      <c r="G101" s="10">
        <v>1.1000000000000001</v>
      </c>
      <c r="H101" s="10">
        <v>1.2</v>
      </c>
      <c r="I101" s="10">
        <v>1</v>
      </c>
      <c r="J101" s="10">
        <v>0.3</v>
      </c>
      <c r="K101" s="10">
        <v>0.3</v>
      </c>
      <c r="L101" s="10">
        <v>0.1</v>
      </c>
      <c r="M101" s="10">
        <v>0.1</v>
      </c>
      <c r="N101" s="10">
        <v>0.1</v>
      </c>
      <c r="O101" s="10">
        <v>0.1</v>
      </c>
      <c r="P101" s="10">
        <v>0</v>
      </c>
    </row>
    <row r="102" spans="1:16" x14ac:dyDescent="0.25">
      <c r="A102" s="9" t="s">
        <v>32</v>
      </c>
      <c r="B102" s="9" t="s">
        <v>82</v>
      </c>
      <c r="C102" s="9" t="s">
        <v>88</v>
      </c>
      <c r="D102" s="9" t="s">
        <v>218</v>
      </c>
      <c r="E102" s="10">
        <v>1.1000000000000001</v>
      </c>
      <c r="F102" s="10">
        <v>1.6</v>
      </c>
      <c r="G102" s="10">
        <v>3</v>
      </c>
      <c r="H102" s="10">
        <v>6.8</v>
      </c>
      <c r="I102" s="10">
        <v>3.5</v>
      </c>
      <c r="J102" s="10">
        <v>7.1</v>
      </c>
      <c r="K102" s="10">
        <v>1.3</v>
      </c>
      <c r="L102" s="10">
        <v>5.0999999999999996</v>
      </c>
      <c r="M102" s="10">
        <v>0.7</v>
      </c>
      <c r="N102" s="10">
        <v>1.7</v>
      </c>
      <c r="O102" s="10">
        <v>0.5</v>
      </c>
      <c r="P102" s="10">
        <v>7.2</v>
      </c>
    </row>
    <row r="103" spans="1:16" x14ac:dyDescent="0.25">
      <c r="A103" s="9" t="s">
        <v>32</v>
      </c>
      <c r="B103" s="9" t="s">
        <v>82</v>
      </c>
      <c r="C103" s="9" t="s">
        <v>88</v>
      </c>
      <c r="D103" s="9" t="s">
        <v>219</v>
      </c>
      <c r="E103" s="10">
        <v>0.2</v>
      </c>
      <c r="F103" s="10">
        <v>0.1</v>
      </c>
      <c r="G103" s="10">
        <v>0.1</v>
      </c>
      <c r="H103" s="10">
        <v>0.1</v>
      </c>
      <c r="I103" s="10">
        <v>0</v>
      </c>
      <c r="J103" s="10">
        <v>0.1</v>
      </c>
      <c r="K103" s="10">
        <v>0.1</v>
      </c>
      <c r="L103" s="10">
        <v>0.1</v>
      </c>
      <c r="M103" s="10">
        <v>0.2</v>
      </c>
      <c r="N103" s="10">
        <v>0.1</v>
      </c>
      <c r="O103" s="10">
        <v>0</v>
      </c>
      <c r="P103" s="10">
        <v>0.3</v>
      </c>
    </row>
    <row r="104" spans="1:16" x14ac:dyDescent="0.25">
      <c r="A104" s="9" t="s">
        <v>32</v>
      </c>
      <c r="B104" s="9" t="s">
        <v>82</v>
      </c>
      <c r="C104" s="9" t="s">
        <v>88</v>
      </c>
      <c r="D104" s="9" t="s">
        <v>220</v>
      </c>
      <c r="E104" s="10">
        <v>3.7</v>
      </c>
      <c r="F104" s="10">
        <v>2.5</v>
      </c>
      <c r="G104" s="10">
        <v>3.4</v>
      </c>
      <c r="H104" s="10">
        <v>3.1</v>
      </c>
      <c r="I104" s="10">
        <v>2.9</v>
      </c>
      <c r="J104" s="10">
        <v>2.6</v>
      </c>
      <c r="K104" s="10">
        <v>2.2999999999999998</v>
      </c>
      <c r="L104" s="10">
        <v>2.9</v>
      </c>
      <c r="M104" s="10">
        <v>3</v>
      </c>
      <c r="N104" s="10">
        <v>2.8</v>
      </c>
      <c r="O104" s="10">
        <v>3</v>
      </c>
      <c r="P104" s="10">
        <v>2.7</v>
      </c>
    </row>
    <row r="105" spans="1:16" x14ac:dyDescent="0.25">
      <c r="A105" s="9" t="s">
        <v>32</v>
      </c>
      <c r="B105" s="9" t="s">
        <v>82</v>
      </c>
      <c r="C105" s="9" t="s">
        <v>88</v>
      </c>
      <c r="D105" s="9" t="s">
        <v>221</v>
      </c>
      <c r="E105" s="10">
        <v>4</v>
      </c>
      <c r="F105" s="10">
        <v>3.7</v>
      </c>
      <c r="G105" s="10">
        <v>5.0999999999999996</v>
      </c>
      <c r="H105" s="10">
        <v>4.4000000000000004</v>
      </c>
      <c r="I105" s="10">
        <v>3.5</v>
      </c>
      <c r="J105" s="10">
        <v>5.0999999999999996</v>
      </c>
      <c r="K105" s="10">
        <v>3.1</v>
      </c>
      <c r="L105" s="10">
        <v>4.5</v>
      </c>
      <c r="M105" s="10">
        <v>4.0999999999999996</v>
      </c>
      <c r="N105" s="10">
        <v>3.3</v>
      </c>
      <c r="O105" s="10">
        <v>2.6</v>
      </c>
      <c r="P105" s="10">
        <v>2.7</v>
      </c>
    </row>
    <row r="106" spans="1:16" x14ac:dyDescent="0.25">
      <c r="A106" s="9" t="s">
        <v>32</v>
      </c>
      <c r="B106" s="9" t="s">
        <v>82</v>
      </c>
      <c r="C106" s="9" t="s">
        <v>88</v>
      </c>
      <c r="D106" s="9" t="s">
        <v>222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0.4</v>
      </c>
      <c r="K106" s="10">
        <v>0</v>
      </c>
      <c r="L106" s="10">
        <v>0</v>
      </c>
      <c r="M106" s="10">
        <v>1</v>
      </c>
      <c r="N106" s="10">
        <v>0</v>
      </c>
      <c r="O106" s="10">
        <v>0</v>
      </c>
      <c r="P106" s="10">
        <v>3</v>
      </c>
    </row>
    <row r="107" spans="1:16" x14ac:dyDescent="0.25">
      <c r="A107" s="9" t="s">
        <v>32</v>
      </c>
      <c r="B107" s="9" t="s">
        <v>82</v>
      </c>
      <c r="C107" s="9" t="s">
        <v>83</v>
      </c>
      <c r="D107" s="9" t="s">
        <v>223</v>
      </c>
      <c r="E107" s="10">
        <v>17.600000000000001</v>
      </c>
      <c r="F107" s="10">
        <v>15.3</v>
      </c>
      <c r="G107" s="10">
        <v>16</v>
      </c>
      <c r="H107" s="10">
        <v>16</v>
      </c>
      <c r="I107" s="10">
        <v>15</v>
      </c>
      <c r="J107" s="10">
        <v>12.6</v>
      </c>
      <c r="K107" s="10">
        <v>10</v>
      </c>
      <c r="L107" s="10">
        <v>11.7</v>
      </c>
      <c r="M107" s="10">
        <v>15.4</v>
      </c>
      <c r="N107" s="10">
        <v>16.2</v>
      </c>
      <c r="O107" s="10">
        <v>15.5</v>
      </c>
      <c r="P107" s="10">
        <v>15.6</v>
      </c>
    </row>
    <row r="108" spans="1:16" x14ac:dyDescent="0.25">
      <c r="A108" s="9" t="s">
        <v>32</v>
      </c>
      <c r="B108" s="9" t="s">
        <v>82</v>
      </c>
      <c r="C108" s="9" t="s">
        <v>83</v>
      </c>
      <c r="D108" s="9" t="s">
        <v>224</v>
      </c>
      <c r="E108" s="10">
        <v>0.5</v>
      </c>
      <c r="F108" s="10">
        <v>0.6</v>
      </c>
      <c r="G108" s="10">
        <v>0.6</v>
      </c>
      <c r="H108" s="10">
        <v>0.6</v>
      </c>
      <c r="I108" s="10">
        <v>0.5</v>
      </c>
      <c r="J108" s="10">
        <v>-0.2</v>
      </c>
      <c r="K108" s="10">
        <v>0.5</v>
      </c>
      <c r="L108" s="10">
        <v>0.5</v>
      </c>
      <c r="M108" s="10">
        <v>0.5</v>
      </c>
      <c r="N108" s="10">
        <v>0.6</v>
      </c>
      <c r="O108" s="10">
        <v>0.5</v>
      </c>
      <c r="P108" s="10">
        <v>-0.2</v>
      </c>
    </row>
    <row r="109" spans="1:16" x14ac:dyDescent="0.25">
      <c r="A109" s="9" t="s">
        <v>32</v>
      </c>
      <c r="B109" s="9" t="s">
        <v>3</v>
      </c>
      <c r="C109" s="9" t="s">
        <v>54</v>
      </c>
      <c r="D109" s="9" t="s">
        <v>225</v>
      </c>
      <c r="E109" s="10">
        <v>0.3</v>
      </c>
      <c r="F109" s="10">
        <v>0.2</v>
      </c>
      <c r="G109" s="10">
        <v>0.4</v>
      </c>
      <c r="H109" s="10">
        <v>0.2</v>
      </c>
      <c r="I109" s="10">
        <v>0.5</v>
      </c>
      <c r="J109" s="10">
        <v>0.1</v>
      </c>
      <c r="K109" s="10">
        <v>0.1</v>
      </c>
      <c r="L109" s="10">
        <v>0.2</v>
      </c>
      <c r="M109" s="10">
        <v>0.1</v>
      </c>
      <c r="N109" s="10">
        <v>0.4</v>
      </c>
      <c r="O109" s="10">
        <v>0.1</v>
      </c>
      <c r="P109" s="10">
        <v>0.4</v>
      </c>
    </row>
    <row r="110" spans="1:16" x14ac:dyDescent="0.25">
      <c r="A110" s="9" t="s">
        <v>32</v>
      </c>
      <c r="B110" s="9" t="s">
        <v>3</v>
      </c>
      <c r="C110" s="9" t="s">
        <v>55</v>
      </c>
      <c r="D110" s="9" t="s">
        <v>226</v>
      </c>
      <c r="E110" s="10">
        <v>1.5</v>
      </c>
      <c r="F110" s="10">
        <v>1</v>
      </c>
      <c r="G110" s="10">
        <v>2.9</v>
      </c>
      <c r="H110" s="10">
        <v>2.2999999999999998</v>
      </c>
      <c r="I110" s="10">
        <v>4.3</v>
      </c>
      <c r="J110" s="10">
        <v>3.9</v>
      </c>
      <c r="K110" s="10">
        <v>2.2999999999999998</v>
      </c>
      <c r="L110" s="10">
        <v>2.8</v>
      </c>
      <c r="M110" s="10">
        <v>1.6</v>
      </c>
      <c r="N110" s="10">
        <v>4.2</v>
      </c>
      <c r="O110" s="10">
        <v>2.1</v>
      </c>
      <c r="P110" s="10">
        <v>3</v>
      </c>
    </row>
    <row r="111" spans="1:16" x14ac:dyDescent="0.25">
      <c r="A111" s="9" t="s">
        <v>32</v>
      </c>
      <c r="B111" s="9" t="s">
        <v>3</v>
      </c>
      <c r="C111" s="9" t="s">
        <v>55</v>
      </c>
      <c r="D111" s="9" t="s">
        <v>227</v>
      </c>
      <c r="E111" s="10">
        <v>1.5</v>
      </c>
      <c r="F111" s="10">
        <v>0.6</v>
      </c>
      <c r="G111" s="10">
        <v>4.0999999999999996</v>
      </c>
      <c r="H111" s="10">
        <v>3.1</v>
      </c>
      <c r="I111" s="10">
        <v>2.2999999999999998</v>
      </c>
      <c r="J111" s="10">
        <v>3.5</v>
      </c>
      <c r="K111" s="10">
        <v>2.2000000000000002</v>
      </c>
      <c r="L111" s="10">
        <v>2.5</v>
      </c>
      <c r="M111" s="10">
        <v>4.3</v>
      </c>
      <c r="N111" s="10">
        <v>1.6</v>
      </c>
      <c r="O111" s="10">
        <v>2.8</v>
      </c>
      <c r="P111" s="10">
        <v>4.7</v>
      </c>
    </row>
    <row r="112" spans="1:16" x14ac:dyDescent="0.25">
      <c r="A112" s="9" t="s">
        <v>32</v>
      </c>
      <c r="B112" s="9" t="s">
        <v>3</v>
      </c>
      <c r="C112" s="9" t="s">
        <v>55</v>
      </c>
      <c r="D112" s="9" t="s">
        <v>228</v>
      </c>
      <c r="E112" s="10">
        <v>0.1</v>
      </c>
      <c r="F112" s="10">
        <v>0.1</v>
      </c>
      <c r="G112" s="10">
        <v>0.1</v>
      </c>
      <c r="H112" s="10">
        <v>0.1</v>
      </c>
      <c r="I112" s="10">
        <v>0.1</v>
      </c>
      <c r="J112" s="10">
        <v>0.1</v>
      </c>
      <c r="K112" s="10">
        <v>0.2</v>
      </c>
      <c r="L112" s="10">
        <v>0.1</v>
      </c>
      <c r="M112" s="10">
        <v>0.1</v>
      </c>
      <c r="N112" s="10">
        <v>0.2</v>
      </c>
      <c r="O112" s="10">
        <v>0.2</v>
      </c>
      <c r="P112" s="10">
        <v>0.1</v>
      </c>
    </row>
    <row r="113" spans="1:16" x14ac:dyDescent="0.25">
      <c r="A113" s="9" t="s">
        <v>32</v>
      </c>
      <c r="B113" s="9" t="s">
        <v>3</v>
      </c>
      <c r="C113" s="9" t="s">
        <v>55</v>
      </c>
      <c r="D113" s="9" t="s">
        <v>229</v>
      </c>
      <c r="E113" s="10">
        <v>0.7</v>
      </c>
      <c r="F113" s="10">
        <v>0.8</v>
      </c>
      <c r="G113" s="10">
        <v>0.7</v>
      </c>
      <c r="H113" s="10">
        <v>0.8</v>
      </c>
      <c r="I113" s="10">
        <v>0.4</v>
      </c>
      <c r="J113" s="10">
        <v>0.2</v>
      </c>
      <c r="K113" s="10">
        <v>0.4</v>
      </c>
      <c r="L113" s="10">
        <v>0.2</v>
      </c>
      <c r="M113" s="10">
        <v>0.8</v>
      </c>
      <c r="N113" s="10">
        <v>1.5</v>
      </c>
      <c r="O113" s="10">
        <v>1.2</v>
      </c>
      <c r="P113" s="10">
        <v>0.8</v>
      </c>
    </row>
    <row r="114" spans="1:16" x14ac:dyDescent="0.25">
      <c r="A114" s="9" t="s">
        <v>32</v>
      </c>
      <c r="B114" s="9" t="s">
        <v>3</v>
      </c>
      <c r="C114" s="9" t="s">
        <v>55</v>
      </c>
      <c r="D114" s="9" t="s">
        <v>230</v>
      </c>
      <c r="E114" s="10">
        <v>0</v>
      </c>
      <c r="F114" s="10">
        <v>0.2</v>
      </c>
      <c r="G114" s="10">
        <v>0.2</v>
      </c>
      <c r="H114" s="10">
        <v>0.1</v>
      </c>
      <c r="I114" s="10">
        <v>0.3</v>
      </c>
      <c r="J114" s="10">
        <v>0.2</v>
      </c>
      <c r="K114" s="10">
        <v>0.4</v>
      </c>
      <c r="L114" s="10">
        <v>0.2</v>
      </c>
      <c r="M114" s="10">
        <v>0.3</v>
      </c>
      <c r="N114" s="10">
        <v>0.2</v>
      </c>
      <c r="O114" s="10">
        <v>0.4</v>
      </c>
      <c r="P114" s="10">
        <v>0.4</v>
      </c>
    </row>
    <row r="115" spans="1:16" x14ac:dyDescent="0.25">
      <c r="A115" s="9" t="s">
        <v>32</v>
      </c>
      <c r="B115" s="9" t="s">
        <v>3</v>
      </c>
      <c r="C115" s="9" t="s">
        <v>55</v>
      </c>
      <c r="D115" s="9" t="s">
        <v>231</v>
      </c>
      <c r="E115" s="10">
        <v>0.8</v>
      </c>
      <c r="F115" s="10">
        <v>0.4</v>
      </c>
      <c r="G115" s="10">
        <v>0.4</v>
      </c>
      <c r="H115" s="10">
        <v>0.2</v>
      </c>
      <c r="I115" s="10">
        <v>0.3</v>
      </c>
      <c r="J115" s="10">
        <v>0.3</v>
      </c>
      <c r="K115" s="10">
        <v>0.3</v>
      </c>
      <c r="L115" s="10">
        <v>0.1</v>
      </c>
      <c r="M115" s="10">
        <v>1.5</v>
      </c>
      <c r="N115" s="10">
        <v>0.1</v>
      </c>
      <c r="O115" s="10">
        <v>0.2</v>
      </c>
      <c r="P115" s="10">
        <v>0.7</v>
      </c>
    </row>
    <row r="116" spans="1:16" x14ac:dyDescent="0.25">
      <c r="A116" s="9" t="s">
        <v>32</v>
      </c>
      <c r="B116" s="9" t="s">
        <v>3</v>
      </c>
      <c r="C116" s="9" t="s">
        <v>55</v>
      </c>
      <c r="D116" s="9" t="s">
        <v>232</v>
      </c>
      <c r="E116" s="10">
        <v>0</v>
      </c>
      <c r="F116" s="10">
        <v>0</v>
      </c>
      <c r="G116" s="10">
        <v>0</v>
      </c>
      <c r="H116" s="10">
        <v>0.3</v>
      </c>
      <c r="I116" s="10">
        <v>0.3</v>
      </c>
      <c r="J116" s="10">
        <v>0.3</v>
      </c>
      <c r="K116" s="10">
        <v>0.1</v>
      </c>
      <c r="L116" s="10">
        <v>0.1</v>
      </c>
      <c r="M116" s="10">
        <v>0.4</v>
      </c>
      <c r="N116" s="10">
        <v>0.3</v>
      </c>
      <c r="O116" s="10">
        <v>0.4</v>
      </c>
      <c r="P116" s="10">
        <v>1.2</v>
      </c>
    </row>
    <row r="117" spans="1:16" x14ac:dyDescent="0.25">
      <c r="A117" s="9" t="s">
        <v>32</v>
      </c>
      <c r="B117" s="9" t="s">
        <v>3</v>
      </c>
      <c r="C117" s="9" t="s">
        <v>55</v>
      </c>
      <c r="D117" s="9" t="s">
        <v>233</v>
      </c>
      <c r="E117" s="10">
        <v>-1.1000000000000001</v>
      </c>
      <c r="F117" s="10">
        <v>-0.4</v>
      </c>
      <c r="G117" s="10">
        <v>-0.9</v>
      </c>
      <c r="H117" s="10">
        <v>-0.5</v>
      </c>
      <c r="I117" s="10">
        <v>-1.8</v>
      </c>
      <c r="J117" s="10">
        <v>4.7</v>
      </c>
      <c r="K117" s="10">
        <v>-1.6</v>
      </c>
      <c r="L117" s="10">
        <v>-0.9</v>
      </c>
      <c r="M117" s="10">
        <v>-0.6</v>
      </c>
      <c r="N117" s="10">
        <v>-7</v>
      </c>
      <c r="O117" s="10">
        <v>-0.4</v>
      </c>
      <c r="P117" s="10">
        <v>-6.2</v>
      </c>
    </row>
    <row r="118" spans="1:16" x14ac:dyDescent="0.25">
      <c r="A118" s="9" t="s">
        <v>32</v>
      </c>
      <c r="B118" s="9" t="s">
        <v>3</v>
      </c>
      <c r="C118" s="9" t="s">
        <v>56</v>
      </c>
      <c r="D118" s="9" t="s">
        <v>234</v>
      </c>
      <c r="E118" s="10">
        <v>3.4</v>
      </c>
      <c r="F118" s="10">
        <v>3.1</v>
      </c>
      <c r="G118" s="10">
        <v>2.7</v>
      </c>
      <c r="H118" s="10">
        <v>2.5</v>
      </c>
      <c r="I118" s="10">
        <v>2.8</v>
      </c>
      <c r="J118" s="10">
        <v>-1.8</v>
      </c>
      <c r="K118" s="10">
        <v>2.2000000000000002</v>
      </c>
      <c r="L118" s="10">
        <v>2.4</v>
      </c>
      <c r="M118" s="10">
        <v>1.8</v>
      </c>
      <c r="N118" s="10">
        <v>5.8</v>
      </c>
      <c r="O118" s="10">
        <v>2.2999999999999998</v>
      </c>
      <c r="P118" s="10">
        <v>1.6</v>
      </c>
    </row>
    <row r="119" spans="1:16" x14ac:dyDescent="0.25">
      <c r="A119" s="9" t="s">
        <v>32</v>
      </c>
      <c r="B119" s="9" t="s">
        <v>3</v>
      </c>
      <c r="C119" s="9" t="s">
        <v>56</v>
      </c>
      <c r="D119" s="9" t="s">
        <v>235</v>
      </c>
      <c r="E119" s="10">
        <v>-0.1</v>
      </c>
      <c r="F119" s="10">
        <v>0.1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</row>
    <row r="120" spans="1:16" x14ac:dyDescent="0.25">
      <c r="A120" s="9" t="s">
        <v>32</v>
      </c>
      <c r="B120" s="9" t="s">
        <v>3</v>
      </c>
      <c r="C120" s="9" t="s">
        <v>105</v>
      </c>
      <c r="D120" s="9" t="s">
        <v>236</v>
      </c>
      <c r="E120" s="10">
        <v>0</v>
      </c>
      <c r="F120" s="10">
        <v>0</v>
      </c>
      <c r="G120" s="10">
        <v>0</v>
      </c>
      <c r="H120" s="10">
        <v>0</v>
      </c>
      <c r="I120" s="10">
        <v>0.1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0.1</v>
      </c>
      <c r="P120" s="10">
        <v>0.1</v>
      </c>
    </row>
    <row r="121" spans="1:16" x14ac:dyDescent="0.25">
      <c r="A121" s="9" t="s">
        <v>32</v>
      </c>
      <c r="B121" s="9" t="s">
        <v>3</v>
      </c>
      <c r="C121" s="9" t="s">
        <v>103</v>
      </c>
      <c r="D121" s="9" t="s">
        <v>103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0.1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</row>
    <row r="122" spans="1:16" x14ac:dyDescent="0.25">
      <c r="A122" s="9" t="s">
        <v>32</v>
      </c>
      <c r="B122" s="9" t="s">
        <v>96</v>
      </c>
      <c r="C122" s="9" t="s">
        <v>97</v>
      </c>
      <c r="D122" s="9" t="s">
        <v>237</v>
      </c>
      <c r="E122" s="10">
        <v>0</v>
      </c>
      <c r="F122" s="10">
        <v>0</v>
      </c>
      <c r="G122" s="10">
        <v>0</v>
      </c>
      <c r="H122" s="10">
        <v>0</v>
      </c>
      <c r="I122" s="10">
        <v>0.1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</row>
    <row r="123" spans="1:16" x14ac:dyDescent="0.25">
      <c r="A123" s="9" t="s">
        <v>32</v>
      </c>
      <c r="B123" s="9" t="s">
        <v>238</v>
      </c>
      <c r="C123" s="9" t="s">
        <v>239</v>
      </c>
      <c r="D123" s="9" t="s">
        <v>240</v>
      </c>
      <c r="E123" s="10">
        <v>0</v>
      </c>
      <c r="F123" s="10">
        <v>0.1</v>
      </c>
      <c r="G123" s="10">
        <v>0.1</v>
      </c>
      <c r="H123" s="10">
        <v>0</v>
      </c>
      <c r="I123" s="10">
        <v>0.1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</row>
    <row r="124" spans="1:16" x14ac:dyDescent="0.25">
      <c r="A124" s="9" t="s">
        <v>32</v>
      </c>
      <c r="B124" s="9" t="s">
        <v>36</v>
      </c>
      <c r="C124" s="9" t="s">
        <v>78</v>
      </c>
      <c r="D124" s="9" t="s">
        <v>241</v>
      </c>
      <c r="E124" s="10">
        <v>0.5</v>
      </c>
      <c r="F124" s="10">
        <v>0.4</v>
      </c>
      <c r="G124" s="10">
        <v>0.1</v>
      </c>
      <c r="H124" s="10">
        <v>0.1</v>
      </c>
      <c r="I124" s="10">
        <v>0.1</v>
      </c>
      <c r="J124" s="10">
        <v>0</v>
      </c>
      <c r="K124" s="10">
        <v>0.4</v>
      </c>
      <c r="L124" s="10">
        <v>0.5</v>
      </c>
      <c r="M124" s="10">
        <v>1.1000000000000001</v>
      </c>
      <c r="N124" s="10">
        <v>1</v>
      </c>
      <c r="O124" s="10">
        <v>0.6</v>
      </c>
      <c r="P124" s="10">
        <v>-5.5</v>
      </c>
    </row>
    <row r="125" spans="1:16" x14ac:dyDescent="0.25">
      <c r="A125" s="9" t="s">
        <v>32</v>
      </c>
      <c r="B125" s="9" t="s">
        <v>36</v>
      </c>
      <c r="C125" s="9" t="s">
        <v>91</v>
      </c>
      <c r="D125" s="9" t="s">
        <v>242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0.4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</row>
    <row r="126" spans="1:16" x14ac:dyDescent="0.25">
      <c r="A126" s="9" t="s">
        <v>32</v>
      </c>
      <c r="B126" s="9" t="s">
        <v>36</v>
      </c>
      <c r="C126" s="9" t="s">
        <v>91</v>
      </c>
      <c r="D126" s="9" t="s">
        <v>243</v>
      </c>
      <c r="E126" s="10">
        <v>0</v>
      </c>
      <c r="F126" s="10">
        <v>0</v>
      </c>
      <c r="G126" s="10">
        <v>-0.1</v>
      </c>
      <c r="H126" s="10">
        <v>0</v>
      </c>
      <c r="I126" s="10">
        <v>0.1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0.1</v>
      </c>
    </row>
    <row r="127" spans="1:16" x14ac:dyDescent="0.25">
      <c r="A127" s="9" t="s">
        <v>57</v>
      </c>
      <c r="B127" s="9" t="s">
        <v>7</v>
      </c>
      <c r="C127" s="9" t="s">
        <v>7</v>
      </c>
      <c r="D127" s="9" t="s">
        <v>244</v>
      </c>
      <c r="E127" s="10">
        <v>2.5</v>
      </c>
      <c r="F127" s="10">
        <v>2.2999999999999998</v>
      </c>
      <c r="G127" s="10">
        <v>2.4</v>
      </c>
      <c r="H127" s="10">
        <v>2.1</v>
      </c>
      <c r="I127" s="10">
        <v>2</v>
      </c>
      <c r="J127" s="10">
        <v>1.7</v>
      </c>
      <c r="K127" s="10">
        <v>2.1</v>
      </c>
      <c r="L127" s="10">
        <v>2.2000000000000002</v>
      </c>
      <c r="M127" s="10">
        <v>2.4</v>
      </c>
      <c r="N127" s="10">
        <v>2.1</v>
      </c>
      <c r="O127" s="10">
        <v>2.6</v>
      </c>
      <c r="P127" s="10">
        <v>1.9</v>
      </c>
    </row>
    <row r="128" spans="1:16" x14ac:dyDescent="0.25">
      <c r="A128" s="9" t="s">
        <v>57</v>
      </c>
      <c r="B128" s="9" t="s">
        <v>7</v>
      </c>
      <c r="C128" s="9" t="s">
        <v>7</v>
      </c>
      <c r="D128" s="9" t="s">
        <v>245</v>
      </c>
      <c r="E128" s="10">
        <v>14.4</v>
      </c>
      <c r="F128" s="10">
        <v>12.9</v>
      </c>
      <c r="G128" s="10">
        <v>15.1</v>
      </c>
      <c r="H128" s="10">
        <v>15.2</v>
      </c>
      <c r="I128" s="10">
        <v>14.9</v>
      </c>
      <c r="J128" s="10">
        <v>10.3</v>
      </c>
      <c r="K128" s="10">
        <v>10.9</v>
      </c>
      <c r="L128" s="10">
        <v>14.2</v>
      </c>
      <c r="M128" s="10">
        <v>14.7</v>
      </c>
      <c r="N128" s="10">
        <v>10.7</v>
      </c>
      <c r="O128" s="10">
        <v>16.100000000000001</v>
      </c>
      <c r="P128" s="10">
        <v>14.2</v>
      </c>
    </row>
    <row r="129" spans="1:16" x14ac:dyDescent="0.25">
      <c r="A129" s="9" t="s">
        <v>57</v>
      </c>
      <c r="B129" s="9" t="s">
        <v>7</v>
      </c>
      <c r="C129" s="9" t="s">
        <v>7</v>
      </c>
      <c r="D129" s="9" t="s">
        <v>246</v>
      </c>
      <c r="E129" s="10">
        <v>6.6</v>
      </c>
      <c r="F129" s="10">
        <v>6.2</v>
      </c>
      <c r="G129" s="10">
        <v>6.2</v>
      </c>
      <c r="H129" s="10">
        <v>6.7</v>
      </c>
      <c r="I129" s="10">
        <v>6.5</v>
      </c>
      <c r="J129" s="10">
        <v>4.3</v>
      </c>
      <c r="K129" s="10">
        <v>5.6</v>
      </c>
      <c r="L129" s="10">
        <v>6.1</v>
      </c>
      <c r="M129" s="10">
        <v>6.4</v>
      </c>
      <c r="N129" s="10">
        <v>5.3</v>
      </c>
      <c r="O129" s="10">
        <v>7.4</v>
      </c>
      <c r="P129" s="10">
        <v>6.6</v>
      </c>
    </row>
    <row r="130" spans="1:16" x14ac:dyDescent="0.25">
      <c r="A130" s="9" t="s">
        <v>57</v>
      </c>
      <c r="B130" s="9" t="s">
        <v>7</v>
      </c>
      <c r="C130" s="9" t="s">
        <v>7</v>
      </c>
      <c r="D130" s="9" t="s">
        <v>247</v>
      </c>
      <c r="E130" s="10">
        <v>0</v>
      </c>
      <c r="F130" s="10">
        <v>0</v>
      </c>
      <c r="G130" s="10">
        <v>0</v>
      </c>
      <c r="H130" s="10">
        <v>0</v>
      </c>
      <c r="I130" s="10">
        <v>0.1</v>
      </c>
      <c r="J130" s="10">
        <v>0</v>
      </c>
      <c r="K130" s="10">
        <v>0</v>
      </c>
      <c r="L130" s="10">
        <v>0.1</v>
      </c>
      <c r="M130" s="10">
        <v>0</v>
      </c>
      <c r="N130" s="10">
        <v>0</v>
      </c>
      <c r="O130" s="10">
        <v>0</v>
      </c>
      <c r="P130" s="10">
        <v>0</v>
      </c>
    </row>
    <row r="131" spans="1:16" x14ac:dyDescent="0.25">
      <c r="A131" s="9" t="s">
        <v>57</v>
      </c>
      <c r="B131" s="9" t="s">
        <v>8</v>
      </c>
      <c r="C131" s="9" t="s">
        <v>84</v>
      </c>
      <c r="D131" s="9"/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15.9</v>
      </c>
      <c r="M131" s="10">
        <v>19.600000000000001</v>
      </c>
      <c r="N131" s="10">
        <v>24.8</v>
      </c>
      <c r="O131" s="10">
        <v>28.8</v>
      </c>
      <c r="P131" s="10">
        <v>43.2</v>
      </c>
    </row>
    <row r="132" spans="1:16" x14ac:dyDescent="0.25">
      <c r="A132" s="9" t="s">
        <v>57</v>
      </c>
      <c r="B132" s="9" t="s">
        <v>8</v>
      </c>
      <c r="C132" s="9" t="s">
        <v>58</v>
      </c>
      <c r="D132" s="9"/>
      <c r="E132" s="10">
        <v>36.5</v>
      </c>
      <c r="F132" s="10">
        <v>37.299999999999997</v>
      </c>
      <c r="G132" s="10">
        <v>36</v>
      </c>
      <c r="H132" s="10">
        <v>36.200000000000003</v>
      </c>
      <c r="I132" s="10">
        <v>33.700000000000003</v>
      </c>
      <c r="J132" s="10">
        <v>38.1</v>
      </c>
      <c r="K132" s="10">
        <v>42.9</v>
      </c>
      <c r="L132" s="10">
        <v>0.7</v>
      </c>
      <c r="M132" s="10">
        <v>0.6</v>
      </c>
      <c r="N132" s="10">
        <v>0.6</v>
      </c>
      <c r="O132" s="10">
        <v>-0.2</v>
      </c>
      <c r="P132" s="10">
        <v>0.8</v>
      </c>
    </row>
    <row r="133" spans="1:16" x14ac:dyDescent="0.25">
      <c r="A133" s="9" t="s">
        <v>57</v>
      </c>
      <c r="B133" s="9" t="s">
        <v>8</v>
      </c>
      <c r="C133" s="9" t="s">
        <v>59</v>
      </c>
      <c r="D133" s="9"/>
      <c r="E133" s="10">
        <v>2.6</v>
      </c>
      <c r="F133" s="10">
        <v>1.8</v>
      </c>
      <c r="G133" s="10">
        <v>2</v>
      </c>
      <c r="H133" s="10">
        <v>1.8</v>
      </c>
      <c r="I133" s="10">
        <v>1.9</v>
      </c>
      <c r="J133" s="10">
        <v>2</v>
      </c>
      <c r="K133" s="10">
        <v>1.8</v>
      </c>
      <c r="L133" s="10">
        <v>1.9</v>
      </c>
      <c r="M133" s="10">
        <v>2.5</v>
      </c>
      <c r="N133" s="10">
        <v>2.2999999999999998</v>
      </c>
      <c r="O133" s="10">
        <v>2.5</v>
      </c>
      <c r="P133" s="10">
        <v>3.5</v>
      </c>
    </row>
    <row r="134" spans="1:16" x14ac:dyDescent="0.25">
      <c r="A134" s="9" t="s">
        <v>57</v>
      </c>
      <c r="B134" s="9" t="s">
        <v>8</v>
      </c>
      <c r="C134" s="9" t="s">
        <v>60</v>
      </c>
      <c r="D134" s="9"/>
      <c r="E134" s="10">
        <v>2.9</v>
      </c>
      <c r="F134" s="10">
        <v>3.4</v>
      </c>
      <c r="G134" s="10">
        <v>3.4</v>
      </c>
      <c r="H134" s="10">
        <v>3.7</v>
      </c>
      <c r="I134" s="10">
        <v>3.6</v>
      </c>
      <c r="J134" s="10">
        <v>4.0999999999999996</v>
      </c>
      <c r="K134" s="10">
        <v>3.1</v>
      </c>
      <c r="L134" s="10">
        <v>3.2</v>
      </c>
      <c r="M134" s="10">
        <v>3.6</v>
      </c>
      <c r="N134" s="10">
        <v>4</v>
      </c>
      <c r="O134" s="10">
        <v>4.4000000000000004</v>
      </c>
      <c r="P134" s="10">
        <v>5.0999999999999996</v>
      </c>
    </row>
    <row r="135" spans="1:16" x14ac:dyDescent="0.25">
      <c r="A135" s="9" t="s">
        <v>57</v>
      </c>
      <c r="B135" s="9" t="s">
        <v>8</v>
      </c>
      <c r="C135" s="9" t="s">
        <v>61</v>
      </c>
      <c r="D135" s="9"/>
      <c r="E135" s="10">
        <v>0.8</v>
      </c>
      <c r="F135" s="10">
        <v>0.8</v>
      </c>
      <c r="G135" s="10">
        <v>0.8</v>
      </c>
      <c r="H135" s="10">
        <v>0.9</v>
      </c>
      <c r="I135" s="10">
        <v>0.8</v>
      </c>
      <c r="J135" s="10">
        <v>0.8</v>
      </c>
      <c r="K135" s="10">
        <v>0.8</v>
      </c>
      <c r="L135" s="10">
        <v>0.8</v>
      </c>
      <c r="M135" s="10">
        <v>1.1000000000000001</v>
      </c>
      <c r="N135" s="10">
        <v>0.8</v>
      </c>
      <c r="O135" s="10">
        <v>1</v>
      </c>
      <c r="P135" s="10">
        <v>0.9</v>
      </c>
    </row>
    <row r="136" spans="1:16" x14ac:dyDescent="0.25">
      <c r="A136" s="9" t="s">
        <v>57</v>
      </c>
      <c r="B136" s="9" t="s">
        <v>8</v>
      </c>
      <c r="C136" s="9" t="s">
        <v>98</v>
      </c>
      <c r="D136" s="9"/>
      <c r="E136" s="10">
        <v>0</v>
      </c>
      <c r="F136" s="10">
        <v>0</v>
      </c>
      <c r="G136" s="10">
        <v>0</v>
      </c>
      <c r="H136" s="10">
        <v>0</v>
      </c>
      <c r="I136" s="10">
        <v>0.4</v>
      </c>
      <c r="J136" s="10">
        <v>0.1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</row>
    <row r="137" spans="1:16" x14ac:dyDescent="0.25">
      <c r="A137" s="9" t="s">
        <v>57</v>
      </c>
      <c r="B137" s="9" t="s">
        <v>8</v>
      </c>
      <c r="C137" s="9" t="s">
        <v>62</v>
      </c>
      <c r="D137" s="9"/>
      <c r="E137" s="10">
        <v>3.2</v>
      </c>
      <c r="F137" s="10">
        <v>6</v>
      </c>
      <c r="G137" s="10">
        <v>7.3</v>
      </c>
      <c r="H137" s="10">
        <v>9.4</v>
      </c>
      <c r="I137" s="10">
        <v>12.1</v>
      </c>
      <c r="J137" s="10">
        <v>3.5</v>
      </c>
      <c r="K137" s="10">
        <v>1.8</v>
      </c>
      <c r="L137" s="10">
        <v>1.8</v>
      </c>
      <c r="M137" s="10">
        <v>0</v>
      </c>
      <c r="N137" s="10">
        <v>0.3</v>
      </c>
      <c r="O137" s="10">
        <v>0.4</v>
      </c>
      <c r="P137" s="10">
        <v>-0.2</v>
      </c>
    </row>
    <row r="138" spans="1:16" x14ac:dyDescent="0.25">
      <c r="A138" s="9" t="s">
        <v>57</v>
      </c>
      <c r="B138" s="9" t="s">
        <v>30</v>
      </c>
      <c r="C138" s="9" t="s">
        <v>63</v>
      </c>
      <c r="D138" s="9"/>
      <c r="E138" s="10">
        <v>0.1</v>
      </c>
      <c r="F138" s="10">
        <v>0</v>
      </c>
      <c r="G138" s="10">
        <v>0.1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0.1</v>
      </c>
      <c r="N138" s="10">
        <v>0</v>
      </c>
      <c r="O138" s="10">
        <v>0</v>
      </c>
      <c r="P138" s="10">
        <v>0</v>
      </c>
    </row>
    <row r="139" spans="1:16" x14ac:dyDescent="0.25">
      <c r="A139" s="9" t="s">
        <v>57</v>
      </c>
      <c r="B139" s="9" t="s">
        <v>30</v>
      </c>
      <c r="C139" s="9" t="s">
        <v>64</v>
      </c>
      <c r="D139" s="9"/>
      <c r="E139" s="10">
        <v>1.5</v>
      </c>
      <c r="F139" s="10">
        <v>1.1000000000000001</v>
      </c>
      <c r="G139" s="10">
        <v>1.3</v>
      </c>
      <c r="H139" s="10">
        <v>1.2</v>
      </c>
      <c r="I139" s="10">
        <v>1.3</v>
      </c>
      <c r="J139" s="10">
        <v>1.1000000000000001</v>
      </c>
      <c r="K139" s="10">
        <v>1.2</v>
      </c>
      <c r="L139" s="10">
        <v>1.3</v>
      </c>
      <c r="M139" s="10">
        <v>1.5</v>
      </c>
      <c r="N139" s="10">
        <v>1.2</v>
      </c>
      <c r="O139" s="10">
        <v>1.6</v>
      </c>
      <c r="P139" s="10">
        <v>1.4</v>
      </c>
    </row>
    <row r="140" spans="1:16" x14ac:dyDescent="0.25">
      <c r="A140" s="9" t="s">
        <v>57</v>
      </c>
      <c r="B140" s="9" t="s">
        <v>30</v>
      </c>
      <c r="C140" s="9" t="s">
        <v>65</v>
      </c>
      <c r="D140" s="9"/>
      <c r="E140" s="10">
        <v>0.1</v>
      </c>
      <c r="F140" s="10">
        <v>0.1</v>
      </c>
      <c r="G140" s="10">
        <v>0.1</v>
      </c>
      <c r="H140" s="10">
        <v>0.1</v>
      </c>
      <c r="I140" s="10">
        <v>0.1</v>
      </c>
      <c r="J140" s="10">
        <v>0.1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-0.1</v>
      </c>
    </row>
    <row r="141" spans="1:16" x14ac:dyDescent="0.25">
      <c r="A141" s="9" t="s">
        <v>57</v>
      </c>
      <c r="B141" s="9" t="s">
        <v>19</v>
      </c>
      <c r="C141" s="9" t="s">
        <v>66</v>
      </c>
      <c r="D141" s="9"/>
      <c r="E141" s="10">
        <v>9.6999999999999993</v>
      </c>
      <c r="F141" s="10">
        <v>8.6999999999999993</v>
      </c>
      <c r="G141" s="10">
        <v>7.7</v>
      </c>
      <c r="H141" s="10">
        <v>10.6</v>
      </c>
      <c r="I141" s="10">
        <v>8.1</v>
      </c>
      <c r="J141" s="10">
        <v>9.6</v>
      </c>
      <c r="K141" s="10">
        <v>7.4</v>
      </c>
      <c r="L141" s="10">
        <v>7.1</v>
      </c>
      <c r="M141" s="10">
        <v>7.8</v>
      </c>
      <c r="N141" s="10">
        <v>8.8000000000000007</v>
      </c>
      <c r="O141" s="10">
        <v>9.1999999999999993</v>
      </c>
      <c r="P141" s="10">
        <v>9.9</v>
      </c>
    </row>
    <row r="142" spans="1:16" x14ac:dyDescent="0.25">
      <c r="A142" s="9" t="s">
        <v>57</v>
      </c>
      <c r="B142" s="9" t="s">
        <v>19</v>
      </c>
      <c r="C142" s="9" t="s">
        <v>67</v>
      </c>
      <c r="D142" s="9"/>
      <c r="E142" s="10">
        <v>24.1</v>
      </c>
      <c r="F142" s="10">
        <v>21.7</v>
      </c>
      <c r="G142" s="10">
        <v>21.2</v>
      </c>
      <c r="H142" s="10">
        <v>27</v>
      </c>
      <c r="I142" s="10">
        <v>21.2</v>
      </c>
      <c r="J142" s="10">
        <v>16.5</v>
      </c>
      <c r="K142" s="10">
        <v>16.3</v>
      </c>
      <c r="L142" s="10">
        <v>20.7</v>
      </c>
      <c r="M142" s="10">
        <v>23.8</v>
      </c>
      <c r="N142" s="10">
        <v>22</v>
      </c>
      <c r="O142" s="10">
        <v>29.1</v>
      </c>
      <c r="P142" s="10">
        <v>25.9</v>
      </c>
    </row>
    <row r="143" spans="1:16" x14ac:dyDescent="0.25">
      <c r="A143" s="9" t="s">
        <v>57</v>
      </c>
      <c r="B143" s="9" t="s">
        <v>19</v>
      </c>
      <c r="C143" s="9" t="s">
        <v>68</v>
      </c>
      <c r="D143" s="9"/>
      <c r="E143" s="10">
        <v>2.9</v>
      </c>
      <c r="F143" s="10">
        <v>0.4</v>
      </c>
      <c r="G143" s="10">
        <v>0</v>
      </c>
      <c r="H143" s="10">
        <v>0.2</v>
      </c>
      <c r="I143" s="10">
        <v>0</v>
      </c>
      <c r="J143" s="10">
        <v>-0.7</v>
      </c>
      <c r="K143" s="10">
        <v>0.7</v>
      </c>
      <c r="L143" s="10">
        <v>0</v>
      </c>
      <c r="M143" s="10">
        <v>0</v>
      </c>
      <c r="N143" s="10">
        <v>0</v>
      </c>
      <c r="O143" s="10">
        <v>0</v>
      </c>
      <c r="P143" s="10">
        <v>-0.6</v>
      </c>
    </row>
    <row r="144" spans="1:16" x14ac:dyDescent="0.25">
      <c r="A144" s="9" t="s">
        <v>57</v>
      </c>
      <c r="B144" s="9" t="s">
        <v>19</v>
      </c>
      <c r="C144" s="9" t="s">
        <v>94</v>
      </c>
      <c r="D144" s="9"/>
      <c r="E144" s="10">
        <v>0.1</v>
      </c>
      <c r="F144" s="10">
        <v>0.1</v>
      </c>
      <c r="G144" s="10">
        <v>0.1</v>
      </c>
      <c r="H144" s="10">
        <v>0</v>
      </c>
      <c r="I144" s="10">
        <v>0.2</v>
      </c>
      <c r="J144" s="10">
        <v>-1.1000000000000001</v>
      </c>
      <c r="K144" s="10">
        <v>1.1000000000000001</v>
      </c>
      <c r="L144" s="10">
        <v>0</v>
      </c>
      <c r="M144" s="10">
        <v>0</v>
      </c>
      <c r="N144" s="10">
        <v>1.2</v>
      </c>
      <c r="O144" s="10">
        <v>0.1</v>
      </c>
      <c r="P144" s="10">
        <v>-1.3</v>
      </c>
    </row>
    <row r="145" spans="1:16" x14ac:dyDescent="0.25">
      <c r="A145" s="9" t="s">
        <v>57</v>
      </c>
      <c r="B145" s="9" t="s">
        <v>19</v>
      </c>
      <c r="C145" s="9" t="s">
        <v>69</v>
      </c>
      <c r="D145" s="9"/>
      <c r="E145" s="10">
        <v>27.7</v>
      </c>
      <c r="F145" s="10">
        <v>28.8</v>
      </c>
      <c r="G145" s="10">
        <v>32</v>
      </c>
      <c r="H145" s="10">
        <v>30.2</v>
      </c>
      <c r="I145" s="10">
        <v>27.8</v>
      </c>
      <c r="J145" s="10">
        <v>27.4</v>
      </c>
      <c r="K145" s="10">
        <v>24.4</v>
      </c>
      <c r="L145" s="10">
        <v>25.3</v>
      </c>
      <c r="M145" s="10">
        <v>25.5</v>
      </c>
      <c r="N145" s="10">
        <v>24.2</v>
      </c>
      <c r="O145" s="10">
        <v>25.3</v>
      </c>
      <c r="P145" s="10">
        <v>27.2</v>
      </c>
    </row>
    <row r="146" spans="1:16" x14ac:dyDescent="0.25">
      <c r="A146" s="9" t="s">
        <v>57</v>
      </c>
      <c r="B146" s="9" t="s">
        <v>19</v>
      </c>
      <c r="C146" s="9" t="s">
        <v>70</v>
      </c>
      <c r="D146" s="9"/>
      <c r="E146" s="10">
        <v>10.1</v>
      </c>
      <c r="F146" s="10">
        <v>9.9</v>
      </c>
      <c r="G146" s="10">
        <v>10.1</v>
      </c>
      <c r="H146" s="10">
        <v>10.199999999999999</v>
      </c>
      <c r="I146" s="10">
        <v>11.4</v>
      </c>
      <c r="J146" s="10">
        <v>11.2</v>
      </c>
      <c r="K146" s="10">
        <v>11.3</v>
      </c>
      <c r="L146" s="10">
        <v>10.8</v>
      </c>
      <c r="M146" s="10">
        <v>11.2</v>
      </c>
      <c r="N146" s="10">
        <v>10.9</v>
      </c>
      <c r="O146" s="10">
        <v>11</v>
      </c>
      <c r="P146" s="10">
        <v>10.3</v>
      </c>
    </row>
    <row r="147" spans="1:16" x14ac:dyDescent="0.25">
      <c r="A147" s="9" t="s">
        <v>57</v>
      </c>
      <c r="B147" s="9" t="s">
        <v>19</v>
      </c>
      <c r="C147" s="9" t="s">
        <v>85</v>
      </c>
      <c r="D147" s="9"/>
      <c r="E147" s="10">
        <v>0</v>
      </c>
      <c r="F147" s="10">
        <v>0</v>
      </c>
      <c r="G147" s="10">
        <v>0</v>
      </c>
      <c r="H147" s="10">
        <v>-0.2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</row>
    <row r="148" spans="1:16" x14ac:dyDescent="0.25">
      <c r="A148" s="9" t="s">
        <v>57</v>
      </c>
      <c r="B148" s="9" t="s">
        <v>19</v>
      </c>
      <c r="C148" s="9" t="s">
        <v>273</v>
      </c>
      <c r="D148" s="9"/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1.4</v>
      </c>
    </row>
    <row r="149" spans="1:16" x14ac:dyDescent="0.25">
      <c r="A149" s="9" t="s">
        <v>57</v>
      </c>
      <c r="B149" s="9" t="s">
        <v>6</v>
      </c>
      <c r="C149" s="9" t="s">
        <v>71</v>
      </c>
      <c r="D149" s="9"/>
      <c r="E149" s="10">
        <v>9.4</v>
      </c>
      <c r="F149" s="10">
        <v>9.1999999999999993</v>
      </c>
      <c r="G149" s="10">
        <v>9.1</v>
      </c>
      <c r="H149" s="10">
        <v>10.9</v>
      </c>
      <c r="I149" s="10">
        <v>10.6</v>
      </c>
      <c r="J149" s="10">
        <v>9.4</v>
      </c>
      <c r="K149" s="10">
        <v>9.9</v>
      </c>
      <c r="L149" s="10">
        <v>13.1</v>
      </c>
      <c r="M149" s="10">
        <v>11.3</v>
      </c>
      <c r="N149" s="10">
        <v>10.4</v>
      </c>
      <c r="O149" s="10">
        <v>9.6</v>
      </c>
      <c r="P149" s="10">
        <v>12.3</v>
      </c>
    </row>
    <row r="150" spans="1:16" x14ac:dyDescent="0.25">
      <c r="A150" s="9" t="s">
        <v>57</v>
      </c>
      <c r="B150" s="9" t="s">
        <v>6</v>
      </c>
      <c r="C150" s="9" t="s">
        <v>72</v>
      </c>
      <c r="D150" s="9"/>
      <c r="E150" s="10">
        <v>3.7</v>
      </c>
      <c r="F150" s="10">
        <v>3.5</v>
      </c>
      <c r="G150" s="10">
        <v>3.5</v>
      </c>
      <c r="H150" s="10">
        <v>3.4</v>
      </c>
      <c r="I150" s="10">
        <v>3.6</v>
      </c>
      <c r="J150" s="10">
        <v>3.5</v>
      </c>
      <c r="K150" s="10">
        <v>3.9</v>
      </c>
      <c r="L150" s="10">
        <v>3.5</v>
      </c>
      <c r="M150" s="10">
        <v>3.4</v>
      </c>
      <c r="N150" s="10">
        <v>3.4</v>
      </c>
      <c r="O150" s="10">
        <v>3.5</v>
      </c>
      <c r="P150" s="10">
        <v>3.4</v>
      </c>
    </row>
    <row r="151" spans="1:16" x14ac:dyDescent="0.25">
      <c r="A151" s="9" t="s">
        <v>57</v>
      </c>
      <c r="B151" s="9" t="s">
        <v>6</v>
      </c>
      <c r="C151" s="9" t="s">
        <v>73</v>
      </c>
      <c r="D151" s="9"/>
      <c r="E151" s="10">
        <v>30.4</v>
      </c>
      <c r="F151" s="10">
        <v>29.5</v>
      </c>
      <c r="G151" s="10">
        <v>28.2</v>
      </c>
      <c r="H151" s="10">
        <v>30.6</v>
      </c>
      <c r="I151" s="10">
        <v>28.9</v>
      </c>
      <c r="J151" s="10">
        <v>32</v>
      </c>
      <c r="K151" s="10">
        <v>29.9</v>
      </c>
      <c r="L151" s="10">
        <v>27.3</v>
      </c>
      <c r="M151" s="10">
        <v>29</v>
      </c>
      <c r="N151" s="10">
        <v>29.7</v>
      </c>
      <c r="O151" s="10">
        <v>29.3</v>
      </c>
      <c r="P151" s="10">
        <v>29.3</v>
      </c>
    </row>
    <row r="152" spans="1:16" x14ac:dyDescent="0.25">
      <c r="A152" s="9" t="s">
        <v>57</v>
      </c>
      <c r="B152" s="9" t="s">
        <v>89</v>
      </c>
      <c r="C152" s="9" t="s">
        <v>89</v>
      </c>
      <c r="D152" s="9"/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-0.3</v>
      </c>
      <c r="P152" s="10">
        <v>1.2</v>
      </c>
    </row>
    <row r="153" spans="1:16" x14ac:dyDescent="0.25">
      <c r="A153" s="9" t="s">
        <v>57</v>
      </c>
      <c r="B153" s="9" t="s">
        <v>89</v>
      </c>
      <c r="C153" s="9" t="s">
        <v>90</v>
      </c>
      <c r="D153" s="9"/>
      <c r="E153" s="10">
        <v>0</v>
      </c>
      <c r="F153" s="10">
        <v>0</v>
      </c>
      <c r="G153" s="10">
        <v>-0.1</v>
      </c>
      <c r="H153" s="10">
        <v>0</v>
      </c>
      <c r="I153" s="10">
        <v>-0.6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</row>
    <row r="154" spans="1:16" x14ac:dyDescent="0.25">
      <c r="A154" s="9" t="s">
        <v>21</v>
      </c>
      <c r="B154" s="9" t="s">
        <v>109</v>
      </c>
      <c r="C154" s="9" t="s">
        <v>74</v>
      </c>
      <c r="D154" s="9" t="s">
        <v>248</v>
      </c>
      <c r="E154" s="10">
        <v>64.400000000000006</v>
      </c>
      <c r="F154" s="10">
        <v>73.599999999999994</v>
      </c>
      <c r="G154" s="10">
        <v>92.9</v>
      </c>
      <c r="H154" s="10">
        <v>80.5</v>
      </c>
      <c r="I154" s="10">
        <v>73.599999999999994</v>
      </c>
      <c r="J154" s="10">
        <v>113.9</v>
      </c>
      <c r="K154" s="10">
        <v>56.3</v>
      </c>
      <c r="L154" s="10">
        <v>61.3</v>
      </c>
      <c r="M154" s="10">
        <v>61.2</v>
      </c>
      <c r="N154" s="10">
        <v>80.5</v>
      </c>
      <c r="O154" s="10">
        <v>101.2</v>
      </c>
      <c r="P154" s="10">
        <v>110.8</v>
      </c>
    </row>
    <row r="155" spans="1:16" x14ac:dyDescent="0.25">
      <c r="A155" s="9" t="s">
        <v>21</v>
      </c>
      <c r="B155" s="9" t="s">
        <v>110</v>
      </c>
      <c r="C155" s="9" t="s">
        <v>111</v>
      </c>
      <c r="D155" s="9" t="s">
        <v>249</v>
      </c>
      <c r="E155" s="10">
        <v>13</v>
      </c>
      <c r="F155" s="10">
        <v>-1.2</v>
      </c>
      <c r="G155" s="10">
        <v>7.2</v>
      </c>
      <c r="H155" s="10">
        <v>7.4</v>
      </c>
      <c r="I155" s="10">
        <v>4.3</v>
      </c>
      <c r="J155" s="10">
        <v>4.0999999999999996</v>
      </c>
      <c r="K155" s="10">
        <v>6</v>
      </c>
      <c r="L155" s="10">
        <v>4.4000000000000004</v>
      </c>
      <c r="M155" s="10">
        <v>7.9</v>
      </c>
      <c r="N155" s="10">
        <v>5.3</v>
      </c>
      <c r="O155" s="10">
        <v>4.5999999999999996</v>
      </c>
      <c r="P155" s="10">
        <v>7</v>
      </c>
    </row>
    <row r="156" spans="1:16" x14ac:dyDescent="0.25">
      <c r="A156" s="9" t="s">
        <v>21</v>
      </c>
      <c r="B156" s="9" t="s">
        <v>110</v>
      </c>
      <c r="C156" s="9" t="s">
        <v>111</v>
      </c>
      <c r="D156" s="9" t="s">
        <v>250</v>
      </c>
      <c r="E156" s="10">
        <v>0.1</v>
      </c>
      <c r="F156" s="10">
        <v>0.4</v>
      </c>
      <c r="G156" s="10">
        <v>0.3</v>
      </c>
      <c r="H156" s="10">
        <v>0.5</v>
      </c>
      <c r="I156" s="10">
        <v>0.4</v>
      </c>
      <c r="J156" s="10">
        <v>-0.2</v>
      </c>
      <c r="K156" s="10">
        <v>0.6</v>
      </c>
      <c r="L156" s="10">
        <v>1.1000000000000001</v>
      </c>
      <c r="M156" s="10">
        <v>0.4</v>
      </c>
      <c r="N156" s="10">
        <v>0.5</v>
      </c>
      <c r="O156" s="10">
        <v>1.9</v>
      </c>
      <c r="P156" s="10">
        <v>0.7</v>
      </c>
    </row>
    <row r="157" spans="1:16" x14ac:dyDescent="0.25">
      <c r="A157" s="9" t="s">
        <v>21</v>
      </c>
      <c r="B157" s="9" t="s">
        <v>110</v>
      </c>
      <c r="C157" s="9" t="s">
        <v>111</v>
      </c>
      <c r="D157" s="9" t="s">
        <v>251</v>
      </c>
      <c r="E157" s="10">
        <v>0.1</v>
      </c>
      <c r="F157" s="10">
        <v>0.2</v>
      </c>
      <c r="G157" s="10">
        <v>0.1</v>
      </c>
      <c r="H157" s="10">
        <v>0.1</v>
      </c>
      <c r="I157" s="10">
        <v>0.1</v>
      </c>
      <c r="J157" s="10">
        <v>0.1</v>
      </c>
      <c r="K157" s="10">
        <v>0.1</v>
      </c>
      <c r="L157" s="10">
        <v>0.1</v>
      </c>
      <c r="M157" s="10">
        <v>0.2</v>
      </c>
      <c r="N157" s="10">
        <v>0.2</v>
      </c>
      <c r="O157" s="10">
        <v>0.1</v>
      </c>
      <c r="P157" s="10">
        <v>0.2</v>
      </c>
    </row>
    <row r="158" spans="1:16" x14ac:dyDescent="0.25">
      <c r="A158" s="9" t="s">
        <v>21</v>
      </c>
      <c r="B158" s="9" t="s">
        <v>110</v>
      </c>
      <c r="C158" s="9" t="s">
        <v>111</v>
      </c>
      <c r="D158" s="9" t="s">
        <v>252</v>
      </c>
      <c r="E158" s="10">
        <v>1.2</v>
      </c>
      <c r="F158" s="10">
        <v>1.7</v>
      </c>
      <c r="G158" s="10">
        <v>1.2</v>
      </c>
      <c r="H158" s="10">
        <v>2.6</v>
      </c>
      <c r="I158" s="10">
        <v>1.4</v>
      </c>
      <c r="J158" s="10">
        <v>1.3</v>
      </c>
      <c r="K158" s="10">
        <v>3.2</v>
      </c>
      <c r="L158" s="10">
        <v>2.4</v>
      </c>
      <c r="M158" s="10">
        <v>2.1</v>
      </c>
      <c r="N158" s="10">
        <v>2</v>
      </c>
      <c r="O158" s="10">
        <v>1.6</v>
      </c>
      <c r="P158" s="10">
        <v>1.4</v>
      </c>
    </row>
    <row r="159" spans="1:16" x14ac:dyDescent="0.25">
      <c r="A159" s="9" t="s">
        <v>21</v>
      </c>
      <c r="B159" s="9" t="s">
        <v>112</v>
      </c>
      <c r="C159" s="9" t="s">
        <v>113</v>
      </c>
      <c r="D159" s="9" t="s">
        <v>253</v>
      </c>
      <c r="E159" s="10">
        <v>15.1</v>
      </c>
      <c r="F159" s="10">
        <v>16.8</v>
      </c>
      <c r="G159" s="10">
        <v>17.399999999999999</v>
      </c>
      <c r="H159" s="10">
        <v>16.600000000000001</v>
      </c>
      <c r="I159" s="10">
        <v>17.8</v>
      </c>
      <c r="J159" s="10">
        <v>13.6</v>
      </c>
      <c r="K159" s="10">
        <v>16.5</v>
      </c>
      <c r="L159" s="10">
        <v>16</v>
      </c>
      <c r="M159" s="10">
        <v>19.3</v>
      </c>
      <c r="N159" s="10">
        <v>17</v>
      </c>
      <c r="O159" s="10">
        <v>17.7</v>
      </c>
      <c r="P159" s="10">
        <v>23.4</v>
      </c>
    </row>
    <row r="160" spans="1:16" x14ac:dyDescent="0.25">
      <c r="A160" s="9" t="s">
        <v>21</v>
      </c>
      <c r="B160" s="9" t="s">
        <v>112</v>
      </c>
      <c r="C160" s="9" t="s">
        <v>113</v>
      </c>
      <c r="D160" s="9" t="s">
        <v>254</v>
      </c>
      <c r="E160" s="10">
        <v>0.2</v>
      </c>
      <c r="F160" s="10">
        <v>0.3</v>
      </c>
      <c r="G160" s="10">
        <v>0.3</v>
      </c>
      <c r="H160" s="10">
        <v>0.2</v>
      </c>
      <c r="I160" s="10">
        <v>0.2</v>
      </c>
      <c r="J160" s="10">
        <v>0.3</v>
      </c>
      <c r="K160" s="10">
        <v>0.2</v>
      </c>
      <c r="L160" s="10">
        <v>0.3</v>
      </c>
      <c r="M160" s="10">
        <v>0.2</v>
      </c>
      <c r="N160" s="10">
        <v>0.2</v>
      </c>
      <c r="O160" s="10">
        <v>0.2</v>
      </c>
      <c r="P160" s="10">
        <v>0.3</v>
      </c>
    </row>
    <row r="161" spans="1:16" x14ac:dyDescent="0.25">
      <c r="A161" s="9" t="s">
        <v>21</v>
      </c>
      <c r="B161" s="9" t="s">
        <v>112</v>
      </c>
      <c r="C161" s="9" t="s">
        <v>113</v>
      </c>
      <c r="D161" s="9" t="s">
        <v>255</v>
      </c>
      <c r="E161" s="10">
        <v>5.7</v>
      </c>
      <c r="F161" s="10">
        <v>5.3</v>
      </c>
      <c r="G161" s="10">
        <v>6</v>
      </c>
      <c r="H161" s="10">
        <v>5.4</v>
      </c>
      <c r="I161" s="10">
        <v>5.4</v>
      </c>
      <c r="J161" s="10">
        <v>5.5</v>
      </c>
      <c r="K161" s="10">
        <v>4.8</v>
      </c>
      <c r="L161" s="10">
        <v>5.8</v>
      </c>
      <c r="M161" s="10">
        <v>5.7</v>
      </c>
      <c r="N161" s="10">
        <v>5.2</v>
      </c>
      <c r="O161" s="10">
        <v>6.9</v>
      </c>
      <c r="P161" s="10">
        <v>6.1</v>
      </c>
    </row>
    <row r="162" spans="1:16" x14ac:dyDescent="0.25">
      <c r="A162" s="9" t="s">
        <v>21</v>
      </c>
      <c r="B162" s="9" t="s">
        <v>112</v>
      </c>
      <c r="C162" s="9" t="s">
        <v>113</v>
      </c>
      <c r="D162" s="9" t="s">
        <v>256</v>
      </c>
      <c r="E162" s="10">
        <v>2.8</v>
      </c>
      <c r="F162" s="10">
        <v>3.5</v>
      </c>
      <c r="G162" s="10">
        <v>4.7</v>
      </c>
      <c r="H162" s="10">
        <v>2.9</v>
      </c>
      <c r="I162" s="10">
        <v>2.6</v>
      </c>
      <c r="J162" s="10">
        <v>2.9</v>
      </c>
      <c r="K162" s="10">
        <v>3.1</v>
      </c>
      <c r="L162" s="10">
        <v>2.1</v>
      </c>
      <c r="M162" s="10">
        <v>2.2000000000000002</v>
      </c>
      <c r="N162" s="10">
        <v>2.9</v>
      </c>
      <c r="O162" s="10">
        <v>2.7</v>
      </c>
      <c r="P162" s="10">
        <v>3.5</v>
      </c>
    </row>
    <row r="163" spans="1:16" x14ac:dyDescent="0.25">
      <c r="A163" s="9" t="s">
        <v>21</v>
      </c>
      <c r="B163" s="9" t="s">
        <v>112</v>
      </c>
      <c r="C163" s="9" t="s">
        <v>114</v>
      </c>
      <c r="D163" s="9" t="s">
        <v>257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4.4000000000000004</v>
      </c>
      <c r="N163" s="10">
        <v>0.1</v>
      </c>
      <c r="O163" s="10">
        <v>0.5</v>
      </c>
      <c r="P163" s="10">
        <v>-0.1</v>
      </c>
    </row>
    <row r="164" spans="1:16" x14ac:dyDescent="0.25">
      <c r="A164" s="9" t="s">
        <v>21</v>
      </c>
      <c r="B164" s="9" t="s">
        <v>112</v>
      </c>
      <c r="C164" s="9" t="s">
        <v>114</v>
      </c>
      <c r="D164" s="9" t="s">
        <v>258</v>
      </c>
      <c r="E164" s="10">
        <v>1.8</v>
      </c>
      <c r="F164" s="10">
        <v>-0.8</v>
      </c>
      <c r="G164" s="10">
        <v>0.2</v>
      </c>
      <c r="H164" s="10">
        <v>0</v>
      </c>
      <c r="I164" s="10">
        <v>0.9</v>
      </c>
      <c r="J164" s="10">
        <v>0</v>
      </c>
      <c r="K164" s="10">
        <v>0</v>
      </c>
      <c r="L164" s="10">
        <v>0.2</v>
      </c>
      <c r="M164" s="10">
        <v>0.3</v>
      </c>
      <c r="N164" s="10">
        <v>0.2</v>
      </c>
      <c r="O164" s="10">
        <v>0.2</v>
      </c>
      <c r="P164" s="10">
        <v>0.4</v>
      </c>
    </row>
    <row r="165" spans="1:16" x14ac:dyDescent="0.25">
      <c r="A165" s="9" t="s">
        <v>21</v>
      </c>
      <c r="B165" s="9" t="s">
        <v>112</v>
      </c>
      <c r="C165" s="9" t="s">
        <v>114</v>
      </c>
      <c r="D165" s="9" t="s">
        <v>259</v>
      </c>
      <c r="E165" s="10">
        <v>0.4</v>
      </c>
      <c r="F165" s="10">
        <v>0.2</v>
      </c>
      <c r="G165" s="10">
        <v>0.3</v>
      </c>
      <c r="H165" s="10">
        <v>0.2</v>
      </c>
      <c r="I165" s="10">
        <v>0.2</v>
      </c>
      <c r="J165" s="10">
        <v>0.1</v>
      </c>
      <c r="K165" s="10">
        <v>0.1</v>
      </c>
      <c r="L165" s="10">
        <v>0.1</v>
      </c>
      <c r="M165" s="10">
        <v>0.1</v>
      </c>
      <c r="N165" s="10">
        <v>0.2</v>
      </c>
      <c r="O165" s="10">
        <v>0.3</v>
      </c>
      <c r="P165" s="10">
        <v>1</v>
      </c>
    </row>
    <row r="166" spans="1:16" x14ac:dyDescent="0.25">
      <c r="A166" s="9" t="s">
        <v>21</v>
      </c>
      <c r="B166" s="9" t="s">
        <v>112</v>
      </c>
      <c r="C166" s="9" t="s">
        <v>114</v>
      </c>
      <c r="D166" s="9" t="s">
        <v>260</v>
      </c>
      <c r="E166" s="10">
        <v>0.3</v>
      </c>
      <c r="F166" s="10">
        <v>1.8</v>
      </c>
      <c r="G166" s="10">
        <v>2.6</v>
      </c>
      <c r="H166" s="10">
        <v>3.8</v>
      </c>
      <c r="I166" s="10">
        <v>0.5</v>
      </c>
      <c r="J166" s="10">
        <v>1.1000000000000001</v>
      </c>
      <c r="K166" s="10">
        <v>1.1000000000000001</v>
      </c>
      <c r="L166" s="10">
        <v>0.4</v>
      </c>
      <c r="M166" s="10">
        <v>0.8</v>
      </c>
      <c r="N166" s="10">
        <v>0.2</v>
      </c>
      <c r="O166" s="10">
        <v>0</v>
      </c>
      <c r="P166" s="10">
        <v>0.2</v>
      </c>
    </row>
    <row r="167" spans="1:16" x14ac:dyDescent="0.25">
      <c r="A167" s="9" t="s">
        <v>21</v>
      </c>
      <c r="B167" s="9" t="s">
        <v>112</v>
      </c>
      <c r="C167" s="9" t="s">
        <v>114</v>
      </c>
      <c r="D167" s="9" t="s">
        <v>261</v>
      </c>
      <c r="E167" s="10">
        <v>0.2</v>
      </c>
      <c r="F167" s="10">
        <v>0.2</v>
      </c>
      <c r="G167" s="10">
        <v>0.2</v>
      </c>
      <c r="H167" s="10">
        <v>0.3</v>
      </c>
      <c r="I167" s="10">
        <v>0.2</v>
      </c>
      <c r="J167" s="10">
        <v>0.2</v>
      </c>
      <c r="K167" s="10">
        <v>0.2</v>
      </c>
      <c r="L167" s="10">
        <v>0.2</v>
      </c>
      <c r="M167" s="10">
        <v>0.2</v>
      </c>
      <c r="N167" s="10">
        <v>0.2</v>
      </c>
      <c r="O167" s="10">
        <v>0.2</v>
      </c>
      <c r="P167" s="10">
        <v>0.2</v>
      </c>
    </row>
    <row r="168" spans="1:16" x14ac:dyDescent="0.25">
      <c r="A168" s="9" t="s">
        <v>21</v>
      </c>
      <c r="B168" s="9" t="s">
        <v>112</v>
      </c>
      <c r="C168" s="9" t="s">
        <v>114</v>
      </c>
      <c r="D168" s="9" t="s">
        <v>262</v>
      </c>
      <c r="E168" s="10">
        <v>0.7</v>
      </c>
      <c r="F168" s="10">
        <v>1.6</v>
      </c>
      <c r="G168" s="10">
        <v>1.1000000000000001</v>
      </c>
      <c r="H168" s="10">
        <v>1.1000000000000001</v>
      </c>
      <c r="I168" s="10">
        <v>0.9</v>
      </c>
      <c r="J168" s="10">
        <v>0.8</v>
      </c>
      <c r="K168" s="10">
        <v>0.6</v>
      </c>
      <c r="L168" s="10">
        <v>1</v>
      </c>
      <c r="M168" s="10">
        <v>0.7</v>
      </c>
      <c r="N168" s="10">
        <v>1.2</v>
      </c>
      <c r="O168" s="10">
        <v>2.9</v>
      </c>
      <c r="P168" s="10">
        <v>0.1</v>
      </c>
    </row>
    <row r="169" spans="1:16" x14ac:dyDescent="0.25">
      <c r="A169" s="9" t="s">
        <v>21</v>
      </c>
      <c r="B169" s="9" t="s">
        <v>115</v>
      </c>
      <c r="C169" s="9" t="s">
        <v>26</v>
      </c>
      <c r="D169" s="9" t="s">
        <v>263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1.2</v>
      </c>
      <c r="K169" s="10">
        <v>0</v>
      </c>
      <c r="L169" s="10">
        <v>0</v>
      </c>
      <c r="M169" s="10">
        <v>0</v>
      </c>
      <c r="N169" s="10">
        <v>1.3</v>
      </c>
      <c r="O169" s="10">
        <v>0</v>
      </c>
      <c r="P169" s="10">
        <v>0</v>
      </c>
    </row>
    <row r="170" spans="1:16" x14ac:dyDescent="0.25">
      <c r="A170" s="9" t="s">
        <v>21</v>
      </c>
      <c r="B170" s="9" t="s">
        <v>115</v>
      </c>
      <c r="C170" s="9" t="s">
        <v>26</v>
      </c>
      <c r="D170" s="9" t="s">
        <v>264</v>
      </c>
      <c r="E170" s="10">
        <v>0.5</v>
      </c>
      <c r="F170" s="10">
        <v>0.5</v>
      </c>
      <c r="G170" s="10">
        <v>0.5</v>
      </c>
      <c r="H170" s="10">
        <v>0.5</v>
      </c>
      <c r="I170" s="10">
        <v>0.4</v>
      </c>
      <c r="J170" s="10">
        <v>0.2</v>
      </c>
      <c r="K170" s="10">
        <v>0.3</v>
      </c>
      <c r="L170" s="10">
        <v>0.4</v>
      </c>
      <c r="M170" s="10">
        <v>0.3</v>
      </c>
      <c r="N170" s="10">
        <v>0.3</v>
      </c>
      <c r="O170" s="10">
        <v>0.4</v>
      </c>
      <c r="P170" s="10">
        <v>0.4</v>
      </c>
    </row>
    <row r="171" spans="1:16" x14ac:dyDescent="0.25">
      <c r="A171" s="9" t="s">
        <v>21</v>
      </c>
      <c r="B171" s="9" t="s">
        <v>115</v>
      </c>
      <c r="C171" s="9" t="s">
        <v>116</v>
      </c>
      <c r="D171" s="9" t="s">
        <v>265</v>
      </c>
      <c r="E171" s="10">
        <v>0</v>
      </c>
      <c r="F171" s="10">
        <v>1.2</v>
      </c>
      <c r="G171" s="10">
        <v>0.8</v>
      </c>
      <c r="H171" s="10">
        <v>1.4</v>
      </c>
      <c r="I171" s="10">
        <v>1.4</v>
      </c>
      <c r="J171" s="10">
        <v>1.1000000000000001</v>
      </c>
      <c r="K171" s="10">
        <v>1.9</v>
      </c>
      <c r="L171" s="10">
        <v>2</v>
      </c>
      <c r="M171" s="10">
        <v>1.9</v>
      </c>
      <c r="N171" s="10">
        <v>1.7</v>
      </c>
      <c r="O171" s="10">
        <v>1.4</v>
      </c>
      <c r="P171" s="10">
        <v>1.3</v>
      </c>
    </row>
    <row r="172" spans="1:16" x14ac:dyDescent="0.25">
      <c r="A172" s="9" t="s">
        <v>21</v>
      </c>
      <c r="B172" s="9" t="s">
        <v>115</v>
      </c>
      <c r="C172" s="9" t="s">
        <v>22</v>
      </c>
      <c r="D172" s="9" t="s">
        <v>266</v>
      </c>
      <c r="E172" s="10">
        <v>0.8</v>
      </c>
      <c r="F172" s="10">
        <v>0.9</v>
      </c>
      <c r="G172" s="10">
        <v>1.4</v>
      </c>
      <c r="H172" s="10">
        <v>1.4</v>
      </c>
      <c r="I172" s="10">
        <v>1.1000000000000001</v>
      </c>
      <c r="J172" s="10">
        <v>1.4</v>
      </c>
      <c r="K172" s="10">
        <v>0.8</v>
      </c>
      <c r="L172" s="10">
        <v>1.8</v>
      </c>
      <c r="M172" s="10">
        <v>1.7</v>
      </c>
      <c r="N172" s="10">
        <v>1.7</v>
      </c>
      <c r="O172" s="10">
        <v>1.6</v>
      </c>
      <c r="P172" s="10">
        <v>1.9</v>
      </c>
    </row>
    <row r="173" spans="1:16" x14ac:dyDescent="0.25">
      <c r="A173" s="9" t="s">
        <v>21</v>
      </c>
      <c r="B173" s="9" t="s">
        <v>27</v>
      </c>
      <c r="C173" s="9" t="s">
        <v>117</v>
      </c>
      <c r="D173" s="9" t="s">
        <v>267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-0.1</v>
      </c>
      <c r="N173" s="10">
        <v>0</v>
      </c>
      <c r="O173" s="10">
        <v>-0.1</v>
      </c>
      <c r="P173" s="10">
        <v>0</v>
      </c>
    </row>
    <row r="174" spans="1:16" x14ac:dyDescent="0.25">
      <c r="A174" s="9" t="s">
        <v>21</v>
      </c>
      <c r="B174" s="9" t="s">
        <v>27</v>
      </c>
      <c r="C174" s="9" t="s">
        <v>117</v>
      </c>
      <c r="D174" s="9" t="s">
        <v>268</v>
      </c>
      <c r="E174" s="10">
        <v>0.5</v>
      </c>
      <c r="F174" s="10">
        <v>0</v>
      </c>
      <c r="G174" s="10">
        <v>0</v>
      </c>
      <c r="H174" s="10">
        <v>0.6</v>
      </c>
      <c r="I174" s="10">
        <v>0</v>
      </c>
      <c r="J174" s="10">
        <v>0</v>
      </c>
      <c r="K174" s="10">
        <v>0.5</v>
      </c>
      <c r="L174" s="10">
        <v>0</v>
      </c>
      <c r="M174" s="10">
        <v>0</v>
      </c>
      <c r="N174" s="10">
        <v>0.4</v>
      </c>
      <c r="O174" s="10">
        <v>0</v>
      </c>
      <c r="P174" s="10">
        <v>0</v>
      </c>
    </row>
    <row r="175" spans="1:16" x14ac:dyDescent="0.25">
      <c r="A175" s="9" t="s">
        <v>21</v>
      </c>
      <c r="B175" s="9" t="s">
        <v>27</v>
      </c>
      <c r="C175" s="9" t="s">
        <v>117</v>
      </c>
      <c r="D175" s="9" t="s">
        <v>269</v>
      </c>
      <c r="E175" s="10">
        <v>0</v>
      </c>
      <c r="F175" s="10">
        <v>0.1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</row>
    <row r="176" spans="1:16" x14ac:dyDescent="0.25">
      <c r="A176" s="9" t="s">
        <v>21</v>
      </c>
      <c r="B176" s="9" t="s">
        <v>27</v>
      </c>
      <c r="C176" s="9" t="s">
        <v>118</v>
      </c>
      <c r="D176" s="9" t="s">
        <v>270</v>
      </c>
      <c r="E176" s="10">
        <v>0.4</v>
      </c>
      <c r="F176" s="10">
        <v>-0.4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0.6</v>
      </c>
    </row>
    <row r="177" spans="1:16" x14ac:dyDescent="0.25">
      <c r="A177" s="9" t="s">
        <v>21</v>
      </c>
      <c r="B177" s="9" t="s">
        <v>119</v>
      </c>
      <c r="C177" s="9" t="s">
        <v>99</v>
      </c>
      <c r="D177" s="9" t="s">
        <v>271</v>
      </c>
      <c r="E177" s="10">
        <v>0</v>
      </c>
      <c r="F177" s="10">
        <v>0</v>
      </c>
      <c r="G177" s="10">
        <v>0</v>
      </c>
      <c r="H177" s="10">
        <v>0</v>
      </c>
      <c r="I177" s="10">
        <v>27.3</v>
      </c>
      <c r="J177" s="10">
        <v>-22.6</v>
      </c>
      <c r="K177" s="10">
        <v>0</v>
      </c>
      <c r="L177" s="10">
        <v>22.6</v>
      </c>
      <c r="M177" s="10">
        <v>0</v>
      </c>
      <c r="N177" s="10">
        <v>0</v>
      </c>
      <c r="O177" s="10">
        <v>0</v>
      </c>
      <c r="P177" s="10">
        <v>0</v>
      </c>
    </row>
    <row r="178" spans="1:16" x14ac:dyDescent="0.25">
      <c r="A178" s="9" t="s">
        <v>21</v>
      </c>
      <c r="B178" s="9" t="s">
        <v>120</v>
      </c>
      <c r="C178" s="9" t="s">
        <v>120</v>
      </c>
      <c r="D178" s="9" t="s">
        <v>272</v>
      </c>
      <c r="E178" s="10">
        <v>-0.3</v>
      </c>
      <c r="F178" s="10">
        <v>-0.4</v>
      </c>
      <c r="G178" s="10">
        <v>-0.9</v>
      </c>
      <c r="H178" s="10">
        <v>-0.5</v>
      </c>
      <c r="I178" s="10">
        <v>-0.5</v>
      </c>
      <c r="J178" s="10">
        <v>-0.6</v>
      </c>
      <c r="K178" s="10">
        <v>-0.3</v>
      </c>
      <c r="L178" s="10">
        <v>-0.5</v>
      </c>
      <c r="M178" s="10">
        <v>-0.6</v>
      </c>
      <c r="N178" s="10">
        <v>-0.8</v>
      </c>
      <c r="O178" s="10">
        <v>-0.9</v>
      </c>
      <c r="P178" s="10">
        <v>-1.5</v>
      </c>
    </row>
    <row r="179" spans="1:16" x14ac:dyDescent="0.25">
      <c r="A179" s="9" t="s">
        <v>23</v>
      </c>
      <c r="B179" s="9" t="s">
        <v>24</v>
      </c>
      <c r="C179" s="9"/>
      <c r="D179" s="9"/>
      <c r="E179" s="10">
        <v>-2.1</v>
      </c>
      <c r="F179" s="10">
        <v>-3.1</v>
      </c>
      <c r="G179" s="10">
        <v>-2</v>
      </c>
      <c r="H179" s="10">
        <v>-0.7</v>
      </c>
      <c r="I179" s="10">
        <v>0.79999999999999982</v>
      </c>
      <c r="J179" s="10">
        <v>8.1999999999999886</v>
      </c>
      <c r="K179" s="10">
        <v>-2.2000000000000002</v>
      </c>
      <c r="L179" s="10">
        <v>-24.3</v>
      </c>
      <c r="M179" s="10">
        <v>-1.7999999999999998</v>
      </c>
      <c r="N179" s="10">
        <v>-2.1</v>
      </c>
      <c r="O179" s="10">
        <v>-2.2000000000000171</v>
      </c>
      <c r="P179" s="10">
        <v>-2.6</v>
      </c>
    </row>
    <row r="180" spans="1:16" x14ac:dyDescent="0.25">
      <c r="A180" s="9" t="s">
        <v>23</v>
      </c>
      <c r="B180" s="9" t="s">
        <v>104</v>
      </c>
      <c r="C180" s="9"/>
      <c r="D180" s="9"/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0.1</v>
      </c>
      <c r="K180" s="10">
        <v>0</v>
      </c>
      <c r="L180" s="10">
        <v>0</v>
      </c>
      <c r="M180" s="10">
        <v>0</v>
      </c>
      <c r="N180" s="10">
        <v>0.1</v>
      </c>
      <c r="O180" s="10">
        <v>0</v>
      </c>
      <c r="P180" s="10">
        <v>0.4</v>
      </c>
    </row>
    <row r="181" spans="1:16" x14ac:dyDescent="0.25">
      <c r="A181" s="9" t="s">
        <v>25</v>
      </c>
      <c r="B181" s="9" t="s">
        <v>2</v>
      </c>
      <c r="C181" s="9"/>
      <c r="D181" s="9"/>
      <c r="E181" s="10">
        <v>0.1</v>
      </c>
      <c r="F181" s="10">
        <v>0.1</v>
      </c>
      <c r="G181" s="10">
        <v>0.2</v>
      </c>
      <c r="H181" s="10">
        <v>0.1</v>
      </c>
      <c r="I181" s="10">
        <v>0.1</v>
      </c>
      <c r="J181" s="10">
        <v>0.1</v>
      </c>
      <c r="K181" s="10">
        <v>0</v>
      </c>
      <c r="L181" s="10">
        <v>0</v>
      </c>
      <c r="M181" s="10">
        <v>0.1</v>
      </c>
      <c r="N181" s="10">
        <v>0</v>
      </c>
      <c r="O181" s="10">
        <v>0</v>
      </c>
      <c r="P181" s="10">
        <v>0</v>
      </c>
    </row>
    <row r="182" spans="1:16" x14ac:dyDescent="0.25">
      <c r="A182" s="9" t="s">
        <v>4</v>
      </c>
      <c r="B182" s="9" t="s">
        <v>4</v>
      </c>
      <c r="C182" s="9"/>
      <c r="D182" s="9"/>
      <c r="E182" s="11">
        <v>0.30000000000013644</v>
      </c>
      <c r="F182" s="11">
        <v>9.095502129241595E-14</v>
      </c>
      <c r="G182" s="11">
        <v>1.1368683772161603E-13</v>
      </c>
      <c r="H182" s="11">
        <v>0.2</v>
      </c>
      <c r="I182" s="11">
        <v>9.9999999999909051E-2</v>
      </c>
      <c r="J182" s="11">
        <v>0</v>
      </c>
      <c r="K182" s="11">
        <v>-0.2</v>
      </c>
      <c r="L182" s="11">
        <v>0.30000000000002275</v>
      </c>
      <c r="M182" s="11">
        <v>-0.2000000000001137</v>
      </c>
      <c r="N182" s="11">
        <v>0.2</v>
      </c>
      <c r="O182" s="11">
        <v>0.50000000000002276</v>
      </c>
      <c r="P182" s="11">
        <v>0.3</v>
      </c>
    </row>
    <row r="183" spans="1:16" x14ac:dyDescent="0.25">
      <c r="A183" s="9"/>
      <c r="B183" s="9"/>
      <c r="C183" s="9"/>
      <c r="D183" s="9"/>
      <c r="E183" s="10">
        <f t="shared" ref="E183:P183" si="0">SUBTOTAL(109,E2:E182)</f>
        <v>780.7000000000005</v>
      </c>
      <c r="F183" s="10">
        <f t="shared" si="0"/>
        <v>751.70000000000027</v>
      </c>
      <c r="G183" s="10">
        <f t="shared" si="0"/>
        <v>831.2000000000005</v>
      </c>
      <c r="H183" s="10">
        <f t="shared" si="0"/>
        <v>882.30000000000052</v>
      </c>
      <c r="I183" s="10">
        <f t="shared" si="0"/>
        <v>879.59999999999991</v>
      </c>
      <c r="J183" s="10">
        <f t="shared" si="0"/>
        <v>793.30000000000018</v>
      </c>
      <c r="K183" s="10">
        <f t="shared" si="0"/>
        <v>659.30000000000007</v>
      </c>
      <c r="L183" s="10">
        <f t="shared" si="0"/>
        <v>769.00000000000034</v>
      </c>
      <c r="M183" s="10">
        <f t="shared" si="0"/>
        <v>845.8</v>
      </c>
      <c r="N183" s="10">
        <f t="shared" si="0"/>
        <v>847.90000000000055</v>
      </c>
      <c r="O183" s="10">
        <f t="shared" si="0"/>
        <v>893.10000000000025</v>
      </c>
      <c r="P183" s="10">
        <f t="shared" si="0"/>
        <v>939.40000000000009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40309023BBB240BDDD745512FE6FC0" ma:contentTypeVersion="19" ma:contentTypeDescription="Create a new document." ma:contentTypeScope="" ma:versionID="bca74e3963039b17045808f1d70152ec">
  <xsd:schema xmlns:xsd="http://www.w3.org/2001/XMLSchema" xmlns:xs="http://www.w3.org/2001/XMLSchema" xmlns:p="http://schemas.microsoft.com/office/2006/metadata/properties" xmlns:ns2="6714b93b-7bd7-4b80-a822-b3542bc82a91" xmlns:ns3="64446c53-5a46-4286-a7ef-0bf72ff9c72c" xmlns:ns4="db50d7e9-ed42-42fb-ade4-11fb6fb5c797" targetNamespace="http://schemas.microsoft.com/office/2006/metadata/properties" ma:root="true" ma:fieldsID="fb7d738d4252e801ad86f80c1511fd4d" ns2:_="" ns3:_="" ns4:_="">
    <xsd:import namespace="6714b93b-7bd7-4b80-a822-b3542bc82a91"/>
    <xsd:import namespace="64446c53-5a46-4286-a7ef-0bf72ff9c72c"/>
    <xsd:import namespace="db50d7e9-ed42-42fb-ade4-11fb6fb5c7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4b93b-7bd7-4b80-a822-b3542bc82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0964440-26cf-4116-9cc4-0a071263a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446c53-5a46-4286-a7ef-0bf72ff9c72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0d7e9-ed42-42fb-ade4-11fb6fb5c797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74c5e9a3-3f18-4bf3-bb21-3bb000dcf3a6}" ma:internalName="TaxCatchAll" ma:showField="CatchAllData" ma:web="64446c53-5a46-4286-a7ef-0bf72ff9c7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14b93b-7bd7-4b80-a822-b3542bc82a91">
      <Terms xmlns="http://schemas.microsoft.com/office/infopath/2007/PartnerControls"/>
    </lcf76f155ced4ddcb4097134ff3c332f>
    <TaxCatchAll xmlns="db50d7e9-ed42-42fb-ade4-11fb6fb5c797" xsi:nil="true"/>
  </documentManagement>
</p:properties>
</file>

<file path=customXml/itemProps1.xml><?xml version="1.0" encoding="utf-8"?>
<ds:datastoreItem xmlns:ds="http://schemas.openxmlformats.org/officeDocument/2006/customXml" ds:itemID="{CB8637FF-BCD8-47C7-AA8A-0A22DF815CDF}"/>
</file>

<file path=customXml/itemProps2.xml><?xml version="1.0" encoding="utf-8"?>
<ds:datastoreItem xmlns:ds="http://schemas.openxmlformats.org/officeDocument/2006/customXml" ds:itemID="{D1CCDD0C-438C-4885-8040-028FE1B9EBCD}"/>
</file>

<file path=customXml/itemProps3.xml><?xml version="1.0" encoding="utf-8"?>
<ds:datastoreItem xmlns:ds="http://schemas.openxmlformats.org/officeDocument/2006/customXml" ds:itemID="{30B19F75-2188-49B6-911F-3EEE0F652A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FY26 JV Rev</vt:lpstr>
      <vt:lpstr>FY26 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Isabella.Wang</dc:creator>
  <cp:lastModifiedBy>Christine Wang</cp:lastModifiedBy>
  <dcterms:created xsi:type="dcterms:W3CDTF">2021-09-13T04:19:51Z</dcterms:created>
  <dcterms:modified xsi:type="dcterms:W3CDTF">2026-07-23T02:13:02Z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MSIP_Label_e70743cf-97e7-4fb6-b793-0a35c698e10d_Enabled">
    <vt:lpwstr>true</vt:lpwstr>
  </property>
  <property fmtid="{D5CDD505-2E9C-101B-9397-08002B2CF9AE}" pid="4" name="MSIP_Label_e70743cf-97e7-4fb6-b793-0a35c698e10d_SetDate">
    <vt:lpwstr>2024-04-07T23:02:43Z</vt:lpwstr>
  </property>
  <property fmtid="{D5CDD505-2E9C-101B-9397-08002B2CF9AE}" pid="5" name="MSIP_Label_e70743cf-97e7-4fb6-b793-0a35c698e10d_Method">
    <vt:lpwstr>Privileged</vt:lpwstr>
  </property>
  <property fmtid="{D5CDD505-2E9C-101B-9397-08002B2CF9AE}" pid="6" name="MSIP_Label_e70743cf-97e7-4fb6-b793-0a35c698e10d_Name">
    <vt:lpwstr>Internal-InternalOnly</vt:lpwstr>
  </property>
  <property fmtid="{D5CDD505-2E9C-101B-9397-08002B2CF9AE}" pid="7" name="MSIP_Label_e70743cf-97e7-4fb6-b793-0a35c698e10d_SiteId">
    <vt:lpwstr>fa4bc6e2-c0ed-43ec-9d6d-145e7e36a1a5</vt:lpwstr>
  </property>
  <property fmtid="{D5CDD505-2E9C-101B-9397-08002B2CF9AE}" pid="8" name="MSIP_Label_e70743cf-97e7-4fb6-b793-0a35c698e10d_ActionId">
    <vt:lpwstr>75be9e78-69fe-4aed-8052-6231354419c5</vt:lpwstr>
  </property>
  <property fmtid="{D5CDD505-2E9C-101B-9397-08002B2CF9AE}" pid="9" name="MSIP_Label_e70743cf-97e7-4fb6-b793-0a35c698e10d_ContentBits">
    <vt:lpwstr>2</vt:lpwstr>
  </property>
  <property fmtid="{D5CDD505-2E9C-101B-9397-08002B2CF9AE}" pid="10" name="ContentTypeId">
    <vt:lpwstr>0x0101009040309023BBB240BDDD745512FE6FC0</vt:lpwstr>
  </property>
</Properties>
</file>