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ccount_Setup_and_Data_Load" sheetId="1" state="visible" r:id="rId1"/>
    <sheet name="FY26 JV Revenue" sheetId="2" state="visible" r:id="rId2"/>
    <sheet name="Monthly Totals Check" sheetId="3" state="visible" r:id="rId3"/>
    <sheet name="Check - By JV by Month" sheetId="4" state="visible" r:id="rId4"/>
  </sheets>
  <definedNames/>
  <calcPr calcId="124519" fullCalcOnLoad="1"/>
</workbook>
</file>

<file path=xl/styles.xml><?xml version="1.0" encoding="utf-8"?>
<styleSheet xmlns="http://schemas.openxmlformats.org/spreadsheetml/2006/main">
  <numFmts count="3">
    <numFmt numFmtId="164" formatCode="yyyy\-mm\-dd"/>
    <numFmt numFmtId="165" formatCode="#,##0.0;\-#,##0.0;\-"/>
    <numFmt numFmtId="166" formatCode="0.0000"/>
  </numFmts>
  <fonts count="7">
    <font>
      <name val="Calibri"/>
      <family val="2"/>
      <color theme="1"/>
      <sz val="11"/>
      <scheme val="minor"/>
    </font>
    <font>
      <name val="Aptos Narrow"/>
      <sz val="11"/>
    </font>
    <font>
      <name val="Arial"/>
      <b val="1"/>
      <color rgb="00FFFFFF"/>
      <sz val="12"/>
    </font>
    <font>
      <name val="Arial"/>
      <color rgb="00FFFFFF"/>
      <sz val="10"/>
    </font>
    <font>
      <name val="Arial"/>
      <b val="1"/>
      <color rgb="00FFFFFF"/>
      <sz val="10"/>
    </font>
    <font>
      <name val="Arial"/>
      <sz val="10"/>
    </font>
    <font>
      <name val="Arial"/>
      <b val="1"/>
      <sz val="10"/>
    </font>
  </fonts>
  <fills count="7">
    <fill>
      <patternFill/>
    </fill>
    <fill>
      <patternFill patternType="gray125"/>
    </fill>
    <fill>
      <patternFill patternType="solid">
        <fgColor rgb="001A1A1A"/>
      </patternFill>
    </fill>
    <fill>
      <patternFill patternType="solid">
        <fgColor rgb="0000AEEF"/>
      </patternFill>
    </fill>
    <fill>
      <patternFill patternType="solid">
        <fgColor rgb="00595959"/>
      </patternFill>
    </fill>
    <fill>
      <patternFill patternType="solid">
        <fgColor rgb="00F5F5F5"/>
      </patternFill>
    </fill>
    <fill>
      <patternFill patternType="solid">
        <fgColor rgb="00FFFF00"/>
      </patternFill>
    </fill>
  </fills>
  <borders count="1">
    <border>
      <left/>
      <right/>
      <top/>
      <bottom/>
      <diagonal/>
    </border>
  </borders>
  <cellStyleXfs count="1">
    <xf numFmtId="0" fontId="0" fillId="0" borderId="0"/>
  </cellStyleXfs>
  <cellXfs count="15">
    <xf numFmtId="0" fontId="0" fillId="0" borderId="0" pivotButton="0" quotePrefix="0" xfId="0"/>
    <xf numFmtId="0" fontId="1" fillId="0" borderId="0" pivotButton="0" quotePrefix="0" xfId="0"/>
    <xf numFmtId="164" fontId="1" fillId="0" borderId="0" pivotButton="0" quotePrefix="0" xfId="0"/>
    <xf numFmtId="165" fontId="1" fillId="0" borderId="0" pivotButton="0" quotePrefix="0" xfId="0"/>
    <xf numFmtId="0" fontId="2" fillId="2" borderId="0" pivotButton="0" quotePrefix="0" xfId="0"/>
    <xf numFmtId="0" fontId="3" fillId="3" borderId="0" pivotButton="0" quotePrefix="0" xfId="0"/>
    <xf numFmtId="0" fontId="4" fillId="4" borderId="0" pivotButton="0" quotePrefix="0" xfId="0"/>
    <xf numFmtId="0" fontId="5" fillId="5" borderId="0" pivotButton="0" quotePrefix="0" xfId="0"/>
    <xf numFmtId="165" fontId="5" fillId="5" borderId="0" pivotButton="0" quotePrefix="0" xfId="0"/>
    <xf numFmtId="0" fontId="6" fillId="6" borderId="0" pivotButton="0" quotePrefix="0" xfId="0"/>
    <xf numFmtId="165" fontId="4" fillId="4" borderId="0" pivotButton="0" quotePrefix="0" xfId="0"/>
    <xf numFmtId="0" fontId="6" fillId="0" borderId="0" applyAlignment="1" pivotButton="0" quotePrefix="0" xfId="0">
      <alignment vertical="top"/>
    </xf>
    <xf numFmtId="0" fontId="5" fillId="0" borderId="0" applyAlignment="1" pivotButton="0" quotePrefix="0" xfId="0">
      <alignment vertical="top"/>
    </xf>
    <xf numFmtId="166" fontId="5" fillId="5" borderId="0" pivotButton="0" quotePrefix="0" xfId="0"/>
    <xf numFmtId="166" fontId="4"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61"/>
  <sheetViews>
    <sheetView workbookViewId="0">
      <pane ySplit="1" topLeftCell="A2" activePane="bottomLeft" state="frozen"/>
      <selection pane="bottomLeft" activeCell="A1" sqref="A1"/>
    </sheetView>
  </sheetViews>
  <sheetFormatPr baseColWidth="8" defaultRowHeight="15"/>
  <cols>
    <col width="37.42578125" customWidth="1" min="3" max="3"/>
    <col width="16.5703125" customWidth="1" min="4" max="4"/>
    <col width="21.28515625" customWidth="1" min="6" max="6"/>
    <col width="25.5703125" customWidth="1" min="7" max="7"/>
    <col width="39" customWidth="1" min="8" max="8"/>
    <col width="51.28515625" customWidth="1" min="9" max="9"/>
    <col width="13.140625" customWidth="1" min="12" max="12"/>
    <col width="12.85546875" customWidth="1" min="13" max="13"/>
    <col width="21.42578125" customWidth="1" min="17" max="17"/>
    <col width="64.85546875" customWidth="1" min="18" max="18"/>
    <col width="24.140625" customWidth="1" min="19" max="19"/>
    <col width="9.140625" customWidth="1" min="20" max="20"/>
  </cols>
  <sheetData>
    <row r="1">
      <c r="A1" s="1" t="inlineStr">
        <is>
          <t>Organization Link</t>
        </is>
      </c>
      <c r="B1" s="1" t="inlineStr">
        <is>
          <t>Organization</t>
        </is>
      </c>
      <c r="C1" s="1" t="inlineStr">
        <is>
          <t>Location</t>
        </is>
      </c>
      <c r="D1" s="1" t="inlineStr">
        <is>
          <t>Location Ref</t>
        </is>
      </c>
      <c r="E1" s="1" t="inlineStr">
        <is>
          <t>Account Style Link</t>
        </is>
      </c>
      <c r="F1" s="1" t="inlineStr">
        <is>
          <t>Account Style Caption</t>
        </is>
      </c>
      <c r="G1" s="1" t="inlineStr">
        <is>
          <t>Account Subtype</t>
        </is>
      </c>
      <c r="H1" s="1" t="inlineStr">
        <is>
          <t>Account Number</t>
        </is>
      </c>
      <c r="I1" s="1" t="inlineStr">
        <is>
          <t>Account Reference</t>
        </is>
      </c>
      <c r="J1" s="1" t="inlineStr">
        <is>
          <t>Account Supplier</t>
        </is>
      </c>
      <c r="K1" s="1" t="inlineStr">
        <is>
          <t>Account Reader</t>
        </is>
      </c>
      <c r="L1" s="1" t="inlineStr">
        <is>
          <t>Record Start YYYY-MM-DD</t>
        </is>
      </c>
      <c r="M1" s="1" t="inlineStr">
        <is>
          <t>Record End YYYY-MM-DD</t>
        </is>
      </c>
      <c r="N1" s="1" t="inlineStr">
        <is>
          <t>Record Data Quality</t>
        </is>
      </c>
      <c r="O1" s="1" t="inlineStr">
        <is>
          <t>Record Billing Type</t>
        </is>
      </c>
      <c r="P1" s="1" t="inlineStr">
        <is>
          <t>Record Subtype</t>
        </is>
      </c>
      <c r="Q1" s="1" t="inlineStr">
        <is>
          <t>Record Entry Method</t>
        </is>
      </c>
      <c r="R1" s="1" t="inlineStr">
        <is>
          <t>Record Reference</t>
        </is>
      </c>
      <c r="S1" s="1" t="inlineStr">
        <is>
          <t>Record Invoice Number</t>
        </is>
      </c>
      <c r="T1" s="1" t="inlineStr">
        <is>
          <t>Quantity</t>
        </is>
      </c>
      <c r="U1" s="1" t="inlineStr">
        <is>
          <t>Total Cost</t>
        </is>
      </c>
    </row>
    <row r="2">
      <c r="A2" s="1" t="n">
        <v>37395</v>
      </c>
      <c r="B2" s="1" t="inlineStr">
        <is>
          <t>Downer</t>
        </is>
      </c>
      <c r="C2" s="1" t="inlineStr">
        <is>
          <t>REV_Allied Asphalt</t>
        </is>
      </c>
      <c r="D2" s="1" t="inlineStr">
        <is>
          <t>AASPHT</t>
        </is>
      </c>
      <c r="E2" s="1" t="n">
        <v>7868</v>
      </c>
      <c r="F2" s="1" t="inlineStr">
        <is>
          <t>Revenue - AUD Million</t>
        </is>
      </c>
      <c r="H2" s="1" t="inlineStr">
        <is>
          <t>FY26REV_Allied Asphalt</t>
        </is>
      </c>
      <c r="I2" s="1" t="inlineStr">
        <is>
          <t>FY26REV_Allied Asphalt</t>
        </is>
      </c>
      <c r="J2" s="1" t="inlineStr">
        <is>
          <t>Downer</t>
        </is>
      </c>
      <c r="K2" s="1" t="inlineStr">
        <is>
          <t>Revenue</t>
        </is>
      </c>
      <c r="L2" s="2" t="inlineStr">
        <is>
          <t>2025-07-01</t>
        </is>
      </c>
      <c r="M2" s="2" t="inlineStr">
        <is>
          <t>2025-07-31</t>
        </is>
      </c>
      <c r="N2" s="1" t="inlineStr">
        <is>
          <t>Actual</t>
        </is>
      </c>
      <c r="O2" s="1" t="inlineStr">
        <is>
          <t>Standard</t>
        </is>
      </c>
      <c r="Q2" s="1" t="inlineStr">
        <is>
          <t>Insert</t>
        </is>
      </c>
      <c r="R2" s="1" t="inlineStr">
        <is>
          <t>Allied Asphalt</t>
        </is>
      </c>
      <c r="S2" s="1" t="inlineStr">
        <is>
          <t>Allied Asphalt</t>
        </is>
      </c>
      <c r="T2" s="3" t="n">
        <v>0</v>
      </c>
    </row>
    <row r="3">
      <c r="A3" s="1" t="n">
        <v>37395</v>
      </c>
      <c r="B3" s="1" t="inlineStr">
        <is>
          <t>Downer</t>
        </is>
      </c>
      <c r="C3" s="1" t="inlineStr">
        <is>
          <t>REV_BIA</t>
        </is>
      </c>
      <c r="D3" s="1" t="inlineStr">
        <is>
          <t>RSV175-1</t>
        </is>
      </c>
      <c r="E3" s="1" t="n">
        <v>7868</v>
      </c>
      <c r="F3" s="1" t="inlineStr">
        <is>
          <t>Revenue - AUD Million</t>
        </is>
      </c>
      <c r="H3" s="1" t="inlineStr">
        <is>
          <t>FY26REV_BIA</t>
        </is>
      </c>
      <c r="I3" s="1" t="inlineStr">
        <is>
          <t>FY26REV_BIA</t>
        </is>
      </c>
      <c r="J3" s="1" t="inlineStr">
        <is>
          <t>Downer</t>
        </is>
      </c>
      <c r="K3" s="1" t="inlineStr">
        <is>
          <t>Revenue</t>
        </is>
      </c>
      <c r="L3" s="2" t="inlineStr">
        <is>
          <t>2025-07-01</t>
        </is>
      </c>
      <c r="M3" s="2" t="inlineStr">
        <is>
          <t>2025-07-31</t>
        </is>
      </c>
      <c r="N3" s="1" t="inlineStr">
        <is>
          <t>Actual</t>
        </is>
      </c>
      <c r="O3" s="1" t="inlineStr">
        <is>
          <t>Standard</t>
        </is>
      </c>
      <c r="Q3" s="1" t="inlineStr">
        <is>
          <t>Insert</t>
        </is>
      </c>
      <c r="R3" s="1" t="inlineStr">
        <is>
          <t>BIA</t>
        </is>
      </c>
      <c r="S3" s="1" t="inlineStr">
        <is>
          <t>BIA</t>
        </is>
      </c>
      <c r="T3" s="3" t="n">
        <v>-4</v>
      </c>
    </row>
    <row r="4">
      <c r="A4" s="1" t="n">
        <v>37395</v>
      </c>
      <c r="B4" s="1" t="inlineStr">
        <is>
          <t>Downer</t>
        </is>
      </c>
      <c r="C4" s="1" t="inlineStr">
        <is>
          <t>REV_EDI Rail- Bombardier Transportation</t>
        </is>
      </c>
      <c r="D4" s="1" t="inlineStr">
        <is>
          <t>ERBT</t>
        </is>
      </c>
      <c r="E4" s="1" t="n">
        <v>7868</v>
      </c>
      <c r="F4" s="1" t="inlineStr">
        <is>
          <t>Revenue - AUD Million</t>
        </is>
      </c>
      <c r="H4" s="1" t="inlineStr">
        <is>
          <t>FY26REV_EDI Rail- Bombardier Transportation</t>
        </is>
      </c>
      <c r="I4" s="1" t="inlineStr">
        <is>
          <t>FY26REV_EDI Rail- Bombardier Transportation</t>
        </is>
      </c>
      <c r="J4" s="1" t="inlineStr">
        <is>
          <t>Downer</t>
        </is>
      </c>
      <c r="K4" s="1" t="inlineStr">
        <is>
          <t>Revenue</t>
        </is>
      </c>
      <c r="L4" s="2" t="inlineStr">
        <is>
          <t>2025-07-01</t>
        </is>
      </c>
      <c r="M4" s="2" t="inlineStr">
        <is>
          <t>2025-07-31</t>
        </is>
      </c>
      <c r="N4" s="1" t="inlineStr">
        <is>
          <t>Actual</t>
        </is>
      </c>
      <c r="O4" s="1" t="inlineStr">
        <is>
          <t>Standard</t>
        </is>
      </c>
      <c r="Q4" s="1" t="inlineStr">
        <is>
          <t>Insert</t>
        </is>
      </c>
      <c r="R4" s="1" t="inlineStr">
        <is>
          <t>EDI Rail- Bombardier Transportation</t>
        </is>
      </c>
      <c r="S4" s="1" t="inlineStr">
        <is>
          <t>EDI Rail- Bombardier Transportation</t>
        </is>
      </c>
      <c r="T4" s="3" t="n">
        <v>-2.8</v>
      </c>
    </row>
    <row r="5">
      <c r="A5" s="1" t="n">
        <v>37395</v>
      </c>
      <c r="B5" s="1" t="inlineStr">
        <is>
          <t>Downer</t>
        </is>
      </c>
      <c r="C5" s="1" t="inlineStr">
        <is>
          <t>REV_Emulco</t>
        </is>
      </c>
      <c r="D5" s="1" t="inlineStr">
        <is>
          <t>EMU</t>
        </is>
      </c>
      <c r="E5" s="1" t="n">
        <v>7868</v>
      </c>
      <c r="F5" s="1" t="inlineStr">
        <is>
          <t>Revenue - AUD Million</t>
        </is>
      </c>
      <c r="H5" s="1" t="inlineStr">
        <is>
          <t>FY26REV_Emulco</t>
        </is>
      </c>
      <c r="I5" s="1" t="inlineStr">
        <is>
          <t>FY26REV_Emulco</t>
        </is>
      </c>
      <c r="J5" s="1" t="inlineStr">
        <is>
          <t>Downer</t>
        </is>
      </c>
      <c r="K5" s="1" t="inlineStr">
        <is>
          <t>Revenue</t>
        </is>
      </c>
      <c r="L5" s="2" t="inlineStr">
        <is>
          <t>2025-07-01</t>
        </is>
      </c>
      <c r="M5" s="2" t="inlineStr">
        <is>
          <t>2025-07-31</t>
        </is>
      </c>
      <c r="N5" s="1" t="inlineStr">
        <is>
          <t>Actual</t>
        </is>
      </c>
      <c r="O5" s="1" t="inlineStr">
        <is>
          <t>Standard</t>
        </is>
      </c>
      <c r="Q5" s="1" t="inlineStr">
        <is>
          <t>Insert</t>
        </is>
      </c>
      <c r="R5" s="1" t="inlineStr">
        <is>
          <t>Emulco</t>
        </is>
      </c>
      <c r="S5" s="1" t="inlineStr">
        <is>
          <t>Emulco</t>
        </is>
      </c>
      <c r="T5" s="3" t="n">
        <v>0</v>
      </c>
    </row>
    <row r="6">
      <c r="A6" s="1" t="n">
        <v>37395</v>
      </c>
      <c r="B6" s="1" t="inlineStr">
        <is>
          <t>Downer</t>
        </is>
      </c>
      <c r="C6" s="1" t="inlineStr">
        <is>
          <t>REV_Isaac Asphalt</t>
        </is>
      </c>
      <c r="D6" s="1" t="inlineStr">
        <is>
          <t>ISAAT</t>
        </is>
      </c>
      <c r="E6" s="1" t="n">
        <v>7868</v>
      </c>
      <c r="F6" s="1" t="inlineStr">
        <is>
          <t>Revenue - AUD Million</t>
        </is>
      </c>
      <c r="H6" s="1" t="inlineStr">
        <is>
          <t>FY26REV_Isaac Asphalt</t>
        </is>
      </c>
      <c r="I6" s="1" t="inlineStr">
        <is>
          <t>FY26REV_Isaac Asphalt</t>
        </is>
      </c>
      <c r="J6" s="1" t="inlineStr">
        <is>
          <t>Downer</t>
        </is>
      </c>
      <c r="K6" s="1" t="inlineStr">
        <is>
          <t>Revenue</t>
        </is>
      </c>
      <c r="L6" s="2" t="inlineStr">
        <is>
          <t>2025-07-01</t>
        </is>
      </c>
      <c r="M6" s="2" t="inlineStr">
        <is>
          <t>2025-07-31</t>
        </is>
      </c>
      <c r="N6" s="1" t="inlineStr">
        <is>
          <t>Actual</t>
        </is>
      </c>
      <c r="O6" s="1" t="inlineStr">
        <is>
          <t>Standard</t>
        </is>
      </c>
      <c r="Q6" s="1" t="inlineStr">
        <is>
          <t>Insert</t>
        </is>
      </c>
      <c r="R6" s="1" t="inlineStr">
        <is>
          <t>Isaac Asphalt</t>
        </is>
      </c>
      <c r="S6" s="1" t="inlineStr">
        <is>
          <t>Isaac Asphalt</t>
        </is>
      </c>
      <c r="T6" s="3" t="n">
        <v>0</v>
      </c>
    </row>
    <row r="7">
      <c r="A7" s="1" t="n">
        <v>37395</v>
      </c>
      <c r="B7" s="1" t="inlineStr">
        <is>
          <t>Downer</t>
        </is>
      </c>
      <c r="C7" s="1" t="inlineStr">
        <is>
          <t>REV_Allied Asphalt</t>
        </is>
      </c>
      <c r="D7" s="1" t="inlineStr">
        <is>
          <t>AASPHT</t>
        </is>
      </c>
      <c r="E7" s="1" t="n">
        <v>7868</v>
      </c>
      <c r="F7" s="1" t="inlineStr">
        <is>
          <t>Revenue - AUD Million</t>
        </is>
      </c>
      <c r="H7" s="1" t="inlineStr">
        <is>
          <t>FY26REV_Allied Asphalt</t>
        </is>
      </c>
      <c r="I7" s="1" t="inlineStr">
        <is>
          <t>FY26REV_Allied Asphalt</t>
        </is>
      </c>
      <c r="J7" s="1" t="inlineStr">
        <is>
          <t>Downer</t>
        </is>
      </c>
      <c r="K7" s="1" t="inlineStr">
        <is>
          <t>Revenue</t>
        </is>
      </c>
      <c r="L7" s="2" t="inlineStr">
        <is>
          <t>2025-08-01</t>
        </is>
      </c>
      <c r="M7" s="2" t="inlineStr">
        <is>
          <t>2025-08-31</t>
        </is>
      </c>
      <c r="N7" s="1" t="inlineStr">
        <is>
          <t>Actual</t>
        </is>
      </c>
      <c r="O7" s="1" t="inlineStr">
        <is>
          <t>Standard</t>
        </is>
      </c>
      <c r="Q7" s="1" t="inlineStr">
        <is>
          <t>Insert</t>
        </is>
      </c>
      <c r="R7" s="1" t="inlineStr">
        <is>
          <t>Allied Asphalt</t>
        </is>
      </c>
      <c r="S7" s="1" t="inlineStr">
        <is>
          <t>Allied Asphalt</t>
        </is>
      </c>
      <c r="T7" s="3" t="n">
        <v>-0.9</v>
      </c>
    </row>
    <row r="8">
      <c r="A8" s="1" t="n">
        <v>37395</v>
      </c>
      <c r="B8" s="1" t="inlineStr">
        <is>
          <t>Downer</t>
        </is>
      </c>
      <c r="C8" s="1" t="inlineStr">
        <is>
          <t>REV_BIA</t>
        </is>
      </c>
      <c r="D8" s="1" t="inlineStr">
        <is>
          <t>RSV175-1</t>
        </is>
      </c>
      <c r="E8" s="1" t="n">
        <v>7868</v>
      </c>
      <c r="F8" s="1" t="inlineStr">
        <is>
          <t>Revenue - AUD Million</t>
        </is>
      </c>
      <c r="H8" s="1" t="inlineStr">
        <is>
          <t>FY26REV_BIA</t>
        </is>
      </c>
      <c r="I8" s="1" t="inlineStr">
        <is>
          <t>FY26REV_BIA</t>
        </is>
      </c>
      <c r="J8" s="1" t="inlineStr">
        <is>
          <t>Downer</t>
        </is>
      </c>
      <c r="K8" s="1" t="inlineStr">
        <is>
          <t>Revenue</t>
        </is>
      </c>
      <c r="L8" s="2" t="inlineStr">
        <is>
          <t>2025-08-01</t>
        </is>
      </c>
      <c r="M8" s="2" t="inlineStr">
        <is>
          <t>2025-08-31</t>
        </is>
      </c>
      <c r="N8" s="1" t="inlineStr">
        <is>
          <t>Actual</t>
        </is>
      </c>
      <c r="O8" s="1" t="inlineStr">
        <is>
          <t>Standard</t>
        </is>
      </c>
      <c r="Q8" s="1" t="inlineStr">
        <is>
          <t>Insert</t>
        </is>
      </c>
      <c r="R8" s="1" t="inlineStr">
        <is>
          <t>BIA</t>
        </is>
      </c>
      <c r="S8" s="1" t="inlineStr">
        <is>
          <t>BIA</t>
        </is>
      </c>
      <c r="T8" s="3" t="n">
        <v>-2.1</v>
      </c>
    </row>
    <row r="9">
      <c r="A9" s="1" t="n">
        <v>37395</v>
      </c>
      <c r="B9" s="1" t="inlineStr">
        <is>
          <t>Downer</t>
        </is>
      </c>
      <c r="C9" s="1" t="inlineStr">
        <is>
          <t>REV_EDI Rail- Bombardier Transportation</t>
        </is>
      </c>
      <c r="D9" s="1" t="inlineStr">
        <is>
          <t>ERBT</t>
        </is>
      </c>
      <c r="E9" s="1" t="n">
        <v>7868</v>
      </c>
      <c r="F9" s="1" t="inlineStr">
        <is>
          <t>Revenue - AUD Million</t>
        </is>
      </c>
      <c r="H9" s="1" t="inlineStr">
        <is>
          <t>FY26REV_EDI Rail- Bombardier Transportation</t>
        </is>
      </c>
      <c r="I9" s="1" t="inlineStr">
        <is>
          <t>FY26REV_EDI Rail- Bombardier Transportation</t>
        </is>
      </c>
      <c r="J9" s="1" t="inlineStr">
        <is>
          <t>Downer</t>
        </is>
      </c>
      <c r="K9" s="1" t="inlineStr">
        <is>
          <t>Revenue</t>
        </is>
      </c>
      <c r="L9" s="2" t="inlineStr">
        <is>
          <t>2025-08-01</t>
        </is>
      </c>
      <c r="M9" s="2" t="inlineStr">
        <is>
          <t>2025-08-31</t>
        </is>
      </c>
      <c r="N9" s="1" t="inlineStr">
        <is>
          <t>Actual</t>
        </is>
      </c>
      <c r="O9" s="1" t="inlineStr">
        <is>
          <t>Standard</t>
        </is>
      </c>
      <c r="Q9" s="1" t="inlineStr">
        <is>
          <t>Insert</t>
        </is>
      </c>
      <c r="R9" s="1" t="inlineStr">
        <is>
          <t>EDI Rail- Bombardier Transportation</t>
        </is>
      </c>
      <c r="S9" s="1" t="inlineStr">
        <is>
          <t>EDI Rail- Bombardier Transportation</t>
        </is>
      </c>
      <c r="T9" s="3" t="n">
        <v>-3.5</v>
      </c>
    </row>
    <row r="10">
      <c r="A10" s="1" t="n">
        <v>37395</v>
      </c>
      <c r="B10" s="1" t="inlineStr">
        <is>
          <t>Downer</t>
        </is>
      </c>
      <c r="C10" s="1" t="inlineStr">
        <is>
          <t>REV_Emulco</t>
        </is>
      </c>
      <c r="D10" s="1" t="inlineStr">
        <is>
          <t>EMU</t>
        </is>
      </c>
      <c r="E10" s="1" t="n">
        <v>7868</v>
      </c>
      <c r="F10" s="1" t="inlineStr">
        <is>
          <t>Revenue - AUD Million</t>
        </is>
      </c>
      <c r="H10" s="1" t="inlineStr">
        <is>
          <t>FY26REV_Emulco</t>
        </is>
      </c>
      <c r="I10" s="1" t="inlineStr">
        <is>
          <t>FY26REV_Emulco</t>
        </is>
      </c>
      <c r="J10" s="1" t="inlineStr">
        <is>
          <t>Downer</t>
        </is>
      </c>
      <c r="K10" s="1" t="inlineStr">
        <is>
          <t>Revenue</t>
        </is>
      </c>
      <c r="L10" s="2" t="inlineStr">
        <is>
          <t>2025-08-01</t>
        </is>
      </c>
      <c r="M10" s="2" t="inlineStr">
        <is>
          <t>2025-08-31</t>
        </is>
      </c>
      <c r="N10" s="1" t="inlineStr">
        <is>
          <t>Actual</t>
        </is>
      </c>
      <c r="O10" s="1" t="inlineStr">
        <is>
          <t>Standard</t>
        </is>
      </c>
      <c r="Q10" s="1" t="inlineStr">
        <is>
          <t>Insert</t>
        </is>
      </c>
      <c r="R10" s="1" t="inlineStr">
        <is>
          <t>Emulco</t>
        </is>
      </c>
      <c r="S10" s="1" t="inlineStr">
        <is>
          <t>Emulco</t>
        </is>
      </c>
      <c r="T10" s="3" t="n">
        <v>-0.1</v>
      </c>
    </row>
    <row r="11">
      <c r="A11" s="1" t="n">
        <v>37395</v>
      </c>
      <c r="B11" s="1" t="inlineStr">
        <is>
          <t>Downer</t>
        </is>
      </c>
      <c r="C11" s="1" t="inlineStr">
        <is>
          <t>REV_Isaac Asphalt</t>
        </is>
      </c>
      <c r="D11" s="1" t="inlineStr">
        <is>
          <t>ISAAT</t>
        </is>
      </c>
      <c r="E11" s="1" t="n">
        <v>7868</v>
      </c>
      <c r="F11" s="1" t="inlineStr">
        <is>
          <t>Revenue - AUD Million</t>
        </is>
      </c>
      <c r="H11" s="1" t="inlineStr">
        <is>
          <t>FY26REV_Isaac Asphalt</t>
        </is>
      </c>
      <c r="I11" s="1" t="inlineStr">
        <is>
          <t>FY26REV_Isaac Asphalt</t>
        </is>
      </c>
      <c r="J11" s="1" t="inlineStr">
        <is>
          <t>Downer</t>
        </is>
      </c>
      <c r="K11" s="1" t="inlineStr">
        <is>
          <t>Revenue</t>
        </is>
      </c>
      <c r="L11" s="2" t="inlineStr">
        <is>
          <t>2025-08-01</t>
        </is>
      </c>
      <c r="M11" s="2" t="inlineStr">
        <is>
          <t>2025-08-31</t>
        </is>
      </c>
      <c r="N11" s="1" t="inlineStr">
        <is>
          <t>Actual</t>
        </is>
      </c>
      <c r="O11" s="1" t="inlineStr">
        <is>
          <t>Standard</t>
        </is>
      </c>
      <c r="Q11" s="1" t="inlineStr">
        <is>
          <t>Insert</t>
        </is>
      </c>
      <c r="R11" s="1" t="inlineStr">
        <is>
          <t>Isaac Asphalt</t>
        </is>
      </c>
      <c r="S11" s="1" t="inlineStr">
        <is>
          <t>Isaac Asphalt</t>
        </is>
      </c>
      <c r="T11" s="3" t="n">
        <v>-0.5</v>
      </c>
    </row>
    <row r="12">
      <c r="A12" s="1" t="n">
        <v>37395</v>
      </c>
      <c r="B12" s="1" t="inlineStr">
        <is>
          <t>Downer</t>
        </is>
      </c>
      <c r="C12" s="1" t="inlineStr">
        <is>
          <t>REV_Allied Asphalt</t>
        </is>
      </c>
      <c r="D12" s="1" t="inlineStr">
        <is>
          <t>AASPHT</t>
        </is>
      </c>
      <c r="E12" s="1" t="n">
        <v>7868</v>
      </c>
      <c r="F12" s="1" t="inlineStr">
        <is>
          <t>Revenue - AUD Million</t>
        </is>
      </c>
      <c r="H12" s="1" t="inlineStr">
        <is>
          <t>FY26REV_Allied Asphalt</t>
        </is>
      </c>
      <c r="I12" s="1" t="inlineStr">
        <is>
          <t>FY26REV_Allied Asphalt</t>
        </is>
      </c>
      <c r="J12" s="1" t="inlineStr">
        <is>
          <t>Downer</t>
        </is>
      </c>
      <c r="K12" s="1" t="inlineStr">
        <is>
          <t>Revenue</t>
        </is>
      </c>
      <c r="L12" s="2" t="inlineStr">
        <is>
          <t>2025-09-01</t>
        </is>
      </c>
      <c r="M12" s="2" t="inlineStr">
        <is>
          <t>2025-09-30</t>
        </is>
      </c>
      <c r="N12" s="1" t="inlineStr">
        <is>
          <t>Actual</t>
        </is>
      </c>
      <c r="O12" s="1" t="inlineStr">
        <is>
          <t>Standard</t>
        </is>
      </c>
      <c r="Q12" s="1" t="inlineStr">
        <is>
          <t>Insert</t>
        </is>
      </c>
      <c r="R12" s="1" t="inlineStr">
        <is>
          <t>Allied Asphalt</t>
        </is>
      </c>
      <c r="S12" s="1" t="inlineStr">
        <is>
          <t>Allied Asphalt</t>
        </is>
      </c>
      <c r="T12" s="3" t="n">
        <v>-1.2</v>
      </c>
    </row>
    <row r="13">
      <c r="A13" s="1" t="n">
        <v>37395</v>
      </c>
      <c r="B13" s="1" t="inlineStr">
        <is>
          <t>Downer</t>
        </is>
      </c>
      <c r="C13" s="1" t="inlineStr">
        <is>
          <t>REV_BIA</t>
        </is>
      </c>
      <c r="D13" s="1" t="inlineStr">
        <is>
          <t>RSV175-1</t>
        </is>
      </c>
      <c r="E13" s="1" t="n">
        <v>7868</v>
      </c>
      <c r="F13" s="1" t="inlineStr">
        <is>
          <t>Revenue - AUD Million</t>
        </is>
      </c>
      <c r="H13" s="1" t="inlineStr">
        <is>
          <t>FY26REV_BIA</t>
        </is>
      </c>
      <c r="I13" s="1" t="inlineStr">
        <is>
          <t>FY26REV_BIA</t>
        </is>
      </c>
      <c r="J13" s="1" t="inlineStr">
        <is>
          <t>Downer</t>
        </is>
      </c>
      <c r="K13" s="1" t="inlineStr">
        <is>
          <t>Revenue</t>
        </is>
      </c>
      <c r="L13" s="2" t="inlineStr">
        <is>
          <t>2025-09-01</t>
        </is>
      </c>
      <c r="M13" s="2" t="inlineStr">
        <is>
          <t>2025-09-30</t>
        </is>
      </c>
      <c r="N13" s="1" t="inlineStr">
        <is>
          <t>Actual</t>
        </is>
      </c>
      <c r="O13" s="1" t="inlineStr">
        <is>
          <t>Standard</t>
        </is>
      </c>
      <c r="Q13" s="1" t="inlineStr">
        <is>
          <t>Insert</t>
        </is>
      </c>
      <c r="R13" s="1" t="inlineStr">
        <is>
          <t>BIA</t>
        </is>
      </c>
      <c r="S13" s="1" t="inlineStr">
        <is>
          <t>BIA</t>
        </is>
      </c>
      <c r="T13" s="3" t="n">
        <v>-5.5</v>
      </c>
    </row>
    <row r="14">
      <c r="A14" s="1" t="n">
        <v>37395</v>
      </c>
      <c r="B14" s="1" t="inlineStr">
        <is>
          <t>Downer</t>
        </is>
      </c>
      <c r="C14" s="1" t="inlineStr">
        <is>
          <t>REV_EDI Rail- Bombardier Transportation</t>
        </is>
      </c>
      <c r="D14" s="1" t="inlineStr">
        <is>
          <t>ERBT</t>
        </is>
      </c>
      <c r="E14" s="1" t="n">
        <v>7868</v>
      </c>
      <c r="F14" s="1" t="inlineStr">
        <is>
          <t>Revenue - AUD Million</t>
        </is>
      </c>
      <c r="H14" s="1" t="inlineStr">
        <is>
          <t>FY26REV_EDI Rail- Bombardier Transportation</t>
        </is>
      </c>
      <c r="I14" s="1" t="inlineStr">
        <is>
          <t>FY26REV_EDI Rail- Bombardier Transportation</t>
        </is>
      </c>
      <c r="J14" s="1" t="inlineStr">
        <is>
          <t>Downer</t>
        </is>
      </c>
      <c r="K14" s="1" t="inlineStr">
        <is>
          <t>Revenue</t>
        </is>
      </c>
      <c r="L14" s="2" t="inlineStr">
        <is>
          <t>2025-09-01</t>
        </is>
      </c>
      <c r="M14" s="2" t="inlineStr">
        <is>
          <t>2025-09-30</t>
        </is>
      </c>
      <c r="N14" s="1" t="inlineStr">
        <is>
          <t>Actual</t>
        </is>
      </c>
      <c r="O14" s="1" t="inlineStr">
        <is>
          <t>Standard</t>
        </is>
      </c>
      <c r="Q14" s="1" t="inlineStr">
        <is>
          <t>Insert</t>
        </is>
      </c>
      <c r="R14" s="1" t="inlineStr">
        <is>
          <t>EDI Rail- Bombardier Transportation</t>
        </is>
      </c>
      <c r="S14" s="1" t="inlineStr">
        <is>
          <t>EDI Rail- Bombardier Transportation</t>
        </is>
      </c>
      <c r="T14" s="3" t="n">
        <v>-4.7</v>
      </c>
    </row>
    <row r="15">
      <c r="A15" s="1" t="n">
        <v>37395</v>
      </c>
      <c r="B15" s="1" t="inlineStr">
        <is>
          <t>Downer</t>
        </is>
      </c>
      <c r="C15" s="1" t="inlineStr">
        <is>
          <t>REV_Emulco</t>
        </is>
      </c>
      <c r="D15" s="1" t="inlineStr">
        <is>
          <t>EMU</t>
        </is>
      </c>
      <c r="E15" s="1" t="n">
        <v>7868</v>
      </c>
      <c r="F15" s="1" t="inlineStr">
        <is>
          <t>Revenue - AUD Million</t>
        </is>
      </c>
      <c r="H15" s="1" t="inlineStr">
        <is>
          <t>FY26REV_Emulco</t>
        </is>
      </c>
      <c r="I15" s="1" t="inlineStr">
        <is>
          <t>FY26REV_Emulco</t>
        </is>
      </c>
      <c r="J15" s="1" t="inlineStr">
        <is>
          <t>Downer</t>
        </is>
      </c>
      <c r="K15" s="1" t="inlineStr">
        <is>
          <t>Revenue</t>
        </is>
      </c>
      <c r="L15" s="2" t="inlineStr">
        <is>
          <t>2025-09-01</t>
        </is>
      </c>
      <c r="M15" s="2" t="inlineStr">
        <is>
          <t>2025-09-30</t>
        </is>
      </c>
      <c r="N15" s="1" t="inlineStr">
        <is>
          <t>Actual</t>
        </is>
      </c>
      <c r="O15" s="1" t="inlineStr">
        <is>
          <t>Standard</t>
        </is>
      </c>
      <c r="Q15" s="1" t="inlineStr">
        <is>
          <t>Insert</t>
        </is>
      </c>
      <c r="R15" s="1" t="inlineStr">
        <is>
          <t>Emulco</t>
        </is>
      </c>
      <c r="S15" s="1" t="inlineStr">
        <is>
          <t>Emulco</t>
        </is>
      </c>
      <c r="T15" s="3" t="n">
        <v>-0.1</v>
      </c>
    </row>
    <row r="16">
      <c r="A16" s="1" t="n">
        <v>37395</v>
      </c>
      <c r="B16" s="1" t="inlineStr">
        <is>
          <t>Downer</t>
        </is>
      </c>
      <c r="C16" s="1" t="inlineStr">
        <is>
          <t>REV_Isaac Asphalt</t>
        </is>
      </c>
      <c r="D16" s="1" t="inlineStr">
        <is>
          <t>ISAAT</t>
        </is>
      </c>
      <c r="E16" s="1" t="n">
        <v>7868</v>
      </c>
      <c r="F16" s="1" t="inlineStr">
        <is>
          <t>Revenue - AUD Million</t>
        </is>
      </c>
      <c r="H16" s="1" t="inlineStr">
        <is>
          <t>FY26REV_Isaac Asphalt</t>
        </is>
      </c>
      <c r="I16" s="1" t="inlineStr">
        <is>
          <t>FY26REV_Isaac Asphalt</t>
        </is>
      </c>
      <c r="J16" s="1" t="inlineStr">
        <is>
          <t>Downer</t>
        </is>
      </c>
      <c r="K16" s="1" t="inlineStr">
        <is>
          <t>Revenue</t>
        </is>
      </c>
      <c r="L16" s="2" t="inlineStr">
        <is>
          <t>2025-09-01</t>
        </is>
      </c>
      <c r="M16" s="2" t="inlineStr">
        <is>
          <t>2025-09-30</t>
        </is>
      </c>
      <c r="N16" s="1" t="inlineStr">
        <is>
          <t>Actual</t>
        </is>
      </c>
      <c r="O16" s="1" t="inlineStr">
        <is>
          <t>Standard</t>
        </is>
      </c>
      <c r="Q16" s="1" t="inlineStr">
        <is>
          <t>Insert</t>
        </is>
      </c>
      <c r="R16" s="1" t="inlineStr">
        <is>
          <t>Isaac Asphalt</t>
        </is>
      </c>
      <c r="S16" s="1" t="inlineStr">
        <is>
          <t>Isaac Asphalt</t>
        </is>
      </c>
      <c r="T16" s="3" t="n">
        <v>-0.4</v>
      </c>
    </row>
    <row r="17">
      <c r="A17" s="1" t="n">
        <v>37395</v>
      </c>
      <c r="B17" s="1" t="inlineStr">
        <is>
          <t>Downer</t>
        </is>
      </c>
      <c r="C17" s="1" t="inlineStr">
        <is>
          <t>REV_Allied Asphalt</t>
        </is>
      </c>
      <c r="D17" s="1" t="inlineStr">
        <is>
          <t>AASPHT</t>
        </is>
      </c>
      <c r="E17" s="1" t="n">
        <v>7868</v>
      </c>
      <c r="F17" s="1" t="inlineStr">
        <is>
          <t>Revenue - AUD Million</t>
        </is>
      </c>
      <c r="H17" s="1" t="inlineStr">
        <is>
          <t>FY26REV_Allied Asphalt</t>
        </is>
      </c>
      <c r="I17" s="1" t="inlineStr">
        <is>
          <t>FY26REV_Allied Asphalt</t>
        </is>
      </c>
      <c r="J17" s="1" t="inlineStr">
        <is>
          <t>Downer</t>
        </is>
      </c>
      <c r="K17" s="1" t="inlineStr">
        <is>
          <t>Revenue</t>
        </is>
      </c>
      <c r="L17" s="2" t="inlineStr">
        <is>
          <t>2025-10-01</t>
        </is>
      </c>
      <c r="M17" s="2" t="inlineStr">
        <is>
          <t>2025-10-31</t>
        </is>
      </c>
      <c r="N17" s="1" t="inlineStr">
        <is>
          <t>Actual</t>
        </is>
      </c>
      <c r="O17" s="1" t="inlineStr">
        <is>
          <t>Standard</t>
        </is>
      </c>
      <c r="Q17" s="1" t="inlineStr">
        <is>
          <t>Insert</t>
        </is>
      </c>
      <c r="R17" s="1" t="inlineStr">
        <is>
          <t>Allied Asphalt</t>
        </is>
      </c>
      <c r="S17" s="1" t="inlineStr">
        <is>
          <t>Allied Asphalt</t>
        </is>
      </c>
      <c r="T17" s="3" t="n">
        <v>-0.6</v>
      </c>
    </row>
    <row r="18">
      <c r="A18" s="1" t="n">
        <v>37395</v>
      </c>
      <c r="B18" s="1" t="inlineStr">
        <is>
          <t>Downer</t>
        </is>
      </c>
      <c r="C18" s="1" t="inlineStr">
        <is>
          <t>REV_BIA</t>
        </is>
      </c>
      <c r="D18" s="1" t="inlineStr">
        <is>
          <t>RSV175-1</t>
        </is>
      </c>
      <c r="E18" s="1" t="n">
        <v>7868</v>
      </c>
      <c r="F18" s="1" t="inlineStr">
        <is>
          <t>Revenue - AUD Million</t>
        </is>
      </c>
      <c r="H18" s="1" t="inlineStr">
        <is>
          <t>FY26REV_BIA</t>
        </is>
      </c>
      <c r="I18" s="1" t="inlineStr">
        <is>
          <t>FY26REV_BIA</t>
        </is>
      </c>
      <c r="J18" s="1" t="inlineStr">
        <is>
          <t>Downer</t>
        </is>
      </c>
      <c r="K18" s="1" t="inlineStr">
        <is>
          <t>Revenue</t>
        </is>
      </c>
      <c r="L18" s="2" t="inlineStr">
        <is>
          <t>2025-10-01</t>
        </is>
      </c>
      <c r="M18" s="2" t="inlineStr">
        <is>
          <t>2025-10-31</t>
        </is>
      </c>
      <c r="N18" s="1" t="inlineStr">
        <is>
          <t>Actual</t>
        </is>
      </c>
      <c r="O18" s="1" t="inlineStr">
        <is>
          <t>Standard</t>
        </is>
      </c>
      <c r="Q18" s="1" t="inlineStr">
        <is>
          <t>Insert</t>
        </is>
      </c>
      <c r="R18" s="1" t="inlineStr">
        <is>
          <t>BIA</t>
        </is>
      </c>
      <c r="S18" s="1" t="inlineStr">
        <is>
          <t>BIA</t>
        </is>
      </c>
      <c r="T18" s="3" t="n">
        <v>-5.2</v>
      </c>
    </row>
    <row r="19">
      <c r="A19" s="1" t="n">
        <v>37395</v>
      </c>
      <c r="B19" s="1" t="inlineStr">
        <is>
          <t>Downer</t>
        </is>
      </c>
      <c r="C19" s="1" t="inlineStr">
        <is>
          <t>REV_EDI Rail- Bombardier Transportation</t>
        </is>
      </c>
      <c r="D19" s="1" t="inlineStr">
        <is>
          <t>ERBT</t>
        </is>
      </c>
      <c r="E19" s="1" t="n">
        <v>7868</v>
      </c>
      <c r="F19" s="1" t="inlineStr">
        <is>
          <t>Revenue - AUD Million</t>
        </is>
      </c>
      <c r="H19" s="1" t="inlineStr">
        <is>
          <t>FY26REV_EDI Rail- Bombardier Transportation</t>
        </is>
      </c>
      <c r="I19" s="1" t="inlineStr">
        <is>
          <t>FY26REV_EDI Rail- Bombardier Transportation</t>
        </is>
      </c>
      <c r="J19" s="1" t="inlineStr">
        <is>
          <t>Downer</t>
        </is>
      </c>
      <c r="K19" s="1" t="inlineStr">
        <is>
          <t>Revenue</t>
        </is>
      </c>
      <c r="L19" s="2" t="inlineStr">
        <is>
          <t>2025-10-01</t>
        </is>
      </c>
      <c r="M19" s="2" t="inlineStr">
        <is>
          <t>2025-10-31</t>
        </is>
      </c>
      <c r="N19" s="1" t="inlineStr">
        <is>
          <t>Actual</t>
        </is>
      </c>
      <c r="O19" s="1" t="inlineStr">
        <is>
          <t>Standard</t>
        </is>
      </c>
      <c r="Q19" s="1" t="inlineStr">
        <is>
          <t>Insert</t>
        </is>
      </c>
      <c r="R19" s="1" t="inlineStr">
        <is>
          <t>EDI Rail- Bombardier Transportation</t>
        </is>
      </c>
      <c r="S19" s="1" t="inlineStr">
        <is>
          <t>EDI Rail- Bombardier Transportation</t>
        </is>
      </c>
      <c r="T19" s="3" t="n">
        <v>-2.8</v>
      </c>
    </row>
    <row r="20">
      <c r="A20" s="1" t="n">
        <v>37395</v>
      </c>
      <c r="B20" s="1" t="inlineStr">
        <is>
          <t>Downer</t>
        </is>
      </c>
      <c r="C20" s="1" t="inlineStr">
        <is>
          <t>REV_Emulco</t>
        </is>
      </c>
      <c r="D20" s="1" t="inlineStr">
        <is>
          <t>EMU</t>
        </is>
      </c>
      <c r="E20" s="1" t="n">
        <v>7868</v>
      </c>
      <c r="F20" s="1" t="inlineStr">
        <is>
          <t>Revenue - AUD Million</t>
        </is>
      </c>
      <c r="H20" s="1" t="inlineStr">
        <is>
          <t>FY26REV_Emulco</t>
        </is>
      </c>
      <c r="I20" s="1" t="inlineStr">
        <is>
          <t>FY26REV_Emulco</t>
        </is>
      </c>
      <c r="J20" s="1" t="inlineStr">
        <is>
          <t>Downer</t>
        </is>
      </c>
      <c r="K20" s="1" t="inlineStr">
        <is>
          <t>Revenue</t>
        </is>
      </c>
      <c r="L20" s="2" t="inlineStr">
        <is>
          <t>2025-10-01</t>
        </is>
      </c>
      <c r="M20" s="2" t="inlineStr">
        <is>
          <t>2025-10-31</t>
        </is>
      </c>
      <c r="N20" s="1" t="inlineStr">
        <is>
          <t>Actual</t>
        </is>
      </c>
      <c r="O20" s="1" t="inlineStr">
        <is>
          <t>Standard</t>
        </is>
      </c>
      <c r="Q20" s="1" t="inlineStr">
        <is>
          <t>Insert</t>
        </is>
      </c>
      <c r="R20" s="1" t="inlineStr">
        <is>
          <t>Emulco</t>
        </is>
      </c>
      <c r="S20" s="1" t="inlineStr">
        <is>
          <t>Emulco</t>
        </is>
      </c>
      <c r="T20" s="3" t="n">
        <v>-0.2</v>
      </c>
    </row>
    <row r="21">
      <c r="A21" s="1" t="n">
        <v>37395</v>
      </c>
      <c r="B21" s="1" t="inlineStr">
        <is>
          <t>Downer</t>
        </is>
      </c>
      <c r="C21" s="1" t="inlineStr">
        <is>
          <t>REV_Isaac Asphalt</t>
        </is>
      </c>
      <c r="D21" s="1" t="inlineStr">
        <is>
          <t>ISAAT</t>
        </is>
      </c>
      <c r="E21" s="1" t="n">
        <v>7868</v>
      </c>
      <c r="F21" s="1" t="inlineStr">
        <is>
          <t>Revenue - AUD Million</t>
        </is>
      </c>
      <c r="H21" s="1" t="inlineStr">
        <is>
          <t>FY26REV_Isaac Asphalt</t>
        </is>
      </c>
      <c r="I21" s="1" t="inlineStr">
        <is>
          <t>FY26REV_Isaac Asphalt</t>
        </is>
      </c>
      <c r="J21" s="1" t="inlineStr">
        <is>
          <t>Downer</t>
        </is>
      </c>
      <c r="K21" s="1" t="inlineStr">
        <is>
          <t>Revenue</t>
        </is>
      </c>
      <c r="L21" s="2" t="inlineStr">
        <is>
          <t>2025-10-01</t>
        </is>
      </c>
      <c r="M21" s="2" t="inlineStr">
        <is>
          <t>2025-10-31</t>
        </is>
      </c>
      <c r="N21" s="1" t="inlineStr">
        <is>
          <t>Actual</t>
        </is>
      </c>
      <c r="O21" s="1" t="inlineStr">
        <is>
          <t>Standard</t>
        </is>
      </c>
      <c r="Q21" s="1" t="inlineStr">
        <is>
          <t>Insert</t>
        </is>
      </c>
      <c r="R21" s="1" t="inlineStr">
        <is>
          <t>Isaac Asphalt</t>
        </is>
      </c>
      <c r="S21" s="1" t="inlineStr">
        <is>
          <t>Isaac Asphalt</t>
        </is>
      </c>
      <c r="T21" s="3" t="n">
        <v>-0.6</v>
      </c>
    </row>
    <row r="22">
      <c r="A22" s="1" t="n">
        <v>37395</v>
      </c>
      <c r="B22" s="1" t="inlineStr">
        <is>
          <t>Downer</t>
        </is>
      </c>
      <c r="C22" s="1" t="inlineStr">
        <is>
          <t>REV_Allied Asphalt</t>
        </is>
      </c>
      <c r="D22" s="1" t="inlineStr">
        <is>
          <t>AASPHT</t>
        </is>
      </c>
      <c r="E22" s="1" t="n">
        <v>7868</v>
      </c>
      <c r="F22" s="1" t="inlineStr">
        <is>
          <t>Revenue - AUD Million</t>
        </is>
      </c>
      <c r="H22" s="1" t="inlineStr">
        <is>
          <t>FY26REV_Allied Asphalt</t>
        </is>
      </c>
      <c r="I22" s="1" t="inlineStr">
        <is>
          <t>FY26REV_Allied Asphalt</t>
        </is>
      </c>
      <c r="J22" s="1" t="inlineStr">
        <is>
          <t>Downer</t>
        </is>
      </c>
      <c r="K22" s="1" t="inlineStr">
        <is>
          <t>Revenue</t>
        </is>
      </c>
      <c r="L22" s="2" t="inlineStr">
        <is>
          <t>2025-11-01</t>
        </is>
      </c>
      <c r="M22" s="2" t="inlineStr">
        <is>
          <t>2025-11-30</t>
        </is>
      </c>
      <c r="N22" s="1" t="inlineStr">
        <is>
          <t>Actual</t>
        </is>
      </c>
      <c r="O22" s="1" t="inlineStr">
        <is>
          <t>Standard</t>
        </is>
      </c>
      <c r="Q22" s="1" t="inlineStr">
        <is>
          <t>Insert</t>
        </is>
      </c>
      <c r="R22" s="1" t="inlineStr">
        <is>
          <t>Allied Asphalt</t>
        </is>
      </c>
      <c r="S22" s="1" t="inlineStr">
        <is>
          <t>Allied Asphalt</t>
        </is>
      </c>
      <c r="T22" s="3" t="n">
        <v>-0.8</v>
      </c>
    </row>
    <row r="23">
      <c r="A23" s="1" t="n">
        <v>37395</v>
      </c>
      <c r="B23" s="1" t="inlineStr">
        <is>
          <t>Downer</t>
        </is>
      </c>
      <c r="C23" s="1" t="inlineStr">
        <is>
          <t>REV_BIA</t>
        </is>
      </c>
      <c r="D23" s="1" t="inlineStr">
        <is>
          <t>RSV175-1</t>
        </is>
      </c>
      <c r="E23" s="1" t="n">
        <v>7868</v>
      </c>
      <c r="F23" s="1" t="inlineStr">
        <is>
          <t>Revenue - AUD Million</t>
        </is>
      </c>
      <c r="H23" s="1" t="inlineStr">
        <is>
          <t>FY26REV_BIA</t>
        </is>
      </c>
      <c r="I23" s="1" t="inlineStr">
        <is>
          <t>FY26REV_BIA</t>
        </is>
      </c>
      <c r="J23" s="1" t="inlineStr">
        <is>
          <t>Downer</t>
        </is>
      </c>
      <c r="K23" s="1" t="inlineStr">
        <is>
          <t>Revenue</t>
        </is>
      </c>
      <c r="L23" s="2" t="inlineStr">
        <is>
          <t>2025-11-01</t>
        </is>
      </c>
      <c r="M23" s="2" t="inlineStr">
        <is>
          <t>2025-11-30</t>
        </is>
      </c>
      <c r="N23" s="1" t="inlineStr">
        <is>
          <t>Actual</t>
        </is>
      </c>
      <c r="O23" s="1" t="inlineStr">
        <is>
          <t>Standard</t>
        </is>
      </c>
      <c r="Q23" s="1" t="inlineStr">
        <is>
          <t>Insert</t>
        </is>
      </c>
      <c r="R23" s="1" t="inlineStr">
        <is>
          <t>BIA</t>
        </is>
      </c>
      <c r="S23" s="1" t="inlineStr">
        <is>
          <t>BIA</t>
        </is>
      </c>
      <c r="T23" s="3" t="n">
        <v>-5.7</v>
      </c>
    </row>
    <row r="24">
      <c r="A24" s="1" t="n">
        <v>37395</v>
      </c>
      <c r="B24" s="1" t="inlineStr">
        <is>
          <t>Downer</t>
        </is>
      </c>
      <c r="C24" s="1" t="inlineStr">
        <is>
          <t>REV_EDI Rail- Bombardier Transportation</t>
        </is>
      </c>
      <c r="D24" s="1" t="inlineStr">
        <is>
          <t>ERBT</t>
        </is>
      </c>
      <c r="E24" s="1" t="n">
        <v>7868</v>
      </c>
      <c r="F24" s="1" t="inlineStr">
        <is>
          <t>Revenue - AUD Million</t>
        </is>
      </c>
      <c r="H24" s="1" t="inlineStr">
        <is>
          <t>FY26REV_EDI Rail- Bombardier Transportation</t>
        </is>
      </c>
      <c r="I24" s="1" t="inlineStr">
        <is>
          <t>FY26REV_EDI Rail- Bombardier Transportation</t>
        </is>
      </c>
      <c r="J24" s="1" t="inlineStr">
        <is>
          <t>Downer</t>
        </is>
      </c>
      <c r="K24" s="1" t="inlineStr">
        <is>
          <t>Revenue</t>
        </is>
      </c>
      <c r="L24" s="2" t="inlineStr">
        <is>
          <t>2025-11-01</t>
        </is>
      </c>
      <c r="M24" s="2" t="inlineStr">
        <is>
          <t>2025-11-30</t>
        </is>
      </c>
      <c r="N24" s="1" t="inlineStr">
        <is>
          <t>Actual</t>
        </is>
      </c>
      <c r="O24" s="1" t="inlineStr">
        <is>
          <t>Standard</t>
        </is>
      </c>
      <c r="Q24" s="1" t="inlineStr">
        <is>
          <t>Insert</t>
        </is>
      </c>
      <c r="R24" s="1" t="inlineStr">
        <is>
          <t>EDI Rail- Bombardier Transportation</t>
        </is>
      </c>
      <c r="S24" s="1" t="inlineStr">
        <is>
          <t>EDI Rail- Bombardier Transportation</t>
        </is>
      </c>
      <c r="T24" s="3" t="n">
        <v>-2.6</v>
      </c>
    </row>
    <row r="25">
      <c r="A25" s="1" t="n">
        <v>37395</v>
      </c>
      <c r="B25" s="1" t="inlineStr">
        <is>
          <t>Downer</t>
        </is>
      </c>
      <c r="C25" s="1" t="inlineStr">
        <is>
          <t>REV_Emulco</t>
        </is>
      </c>
      <c r="D25" s="1" t="inlineStr">
        <is>
          <t>EMU</t>
        </is>
      </c>
      <c r="E25" s="1" t="n">
        <v>7868</v>
      </c>
      <c r="F25" s="1" t="inlineStr">
        <is>
          <t>Revenue - AUD Million</t>
        </is>
      </c>
      <c r="H25" s="1" t="inlineStr">
        <is>
          <t>FY26REV_Emulco</t>
        </is>
      </c>
      <c r="I25" s="1" t="inlineStr">
        <is>
          <t>FY26REV_Emulco</t>
        </is>
      </c>
      <c r="J25" s="1" t="inlineStr">
        <is>
          <t>Downer</t>
        </is>
      </c>
      <c r="K25" s="1" t="inlineStr">
        <is>
          <t>Revenue</t>
        </is>
      </c>
      <c r="L25" s="2" t="inlineStr">
        <is>
          <t>2025-11-01</t>
        </is>
      </c>
      <c r="M25" s="2" t="inlineStr">
        <is>
          <t>2025-11-30</t>
        </is>
      </c>
      <c r="N25" s="1" t="inlineStr">
        <is>
          <t>Actual</t>
        </is>
      </c>
      <c r="O25" s="1" t="inlineStr">
        <is>
          <t>Standard</t>
        </is>
      </c>
      <c r="Q25" s="1" t="inlineStr">
        <is>
          <t>Insert</t>
        </is>
      </c>
      <c r="R25" s="1" t="inlineStr">
        <is>
          <t>Emulco</t>
        </is>
      </c>
      <c r="S25" s="1" t="inlineStr">
        <is>
          <t>Emulco</t>
        </is>
      </c>
      <c r="T25" s="3" t="n">
        <v>-0.5</v>
      </c>
    </row>
    <row r="26">
      <c r="A26" s="1" t="n">
        <v>37395</v>
      </c>
      <c r="B26" s="1" t="inlineStr">
        <is>
          <t>Downer</t>
        </is>
      </c>
      <c r="C26" s="1" t="inlineStr">
        <is>
          <t>REV_Isaac Asphalt</t>
        </is>
      </c>
      <c r="D26" s="1" t="inlineStr">
        <is>
          <t>ISAAT</t>
        </is>
      </c>
      <c r="E26" s="1" t="n">
        <v>7868</v>
      </c>
      <c r="F26" s="1" t="inlineStr">
        <is>
          <t>Revenue - AUD Million</t>
        </is>
      </c>
      <c r="H26" s="1" t="inlineStr">
        <is>
          <t>FY26REV_Isaac Asphalt</t>
        </is>
      </c>
      <c r="I26" s="1" t="inlineStr">
        <is>
          <t>FY26REV_Isaac Asphalt</t>
        </is>
      </c>
      <c r="J26" s="1" t="inlineStr">
        <is>
          <t>Downer</t>
        </is>
      </c>
      <c r="K26" s="1" t="inlineStr">
        <is>
          <t>Revenue</t>
        </is>
      </c>
      <c r="L26" s="2" t="inlineStr">
        <is>
          <t>2025-11-01</t>
        </is>
      </c>
      <c r="M26" s="2" t="inlineStr">
        <is>
          <t>2025-11-30</t>
        </is>
      </c>
      <c r="N26" s="1" t="inlineStr">
        <is>
          <t>Actual</t>
        </is>
      </c>
      <c r="O26" s="1" t="inlineStr">
        <is>
          <t>Standard</t>
        </is>
      </c>
      <c r="Q26" s="1" t="inlineStr">
        <is>
          <t>Insert</t>
        </is>
      </c>
      <c r="R26" s="1" t="inlineStr">
        <is>
          <t>Isaac Asphalt</t>
        </is>
      </c>
      <c r="S26" s="1" t="inlineStr">
        <is>
          <t>Isaac Asphalt</t>
        </is>
      </c>
      <c r="T26" s="3" t="n">
        <v>-0.8</v>
      </c>
    </row>
    <row r="27">
      <c r="A27" s="1" t="n">
        <v>37395</v>
      </c>
      <c r="B27" s="1" t="inlineStr">
        <is>
          <t>Downer</t>
        </is>
      </c>
      <c r="C27" s="1" t="inlineStr">
        <is>
          <t>REV_Allied Asphalt</t>
        </is>
      </c>
      <c r="D27" s="1" t="inlineStr">
        <is>
          <t>AASPHT</t>
        </is>
      </c>
      <c r="E27" s="1" t="n">
        <v>7868</v>
      </c>
      <c r="F27" s="1" t="inlineStr">
        <is>
          <t>Revenue - AUD Million</t>
        </is>
      </c>
      <c r="H27" s="1" t="inlineStr">
        <is>
          <t>FY26REV_Allied Asphalt</t>
        </is>
      </c>
      <c r="I27" s="1" t="inlineStr">
        <is>
          <t>FY26REV_Allied Asphalt</t>
        </is>
      </c>
      <c r="J27" s="1" t="inlineStr">
        <is>
          <t>Downer</t>
        </is>
      </c>
      <c r="K27" s="1" t="inlineStr">
        <is>
          <t>Revenue</t>
        </is>
      </c>
      <c r="L27" s="2" t="inlineStr">
        <is>
          <t>2025-12-01</t>
        </is>
      </c>
      <c r="M27" s="2" t="inlineStr">
        <is>
          <t>2025-12-31</t>
        </is>
      </c>
      <c r="N27" s="1" t="inlineStr">
        <is>
          <t>Actual</t>
        </is>
      </c>
      <c r="O27" s="1" t="inlineStr">
        <is>
          <t>Standard</t>
        </is>
      </c>
      <c r="Q27" s="1" t="inlineStr">
        <is>
          <t>Insert</t>
        </is>
      </c>
      <c r="R27" s="1" t="inlineStr">
        <is>
          <t>Allied Asphalt</t>
        </is>
      </c>
      <c r="S27" s="1" t="inlineStr">
        <is>
          <t>Allied Asphalt</t>
        </is>
      </c>
      <c r="T27" s="3" t="n">
        <v>-2.4</v>
      </c>
    </row>
    <row r="28">
      <c r="A28" s="1" t="n">
        <v>37395</v>
      </c>
      <c r="B28" s="1" t="inlineStr">
        <is>
          <t>Downer</t>
        </is>
      </c>
      <c r="C28" s="1" t="inlineStr">
        <is>
          <t>REV_BIA</t>
        </is>
      </c>
      <c r="D28" s="1" t="inlineStr">
        <is>
          <t>RSV175-1</t>
        </is>
      </c>
      <c r="E28" s="1" t="n">
        <v>7868</v>
      </c>
      <c r="F28" s="1" t="inlineStr">
        <is>
          <t>Revenue - AUD Million</t>
        </is>
      </c>
      <c r="H28" s="1" t="inlineStr">
        <is>
          <t>FY26REV_BIA</t>
        </is>
      </c>
      <c r="I28" s="1" t="inlineStr">
        <is>
          <t>FY26REV_BIA</t>
        </is>
      </c>
      <c r="J28" s="1" t="inlineStr">
        <is>
          <t>Downer</t>
        </is>
      </c>
      <c r="K28" s="1" t="inlineStr">
        <is>
          <t>Revenue</t>
        </is>
      </c>
      <c r="L28" s="2" t="inlineStr">
        <is>
          <t>2025-12-01</t>
        </is>
      </c>
      <c r="M28" s="2" t="inlineStr">
        <is>
          <t>2025-12-31</t>
        </is>
      </c>
      <c r="N28" s="1" t="inlineStr">
        <is>
          <t>Actual</t>
        </is>
      </c>
      <c r="O28" s="1" t="inlineStr">
        <is>
          <t>Standard</t>
        </is>
      </c>
      <c r="Q28" s="1" t="inlineStr">
        <is>
          <t>Insert</t>
        </is>
      </c>
      <c r="R28" s="1" t="inlineStr">
        <is>
          <t>BIA</t>
        </is>
      </c>
      <c r="S28" s="1" t="inlineStr">
        <is>
          <t>BIA</t>
        </is>
      </c>
      <c r="T28" s="3" t="n">
        <v>-4.8</v>
      </c>
    </row>
    <row r="29">
      <c r="A29" s="1" t="n">
        <v>37395</v>
      </c>
      <c r="B29" s="1" t="inlineStr">
        <is>
          <t>Downer</t>
        </is>
      </c>
      <c r="C29" s="1" t="inlineStr">
        <is>
          <t>REV_EDI Rail- Bombardier Transportation</t>
        </is>
      </c>
      <c r="D29" s="1" t="inlineStr">
        <is>
          <t>ERBT</t>
        </is>
      </c>
      <c r="E29" s="1" t="n">
        <v>7868</v>
      </c>
      <c r="F29" s="1" t="inlineStr">
        <is>
          <t>Revenue - AUD Million</t>
        </is>
      </c>
      <c r="H29" s="1" t="inlineStr">
        <is>
          <t>FY26REV_EDI Rail- Bombardier Transportation</t>
        </is>
      </c>
      <c r="I29" s="1" t="inlineStr">
        <is>
          <t>FY26REV_EDI Rail- Bombardier Transportation</t>
        </is>
      </c>
      <c r="J29" s="1" t="inlineStr">
        <is>
          <t>Downer</t>
        </is>
      </c>
      <c r="K29" s="1" t="inlineStr">
        <is>
          <t>Revenue</t>
        </is>
      </c>
      <c r="L29" s="2" t="inlineStr">
        <is>
          <t>2025-12-01</t>
        </is>
      </c>
      <c r="M29" s="2" t="inlineStr">
        <is>
          <t>2025-12-31</t>
        </is>
      </c>
      <c r="N29" s="1" t="inlineStr">
        <is>
          <t>Actual</t>
        </is>
      </c>
      <c r="O29" s="1" t="inlineStr">
        <is>
          <t>Standard</t>
        </is>
      </c>
      <c r="Q29" s="1" t="inlineStr">
        <is>
          <t>Insert</t>
        </is>
      </c>
      <c r="R29" s="1" t="inlineStr">
        <is>
          <t>EDI Rail- Bombardier Transportation</t>
        </is>
      </c>
      <c r="S29" s="1" t="inlineStr">
        <is>
          <t>EDI Rail- Bombardier Transportation</t>
        </is>
      </c>
      <c r="T29" s="3" t="n">
        <v>-2.9</v>
      </c>
    </row>
    <row r="30">
      <c r="A30" s="1" t="n">
        <v>37395</v>
      </c>
      <c r="B30" s="1" t="inlineStr">
        <is>
          <t>Downer</t>
        </is>
      </c>
      <c r="C30" s="1" t="inlineStr">
        <is>
          <t>REV_Emulco</t>
        </is>
      </c>
      <c r="D30" s="1" t="inlineStr">
        <is>
          <t>EMU</t>
        </is>
      </c>
      <c r="E30" s="1" t="n">
        <v>7868</v>
      </c>
      <c r="F30" s="1" t="inlineStr">
        <is>
          <t>Revenue - AUD Million</t>
        </is>
      </c>
      <c r="H30" s="1" t="inlineStr">
        <is>
          <t>FY26REV_Emulco</t>
        </is>
      </c>
      <c r="I30" s="1" t="inlineStr">
        <is>
          <t>FY26REV_Emulco</t>
        </is>
      </c>
      <c r="J30" s="1" t="inlineStr">
        <is>
          <t>Downer</t>
        </is>
      </c>
      <c r="K30" s="1" t="inlineStr">
        <is>
          <t>Revenue</t>
        </is>
      </c>
      <c r="L30" s="2" t="inlineStr">
        <is>
          <t>2025-12-01</t>
        </is>
      </c>
      <c r="M30" s="2" t="inlineStr">
        <is>
          <t>2025-12-31</t>
        </is>
      </c>
      <c r="N30" s="1" t="inlineStr">
        <is>
          <t>Actual</t>
        </is>
      </c>
      <c r="O30" s="1" t="inlineStr">
        <is>
          <t>Standard</t>
        </is>
      </c>
      <c r="Q30" s="1" t="inlineStr">
        <is>
          <t>Insert</t>
        </is>
      </c>
      <c r="R30" s="1" t="inlineStr">
        <is>
          <t>Emulco</t>
        </is>
      </c>
      <c r="S30" s="1" t="inlineStr">
        <is>
          <t>Emulco</t>
        </is>
      </c>
      <c r="T30" s="3" t="n">
        <v>-0.8</v>
      </c>
    </row>
    <row r="31">
      <c r="A31" s="1" t="n">
        <v>37395</v>
      </c>
      <c r="B31" s="1" t="inlineStr">
        <is>
          <t>Downer</t>
        </is>
      </c>
      <c r="C31" s="1" t="inlineStr">
        <is>
          <t>REV_Isaac Asphalt</t>
        </is>
      </c>
      <c r="D31" s="1" t="inlineStr">
        <is>
          <t>ISAAT</t>
        </is>
      </c>
      <c r="E31" s="1" t="n">
        <v>7868</v>
      </c>
      <c r="F31" s="1" t="inlineStr">
        <is>
          <t>Revenue - AUD Million</t>
        </is>
      </c>
      <c r="H31" s="1" t="inlineStr">
        <is>
          <t>FY26REV_Isaac Asphalt</t>
        </is>
      </c>
      <c r="I31" s="1" t="inlineStr">
        <is>
          <t>FY26REV_Isaac Asphalt</t>
        </is>
      </c>
      <c r="J31" s="1" t="inlineStr">
        <is>
          <t>Downer</t>
        </is>
      </c>
      <c r="K31" s="1" t="inlineStr">
        <is>
          <t>Revenue</t>
        </is>
      </c>
      <c r="L31" s="2" t="inlineStr">
        <is>
          <t>2025-12-01</t>
        </is>
      </c>
      <c r="M31" s="2" t="inlineStr">
        <is>
          <t>2025-12-31</t>
        </is>
      </c>
      <c r="N31" s="1" t="inlineStr">
        <is>
          <t>Actual</t>
        </is>
      </c>
      <c r="O31" s="1" t="inlineStr">
        <is>
          <t>Standard</t>
        </is>
      </c>
      <c r="Q31" s="1" t="inlineStr">
        <is>
          <t>Insert</t>
        </is>
      </c>
      <c r="R31" s="1" t="inlineStr">
        <is>
          <t>Isaac Asphalt</t>
        </is>
      </c>
      <c r="S31" s="1" t="inlineStr">
        <is>
          <t>Isaac Asphalt</t>
        </is>
      </c>
      <c r="T31" s="3" t="n">
        <v>-1.6</v>
      </c>
    </row>
    <row r="32">
      <c r="A32" s="1" t="n">
        <v>37395</v>
      </c>
      <c r="B32" s="1" t="inlineStr">
        <is>
          <t>Downer</t>
        </is>
      </c>
      <c r="C32" s="1" t="inlineStr">
        <is>
          <t>REV_Allied Asphalt</t>
        </is>
      </c>
      <c r="D32" s="1" t="inlineStr">
        <is>
          <t>AASPHT</t>
        </is>
      </c>
      <c r="E32" s="1" t="n">
        <v>7868</v>
      </c>
      <c r="F32" s="1" t="inlineStr">
        <is>
          <t>Revenue - AUD Million</t>
        </is>
      </c>
      <c r="H32" s="1" t="inlineStr">
        <is>
          <t>FY26REV_Allied Asphalt</t>
        </is>
      </c>
      <c r="I32" s="1" t="inlineStr">
        <is>
          <t>FY26REV_Allied Asphalt</t>
        </is>
      </c>
      <c r="J32" s="1" t="inlineStr">
        <is>
          <t>Downer</t>
        </is>
      </c>
      <c r="K32" s="1" t="inlineStr">
        <is>
          <t>Revenue</t>
        </is>
      </c>
      <c r="L32" s="2" t="inlineStr">
        <is>
          <t>2026-01-01</t>
        </is>
      </c>
      <c r="M32" s="2" t="inlineStr">
        <is>
          <t>2026-01-31</t>
        </is>
      </c>
      <c r="N32" s="1" t="inlineStr">
        <is>
          <t>Actual</t>
        </is>
      </c>
      <c r="O32" s="1" t="inlineStr">
        <is>
          <t>Standard</t>
        </is>
      </c>
      <c r="Q32" s="1" t="inlineStr">
        <is>
          <t>Insert</t>
        </is>
      </c>
      <c r="R32" s="1" t="inlineStr">
        <is>
          <t>Allied Asphalt</t>
        </is>
      </c>
      <c r="S32" s="1" t="inlineStr">
        <is>
          <t>Allied Asphalt</t>
        </is>
      </c>
      <c r="T32" s="3" t="n">
        <v>0.2</v>
      </c>
    </row>
    <row r="33">
      <c r="A33" s="1" t="n">
        <v>37395</v>
      </c>
      <c r="B33" s="1" t="inlineStr">
        <is>
          <t>Downer</t>
        </is>
      </c>
      <c r="C33" s="1" t="inlineStr">
        <is>
          <t>REV_BIA</t>
        </is>
      </c>
      <c r="D33" s="1" t="inlineStr">
        <is>
          <t>RSV175-1</t>
        </is>
      </c>
      <c r="E33" s="1" t="n">
        <v>7868</v>
      </c>
      <c r="F33" s="1" t="inlineStr">
        <is>
          <t>Revenue - AUD Million</t>
        </is>
      </c>
      <c r="H33" s="1" t="inlineStr">
        <is>
          <t>FY26REV_BIA</t>
        </is>
      </c>
      <c r="I33" s="1" t="inlineStr">
        <is>
          <t>FY26REV_BIA</t>
        </is>
      </c>
      <c r="J33" s="1" t="inlineStr">
        <is>
          <t>Downer</t>
        </is>
      </c>
      <c r="K33" s="1" t="inlineStr">
        <is>
          <t>Revenue</t>
        </is>
      </c>
      <c r="L33" s="2" t="inlineStr">
        <is>
          <t>2026-01-01</t>
        </is>
      </c>
      <c r="M33" s="2" t="inlineStr">
        <is>
          <t>2026-01-31</t>
        </is>
      </c>
      <c r="N33" s="1" t="inlineStr">
        <is>
          <t>Actual</t>
        </is>
      </c>
      <c r="O33" s="1" t="inlineStr">
        <is>
          <t>Standard</t>
        </is>
      </c>
      <c r="Q33" s="1" t="inlineStr">
        <is>
          <t>Insert</t>
        </is>
      </c>
      <c r="R33" s="1" t="inlineStr">
        <is>
          <t>BIA</t>
        </is>
      </c>
      <c r="S33" s="1" t="inlineStr">
        <is>
          <t>BIA</t>
        </is>
      </c>
      <c r="T33" s="3" t="n">
        <v>-5</v>
      </c>
    </row>
    <row r="34">
      <c r="A34" s="1" t="n">
        <v>37395</v>
      </c>
      <c r="B34" s="1" t="inlineStr">
        <is>
          <t>Downer</t>
        </is>
      </c>
      <c r="C34" s="1" t="inlineStr">
        <is>
          <t>REV_EDI Rail- Bombardier Transportation</t>
        </is>
      </c>
      <c r="D34" s="1" t="inlineStr">
        <is>
          <t>ERBT</t>
        </is>
      </c>
      <c r="E34" s="1" t="n">
        <v>7868</v>
      </c>
      <c r="F34" s="1" t="inlineStr">
        <is>
          <t>Revenue - AUD Million</t>
        </is>
      </c>
      <c r="H34" s="1" t="inlineStr">
        <is>
          <t>FY26REV_EDI Rail- Bombardier Transportation</t>
        </is>
      </c>
      <c r="I34" s="1" t="inlineStr">
        <is>
          <t>FY26REV_EDI Rail- Bombardier Transportation</t>
        </is>
      </c>
      <c r="J34" s="1" t="inlineStr">
        <is>
          <t>Downer</t>
        </is>
      </c>
      <c r="K34" s="1" t="inlineStr">
        <is>
          <t>Revenue</t>
        </is>
      </c>
      <c r="L34" s="2" t="inlineStr">
        <is>
          <t>2026-01-01</t>
        </is>
      </c>
      <c r="M34" s="2" t="inlineStr">
        <is>
          <t>2026-01-31</t>
        </is>
      </c>
      <c r="N34" s="1" t="inlineStr">
        <is>
          <t>Actual</t>
        </is>
      </c>
      <c r="O34" s="1" t="inlineStr">
        <is>
          <t>Standard</t>
        </is>
      </c>
      <c r="Q34" s="1" t="inlineStr">
        <is>
          <t>Insert</t>
        </is>
      </c>
      <c r="R34" s="1" t="inlineStr">
        <is>
          <t>EDI Rail- Bombardier Transportation</t>
        </is>
      </c>
      <c r="S34" s="1" t="inlineStr">
        <is>
          <t>EDI Rail- Bombardier Transportation</t>
        </is>
      </c>
      <c r="T34" s="3" t="n">
        <v>-3.1</v>
      </c>
    </row>
    <row r="35">
      <c r="A35" s="1" t="n">
        <v>37395</v>
      </c>
      <c r="B35" s="1" t="inlineStr">
        <is>
          <t>Downer</t>
        </is>
      </c>
      <c r="C35" s="1" t="inlineStr">
        <is>
          <t>REV_Emulco</t>
        </is>
      </c>
      <c r="D35" s="1" t="inlineStr">
        <is>
          <t>EMU</t>
        </is>
      </c>
      <c r="E35" s="1" t="n">
        <v>7868</v>
      </c>
      <c r="F35" s="1" t="inlineStr">
        <is>
          <t>Revenue - AUD Million</t>
        </is>
      </c>
      <c r="H35" s="1" t="inlineStr">
        <is>
          <t>FY26REV_Emulco</t>
        </is>
      </c>
      <c r="I35" s="1" t="inlineStr">
        <is>
          <t>FY26REV_Emulco</t>
        </is>
      </c>
      <c r="J35" s="1" t="inlineStr">
        <is>
          <t>Downer</t>
        </is>
      </c>
      <c r="K35" s="1" t="inlineStr">
        <is>
          <t>Revenue</t>
        </is>
      </c>
      <c r="L35" s="2" t="inlineStr">
        <is>
          <t>2026-01-01</t>
        </is>
      </c>
      <c r="M35" s="2" t="inlineStr">
        <is>
          <t>2026-01-31</t>
        </is>
      </c>
      <c r="N35" s="1" t="inlineStr">
        <is>
          <t>Actual</t>
        </is>
      </c>
      <c r="O35" s="1" t="inlineStr">
        <is>
          <t>Standard</t>
        </is>
      </c>
      <c r="Q35" s="1" t="inlineStr">
        <is>
          <t>Insert</t>
        </is>
      </c>
      <c r="R35" s="1" t="inlineStr">
        <is>
          <t>Emulco</t>
        </is>
      </c>
      <c r="S35" s="1" t="inlineStr">
        <is>
          <t>Emulco</t>
        </is>
      </c>
      <c r="T35" s="3" t="n">
        <v>0</v>
      </c>
    </row>
    <row r="36">
      <c r="A36" s="1" t="n">
        <v>37395</v>
      </c>
      <c r="B36" s="1" t="inlineStr">
        <is>
          <t>Downer</t>
        </is>
      </c>
      <c r="C36" s="1" t="inlineStr">
        <is>
          <t>REV_Isaac Asphalt</t>
        </is>
      </c>
      <c r="D36" s="1" t="inlineStr">
        <is>
          <t>ISAAT</t>
        </is>
      </c>
      <c r="E36" s="1" t="n">
        <v>7868</v>
      </c>
      <c r="F36" s="1" t="inlineStr">
        <is>
          <t>Revenue - AUD Million</t>
        </is>
      </c>
      <c r="H36" s="1" t="inlineStr">
        <is>
          <t>FY26REV_Isaac Asphalt</t>
        </is>
      </c>
      <c r="I36" s="1" t="inlineStr">
        <is>
          <t>FY26REV_Isaac Asphalt</t>
        </is>
      </c>
      <c r="J36" s="1" t="inlineStr">
        <is>
          <t>Downer</t>
        </is>
      </c>
      <c r="K36" s="1" t="inlineStr">
        <is>
          <t>Revenue</t>
        </is>
      </c>
      <c r="L36" s="2" t="inlineStr">
        <is>
          <t>2026-01-01</t>
        </is>
      </c>
      <c r="M36" s="2" t="inlineStr">
        <is>
          <t>2026-01-31</t>
        </is>
      </c>
      <c r="N36" s="1" t="inlineStr">
        <is>
          <t>Actual</t>
        </is>
      </c>
      <c r="O36" s="1" t="inlineStr">
        <is>
          <t>Standard</t>
        </is>
      </c>
      <c r="Q36" s="1" t="inlineStr">
        <is>
          <t>Insert</t>
        </is>
      </c>
      <c r="R36" s="1" t="inlineStr">
        <is>
          <t>Isaac Asphalt</t>
        </is>
      </c>
      <c r="S36" s="1" t="inlineStr">
        <is>
          <t>Isaac Asphalt</t>
        </is>
      </c>
      <c r="T36" s="3" t="n">
        <v>0</v>
      </c>
    </row>
    <row r="37">
      <c r="A37" s="1" t="n">
        <v>37395</v>
      </c>
      <c r="B37" s="1" t="inlineStr">
        <is>
          <t>Downer</t>
        </is>
      </c>
      <c r="C37" s="1" t="inlineStr">
        <is>
          <t>REV_Allied Asphalt</t>
        </is>
      </c>
      <c r="D37" s="1" t="inlineStr">
        <is>
          <t>AASPHT</t>
        </is>
      </c>
      <c r="E37" s="1" t="n">
        <v>7868</v>
      </c>
      <c r="F37" s="1" t="inlineStr">
        <is>
          <t>Revenue - AUD Million</t>
        </is>
      </c>
      <c r="H37" s="1" t="inlineStr">
        <is>
          <t>FY26REV_Allied Asphalt</t>
        </is>
      </c>
      <c r="I37" s="1" t="inlineStr">
        <is>
          <t>FY26REV_Allied Asphalt</t>
        </is>
      </c>
      <c r="J37" s="1" t="inlineStr">
        <is>
          <t>Downer</t>
        </is>
      </c>
      <c r="K37" s="1" t="inlineStr">
        <is>
          <t>Revenue</t>
        </is>
      </c>
      <c r="L37" s="2" t="inlineStr">
        <is>
          <t>2026-02-01</t>
        </is>
      </c>
      <c r="M37" s="2" t="inlineStr">
        <is>
          <t>2026-02-28</t>
        </is>
      </c>
      <c r="N37" s="1" t="inlineStr">
        <is>
          <t>Actual</t>
        </is>
      </c>
      <c r="O37" s="1" t="inlineStr">
        <is>
          <t>Standard</t>
        </is>
      </c>
      <c r="Q37" s="1" t="inlineStr">
        <is>
          <t>Insert</t>
        </is>
      </c>
      <c r="R37" s="1" t="inlineStr">
        <is>
          <t>Allied Asphalt</t>
        </is>
      </c>
      <c r="S37" s="1" t="inlineStr">
        <is>
          <t>Allied Asphalt</t>
        </is>
      </c>
      <c r="T37" s="3" t="n">
        <v>-0.8</v>
      </c>
    </row>
    <row r="38">
      <c r="A38" s="1" t="n">
        <v>37395</v>
      </c>
      <c r="B38" s="1" t="inlineStr">
        <is>
          <t>Downer</t>
        </is>
      </c>
      <c r="C38" s="1" t="inlineStr">
        <is>
          <t>REV_BIA</t>
        </is>
      </c>
      <c r="D38" s="1" t="inlineStr">
        <is>
          <t>RSV175-1</t>
        </is>
      </c>
      <c r="E38" s="1" t="n">
        <v>7868</v>
      </c>
      <c r="F38" s="1" t="inlineStr">
        <is>
          <t>Revenue - AUD Million</t>
        </is>
      </c>
      <c r="H38" s="1" t="inlineStr">
        <is>
          <t>FY26REV_BIA</t>
        </is>
      </c>
      <c r="I38" s="1" t="inlineStr">
        <is>
          <t>FY26REV_BIA</t>
        </is>
      </c>
      <c r="J38" s="1" t="inlineStr">
        <is>
          <t>Downer</t>
        </is>
      </c>
      <c r="K38" s="1" t="inlineStr">
        <is>
          <t>Revenue</t>
        </is>
      </c>
      <c r="L38" s="2" t="inlineStr">
        <is>
          <t>2026-02-01</t>
        </is>
      </c>
      <c r="M38" s="2" t="inlineStr">
        <is>
          <t>2026-02-28</t>
        </is>
      </c>
      <c r="N38" s="1" t="inlineStr">
        <is>
          <t>Actual</t>
        </is>
      </c>
      <c r="O38" s="1" t="inlineStr">
        <is>
          <t>Standard</t>
        </is>
      </c>
      <c r="Q38" s="1" t="inlineStr">
        <is>
          <t>Insert</t>
        </is>
      </c>
      <c r="R38" s="1" t="inlineStr">
        <is>
          <t>BIA</t>
        </is>
      </c>
      <c r="S38" s="1" t="inlineStr">
        <is>
          <t>BIA</t>
        </is>
      </c>
      <c r="T38" s="3" t="n">
        <v>-5.5</v>
      </c>
    </row>
    <row r="39">
      <c r="A39" s="1" t="n">
        <v>37395</v>
      </c>
      <c r="B39" s="1" t="inlineStr">
        <is>
          <t>Downer</t>
        </is>
      </c>
      <c r="C39" s="1" t="inlineStr">
        <is>
          <t>REV_EDI Rail- Bombardier Transportation</t>
        </is>
      </c>
      <c r="D39" s="1" t="inlineStr">
        <is>
          <t>ERBT</t>
        </is>
      </c>
      <c r="E39" s="1" t="n">
        <v>7868</v>
      </c>
      <c r="F39" s="1" t="inlineStr">
        <is>
          <t>Revenue - AUD Million</t>
        </is>
      </c>
      <c r="H39" s="1" t="inlineStr">
        <is>
          <t>FY26REV_EDI Rail- Bombardier Transportation</t>
        </is>
      </c>
      <c r="I39" s="1" t="inlineStr">
        <is>
          <t>FY26REV_EDI Rail- Bombardier Transportation</t>
        </is>
      </c>
      <c r="J39" s="1" t="inlineStr">
        <is>
          <t>Downer</t>
        </is>
      </c>
      <c r="K39" s="1" t="inlineStr">
        <is>
          <t>Revenue</t>
        </is>
      </c>
      <c r="L39" s="2" t="inlineStr">
        <is>
          <t>2026-02-01</t>
        </is>
      </c>
      <c r="M39" s="2" t="inlineStr">
        <is>
          <t>2026-02-28</t>
        </is>
      </c>
      <c r="N39" s="1" t="inlineStr">
        <is>
          <t>Actual</t>
        </is>
      </c>
      <c r="O39" s="1" t="inlineStr">
        <is>
          <t>Standard</t>
        </is>
      </c>
      <c r="Q39" s="1" t="inlineStr">
        <is>
          <t>Insert</t>
        </is>
      </c>
      <c r="R39" s="1" t="inlineStr">
        <is>
          <t>EDI Rail- Bombardier Transportation</t>
        </is>
      </c>
      <c r="S39" s="1" t="inlineStr">
        <is>
          <t>EDI Rail- Bombardier Transportation</t>
        </is>
      </c>
      <c r="T39" s="3" t="n">
        <v>-2.1</v>
      </c>
    </row>
    <row r="40">
      <c r="A40" s="1" t="n">
        <v>37395</v>
      </c>
      <c r="B40" s="1" t="inlineStr">
        <is>
          <t>Downer</t>
        </is>
      </c>
      <c r="C40" s="1" t="inlineStr">
        <is>
          <t>REV_Emulco</t>
        </is>
      </c>
      <c r="D40" s="1" t="inlineStr">
        <is>
          <t>EMU</t>
        </is>
      </c>
      <c r="E40" s="1" t="n">
        <v>7868</v>
      </c>
      <c r="F40" s="1" t="inlineStr">
        <is>
          <t>Revenue - AUD Million</t>
        </is>
      </c>
      <c r="H40" s="1" t="inlineStr">
        <is>
          <t>FY26REV_Emulco</t>
        </is>
      </c>
      <c r="I40" s="1" t="inlineStr">
        <is>
          <t>FY26REV_Emulco</t>
        </is>
      </c>
      <c r="J40" s="1" t="inlineStr">
        <is>
          <t>Downer</t>
        </is>
      </c>
      <c r="K40" s="1" t="inlineStr">
        <is>
          <t>Revenue</t>
        </is>
      </c>
      <c r="L40" s="2" t="inlineStr">
        <is>
          <t>2026-02-01</t>
        </is>
      </c>
      <c r="M40" s="2" t="inlineStr">
        <is>
          <t>2026-02-28</t>
        </is>
      </c>
      <c r="N40" s="1" t="inlineStr">
        <is>
          <t>Actual</t>
        </is>
      </c>
      <c r="O40" s="1" t="inlineStr">
        <is>
          <t>Standard</t>
        </is>
      </c>
      <c r="Q40" s="1" t="inlineStr">
        <is>
          <t>Insert</t>
        </is>
      </c>
      <c r="R40" s="1" t="inlineStr">
        <is>
          <t>Emulco</t>
        </is>
      </c>
      <c r="S40" s="1" t="inlineStr">
        <is>
          <t>Emulco</t>
        </is>
      </c>
      <c r="T40" s="3" t="n">
        <v>-0.9</v>
      </c>
    </row>
    <row r="41">
      <c r="A41" s="1" t="n">
        <v>37395</v>
      </c>
      <c r="B41" s="1" t="inlineStr">
        <is>
          <t>Downer</t>
        </is>
      </c>
      <c r="C41" s="1" t="inlineStr">
        <is>
          <t>REV_Isaac Asphalt</t>
        </is>
      </c>
      <c r="D41" s="1" t="inlineStr">
        <is>
          <t>ISAAT</t>
        </is>
      </c>
      <c r="E41" s="1" t="n">
        <v>7868</v>
      </c>
      <c r="F41" s="1" t="inlineStr">
        <is>
          <t>Revenue - AUD Million</t>
        </is>
      </c>
      <c r="H41" s="1" t="inlineStr">
        <is>
          <t>FY26REV_Isaac Asphalt</t>
        </is>
      </c>
      <c r="I41" s="1" t="inlineStr">
        <is>
          <t>FY26REV_Isaac Asphalt</t>
        </is>
      </c>
      <c r="J41" s="1" t="inlineStr">
        <is>
          <t>Downer</t>
        </is>
      </c>
      <c r="K41" s="1" t="inlineStr">
        <is>
          <t>Revenue</t>
        </is>
      </c>
      <c r="L41" s="2" t="inlineStr">
        <is>
          <t>2026-02-01</t>
        </is>
      </c>
      <c r="M41" s="2" t="inlineStr">
        <is>
          <t>2026-02-28</t>
        </is>
      </c>
      <c r="N41" s="1" t="inlineStr">
        <is>
          <t>Actual</t>
        </is>
      </c>
      <c r="O41" s="1" t="inlineStr">
        <is>
          <t>Standard</t>
        </is>
      </c>
      <c r="Q41" s="1" t="inlineStr">
        <is>
          <t>Insert</t>
        </is>
      </c>
      <c r="R41" s="1" t="inlineStr">
        <is>
          <t>Isaac Asphalt</t>
        </is>
      </c>
      <c r="S41" s="1" t="inlineStr">
        <is>
          <t>Isaac Asphalt</t>
        </is>
      </c>
      <c r="T41" s="3" t="n">
        <v>-0.4</v>
      </c>
    </row>
    <row r="42">
      <c r="A42" s="1" t="n">
        <v>37395</v>
      </c>
      <c r="B42" s="1" t="inlineStr">
        <is>
          <t>Downer</t>
        </is>
      </c>
      <c r="C42" s="1" t="inlineStr">
        <is>
          <t>REV_Allied Asphalt</t>
        </is>
      </c>
      <c r="D42" s="1" t="inlineStr">
        <is>
          <t>AASPHT</t>
        </is>
      </c>
      <c r="E42" s="1" t="n">
        <v>7868</v>
      </c>
      <c r="F42" s="1" t="inlineStr">
        <is>
          <t>Revenue - AUD Million</t>
        </is>
      </c>
      <c r="H42" s="1" t="inlineStr">
        <is>
          <t>FY26REV_Allied Asphalt</t>
        </is>
      </c>
      <c r="I42" s="1" t="inlineStr">
        <is>
          <t>FY26REV_Allied Asphalt</t>
        </is>
      </c>
      <c r="J42" s="1" t="inlineStr">
        <is>
          <t>Downer</t>
        </is>
      </c>
      <c r="K42" s="1" t="inlineStr">
        <is>
          <t>Revenue</t>
        </is>
      </c>
      <c r="L42" s="2" t="inlineStr">
        <is>
          <t>2026-03-01</t>
        </is>
      </c>
      <c r="M42" s="2" t="inlineStr">
        <is>
          <t>2026-03-31</t>
        </is>
      </c>
      <c r="N42" s="1" t="inlineStr">
        <is>
          <t>Actual</t>
        </is>
      </c>
      <c r="O42" s="1" t="inlineStr">
        <is>
          <t>Standard</t>
        </is>
      </c>
      <c r="Q42" s="1" t="inlineStr">
        <is>
          <t>Insert</t>
        </is>
      </c>
      <c r="R42" s="1" t="inlineStr">
        <is>
          <t>Allied Asphalt</t>
        </is>
      </c>
      <c r="S42" s="1" t="inlineStr">
        <is>
          <t>Allied Asphalt</t>
        </is>
      </c>
      <c r="T42" s="3" t="n">
        <v>-1</v>
      </c>
    </row>
    <row r="43">
      <c r="A43" s="1" t="n">
        <v>37395</v>
      </c>
      <c r="B43" s="1" t="inlineStr">
        <is>
          <t>Downer</t>
        </is>
      </c>
      <c r="C43" s="1" t="inlineStr">
        <is>
          <t>REV_BIA</t>
        </is>
      </c>
      <c r="D43" s="1" t="inlineStr">
        <is>
          <t>RSV175-1</t>
        </is>
      </c>
      <c r="E43" s="1" t="n">
        <v>7868</v>
      </c>
      <c r="F43" s="1" t="inlineStr">
        <is>
          <t>Revenue - AUD Million</t>
        </is>
      </c>
      <c r="H43" s="1" t="inlineStr">
        <is>
          <t>FY26REV_BIA</t>
        </is>
      </c>
      <c r="I43" s="1" t="inlineStr">
        <is>
          <t>FY26REV_BIA</t>
        </is>
      </c>
      <c r="J43" s="1" t="inlineStr">
        <is>
          <t>Downer</t>
        </is>
      </c>
      <c r="K43" s="1" t="inlineStr">
        <is>
          <t>Revenue</t>
        </is>
      </c>
      <c r="L43" s="2" t="inlineStr">
        <is>
          <t>2026-03-01</t>
        </is>
      </c>
      <c r="M43" s="2" t="inlineStr">
        <is>
          <t>2026-03-31</t>
        </is>
      </c>
      <c r="N43" s="1" t="inlineStr">
        <is>
          <t>Actual</t>
        </is>
      </c>
      <c r="O43" s="1" t="inlineStr">
        <is>
          <t>Standard</t>
        </is>
      </c>
      <c r="Q43" s="1" t="inlineStr">
        <is>
          <t>Insert</t>
        </is>
      </c>
      <c r="R43" s="1" t="inlineStr">
        <is>
          <t>BIA</t>
        </is>
      </c>
      <c r="S43" s="1" t="inlineStr">
        <is>
          <t>BIA</t>
        </is>
      </c>
      <c r="T43" s="3" t="n">
        <v>-5.8</v>
      </c>
    </row>
    <row r="44">
      <c r="A44" s="1" t="n">
        <v>37395</v>
      </c>
      <c r="B44" s="1" t="inlineStr">
        <is>
          <t>Downer</t>
        </is>
      </c>
      <c r="C44" s="1" t="inlineStr">
        <is>
          <t>REV_EDI Rail- Bombardier Transportation</t>
        </is>
      </c>
      <c r="D44" s="1" t="inlineStr">
        <is>
          <t>ERBT</t>
        </is>
      </c>
      <c r="E44" s="1" t="n">
        <v>7868</v>
      </c>
      <c r="F44" s="1" t="inlineStr">
        <is>
          <t>Revenue - AUD Million</t>
        </is>
      </c>
      <c r="H44" s="1" t="inlineStr">
        <is>
          <t>FY26REV_EDI Rail- Bombardier Transportation</t>
        </is>
      </c>
      <c r="I44" s="1" t="inlineStr">
        <is>
          <t>FY26REV_EDI Rail- Bombardier Transportation</t>
        </is>
      </c>
      <c r="J44" s="1" t="inlineStr">
        <is>
          <t>Downer</t>
        </is>
      </c>
      <c r="K44" s="1" t="inlineStr">
        <is>
          <t>Revenue</t>
        </is>
      </c>
      <c r="L44" s="2" t="inlineStr">
        <is>
          <t>2026-03-01</t>
        </is>
      </c>
      <c r="M44" s="2" t="inlineStr">
        <is>
          <t>2026-03-31</t>
        </is>
      </c>
      <c r="N44" s="1" t="inlineStr">
        <is>
          <t>Actual</t>
        </is>
      </c>
      <c r="O44" s="1" t="inlineStr">
        <is>
          <t>Standard</t>
        </is>
      </c>
      <c r="Q44" s="1" t="inlineStr">
        <is>
          <t>Insert</t>
        </is>
      </c>
      <c r="R44" s="1" t="inlineStr">
        <is>
          <t>EDI Rail- Bombardier Transportation</t>
        </is>
      </c>
      <c r="S44" s="1" t="inlineStr">
        <is>
          <t>EDI Rail- Bombardier Transportation</t>
        </is>
      </c>
      <c r="T44" s="3" t="n">
        <v>-2.1</v>
      </c>
    </row>
    <row r="45">
      <c r="A45" s="1" t="n">
        <v>37395</v>
      </c>
      <c r="B45" s="1" t="inlineStr">
        <is>
          <t>Downer</t>
        </is>
      </c>
      <c r="C45" s="1" t="inlineStr">
        <is>
          <t>REV_Emulco</t>
        </is>
      </c>
      <c r="D45" s="1" t="inlineStr">
        <is>
          <t>EMU</t>
        </is>
      </c>
      <c r="E45" s="1" t="n">
        <v>7868</v>
      </c>
      <c r="F45" s="1" t="inlineStr">
        <is>
          <t>Revenue - AUD Million</t>
        </is>
      </c>
      <c r="H45" s="1" t="inlineStr">
        <is>
          <t>FY26REV_Emulco</t>
        </is>
      </c>
      <c r="I45" s="1" t="inlineStr">
        <is>
          <t>FY26REV_Emulco</t>
        </is>
      </c>
      <c r="J45" s="1" t="inlineStr">
        <is>
          <t>Downer</t>
        </is>
      </c>
      <c r="K45" s="1" t="inlineStr">
        <is>
          <t>Revenue</t>
        </is>
      </c>
      <c r="L45" s="2" t="inlineStr">
        <is>
          <t>2026-03-01</t>
        </is>
      </c>
      <c r="M45" s="2" t="inlineStr">
        <is>
          <t>2026-03-31</t>
        </is>
      </c>
      <c r="N45" s="1" t="inlineStr">
        <is>
          <t>Actual</t>
        </is>
      </c>
      <c r="O45" s="1" t="inlineStr">
        <is>
          <t>Standard</t>
        </is>
      </c>
      <c r="Q45" s="1" t="inlineStr">
        <is>
          <t>Insert</t>
        </is>
      </c>
      <c r="R45" s="1" t="inlineStr">
        <is>
          <t>Emulco</t>
        </is>
      </c>
      <c r="S45" s="1" t="inlineStr">
        <is>
          <t>Emulco</t>
        </is>
      </c>
      <c r="T45" s="3" t="n">
        <v>0</v>
      </c>
    </row>
    <row r="46">
      <c r="A46" s="1" t="n">
        <v>37395</v>
      </c>
      <c r="B46" s="1" t="inlineStr">
        <is>
          <t>Downer</t>
        </is>
      </c>
      <c r="C46" s="1" t="inlineStr">
        <is>
          <t>REV_Isaac Asphalt</t>
        </is>
      </c>
      <c r="D46" s="1" t="inlineStr">
        <is>
          <t>ISAAT</t>
        </is>
      </c>
      <c r="E46" s="1" t="n">
        <v>7868</v>
      </c>
      <c r="F46" s="1" t="inlineStr">
        <is>
          <t>Revenue - AUD Million</t>
        </is>
      </c>
      <c r="H46" s="1" t="inlineStr">
        <is>
          <t>FY26REV_Isaac Asphalt</t>
        </is>
      </c>
      <c r="I46" s="1" t="inlineStr">
        <is>
          <t>FY26REV_Isaac Asphalt</t>
        </is>
      </c>
      <c r="J46" s="1" t="inlineStr">
        <is>
          <t>Downer</t>
        </is>
      </c>
      <c r="K46" s="1" t="inlineStr">
        <is>
          <t>Revenue</t>
        </is>
      </c>
      <c r="L46" s="2" t="inlineStr">
        <is>
          <t>2026-03-01</t>
        </is>
      </c>
      <c r="M46" s="2" t="inlineStr">
        <is>
          <t>2026-03-31</t>
        </is>
      </c>
      <c r="N46" s="1" t="inlineStr">
        <is>
          <t>Actual</t>
        </is>
      </c>
      <c r="O46" s="1" t="inlineStr">
        <is>
          <t>Standard</t>
        </is>
      </c>
      <c r="Q46" s="1" t="inlineStr">
        <is>
          <t>Insert</t>
        </is>
      </c>
      <c r="R46" s="1" t="inlineStr">
        <is>
          <t>Isaac Asphalt</t>
        </is>
      </c>
      <c r="S46" s="1" t="inlineStr">
        <is>
          <t>Isaac Asphalt</t>
        </is>
      </c>
      <c r="T46" s="3" t="n">
        <v>-0.5</v>
      </c>
    </row>
    <row r="47">
      <c r="A47" s="1" t="n">
        <v>37395</v>
      </c>
      <c r="B47" s="1" t="inlineStr">
        <is>
          <t>Downer</t>
        </is>
      </c>
      <c r="C47" s="1" t="inlineStr">
        <is>
          <t>REV_Allied Asphalt</t>
        </is>
      </c>
      <c r="D47" s="1" t="inlineStr">
        <is>
          <t>AASPHT</t>
        </is>
      </c>
      <c r="E47" s="1" t="n">
        <v>7868</v>
      </c>
      <c r="F47" s="1" t="inlineStr">
        <is>
          <t>Revenue - AUD Million</t>
        </is>
      </c>
      <c r="H47" s="1" t="inlineStr">
        <is>
          <t>FY26REV_Allied Asphalt</t>
        </is>
      </c>
      <c r="I47" s="1" t="inlineStr">
        <is>
          <t>FY26REV_Allied Asphalt</t>
        </is>
      </c>
      <c r="J47" s="1" t="inlineStr">
        <is>
          <t>Downer</t>
        </is>
      </c>
      <c r="K47" s="1" t="inlineStr">
        <is>
          <t>Revenue</t>
        </is>
      </c>
      <c r="L47" s="2" t="inlineStr">
        <is>
          <t>2026-04-01</t>
        </is>
      </c>
      <c r="M47" s="2" t="inlineStr">
        <is>
          <t>2026-04-30</t>
        </is>
      </c>
      <c r="N47" s="1" t="inlineStr">
        <is>
          <t>Actual</t>
        </is>
      </c>
      <c r="O47" s="1" t="inlineStr">
        <is>
          <t>Standard</t>
        </is>
      </c>
      <c r="Q47" s="1" t="inlineStr">
        <is>
          <t>Insert</t>
        </is>
      </c>
      <c r="R47" s="1" t="inlineStr">
        <is>
          <t>Allied Asphalt</t>
        </is>
      </c>
      <c r="S47" s="1" t="inlineStr">
        <is>
          <t>Allied Asphalt</t>
        </is>
      </c>
      <c r="T47" s="3" t="n">
        <v>-1.5</v>
      </c>
    </row>
    <row r="48">
      <c r="A48" s="1" t="n">
        <v>37395</v>
      </c>
      <c r="B48" s="1" t="inlineStr">
        <is>
          <t>Downer</t>
        </is>
      </c>
      <c r="C48" s="1" t="inlineStr">
        <is>
          <t>REV_BIA</t>
        </is>
      </c>
      <c r="D48" s="1" t="inlineStr">
        <is>
          <t>RSV175-1</t>
        </is>
      </c>
      <c r="E48" s="1" t="n">
        <v>7868</v>
      </c>
      <c r="F48" s="1" t="inlineStr">
        <is>
          <t>Revenue - AUD Million</t>
        </is>
      </c>
      <c r="H48" s="1" t="inlineStr">
        <is>
          <t>FY26REV_BIA</t>
        </is>
      </c>
      <c r="I48" s="1" t="inlineStr">
        <is>
          <t>FY26REV_BIA</t>
        </is>
      </c>
      <c r="J48" s="1" t="inlineStr">
        <is>
          <t>Downer</t>
        </is>
      </c>
      <c r="K48" s="1" t="inlineStr">
        <is>
          <t>Revenue</t>
        </is>
      </c>
      <c r="L48" s="2" t="inlineStr">
        <is>
          <t>2026-04-01</t>
        </is>
      </c>
      <c r="M48" s="2" t="inlineStr">
        <is>
          <t>2026-04-30</t>
        </is>
      </c>
      <c r="N48" s="1" t="inlineStr">
        <is>
          <t>Actual</t>
        </is>
      </c>
      <c r="O48" s="1" t="inlineStr">
        <is>
          <t>Standard</t>
        </is>
      </c>
      <c r="Q48" s="1" t="inlineStr">
        <is>
          <t>Insert</t>
        </is>
      </c>
      <c r="R48" s="1" t="inlineStr">
        <is>
          <t>BIA</t>
        </is>
      </c>
      <c r="S48" s="1" t="inlineStr">
        <is>
          <t>BIA</t>
        </is>
      </c>
      <c r="T48" s="3" t="n">
        <v>-10.2</v>
      </c>
    </row>
    <row r="49">
      <c r="A49" s="1" t="n">
        <v>37395</v>
      </c>
      <c r="B49" s="1" t="inlineStr">
        <is>
          <t>Downer</t>
        </is>
      </c>
      <c r="C49" s="1" t="inlineStr">
        <is>
          <t>REV_EDI Rail- Bombardier Transportation</t>
        </is>
      </c>
      <c r="D49" s="1" t="inlineStr">
        <is>
          <t>ERBT</t>
        </is>
      </c>
      <c r="E49" s="1" t="n">
        <v>7868</v>
      </c>
      <c r="F49" s="1" t="inlineStr">
        <is>
          <t>Revenue - AUD Million</t>
        </is>
      </c>
      <c r="H49" s="1" t="inlineStr">
        <is>
          <t>FY26REV_EDI Rail- Bombardier Transportation</t>
        </is>
      </c>
      <c r="I49" s="1" t="inlineStr">
        <is>
          <t>FY26REV_EDI Rail- Bombardier Transportation</t>
        </is>
      </c>
      <c r="J49" s="1" t="inlineStr">
        <is>
          <t>Downer</t>
        </is>
      </c>
      <c r="K49" s="1" t="inlineStr">
        <is>
          <t>Revenue</t>
        </is>
      </c>
      <c r="L49" s="2" t="inlineStr">
        <is>
          <t>2026-04-01</t>
        </is>
      </c>
      <c r="M49" s="2" t="inlineStr">
        <is>
          <t>2026-04-30</t>
        </is>
      </c>
      <c r="N49" s="1" t="inlineStr">
        <is>
          <t>Actual</t>
        </is>
      </c>
      <c r="O49" s="1" t="inlineStr">
        <is>
          <t>Standard</t>
        </is>
      </c>
      <c r="Q49" s="1" t="inlineStr">
        <is>
          <t>Insert</t>
        </is>
      </c>
      <c r="R49" s="1" t="inlineStr">
        <is>
          <t>EDI Rail- Bombardier Transportation</t>
        </is>
      </c>
      <c r="S49" s="1" t="inlineStr">
        <is>
          <t>EDI Rail- Bombardier Transportation</t>
        </is>
      </c>
      <c r="T49" s="3" t="n">
        <v>-2.9</v>
      </c>
    </row>
    <row r="50">
      <c r="A50" s="1" t="n">
        <v>37395</v>
      </c>
      <c r="B50" s="1" t="inlineStr">
        <is>
          <t>Downer</t>
        </is>
      </c>
      <c r="C50" s="1" t="inlineStr">
        <is>
          <t>REV_Emulco</t>
        </is>
      </c>
      <c r="D50" s="1" t="inlineStr">
        <is>
          <t>EMU</t>
        </is>
      </c>
      <c r="E50" s="1" t="n">
        <v>7868</v>
      </c>
      <c r="F50" s="1" t="inlineStr">
        <is>
          <t>Revenue - AUD Million</t>
        </is>
      </c>
      <c r="H50" s="1" t="inlineStr">
        <is>
          <t>FY26REV_Emulco</t>
        </is>
      </c>
      <c r="I50" s="1" t="inlineStr">
        <is>
          <t>FY26REV_Emulco</t>
        </is>
      </c>
      <c r="J50" s="1" t="inlineStr">
        <is>
          <t>Downer</t>
        </is>
      </c>
      <c r="K50" s="1" t="inlineStr">
        <is>
          <t>Revenue</t>
        </is>
      </c>
      <c r="L50" s="2" t="inlineStr">
        <is>
          <t>2026-04-01</t>
        </is>
      </c>
      <c r="M50" s="2" t="inlineStr">
        <is>
          <t>2026-04-30</t>
        </is>
      </c>
      <c r="N50" s="1" t="inlineStr">
        <is>
          <t>Actual</t>
        </is>
      </c>
      <c r="O50" s="1" t="inlineStr">
        <is>
          <t>Standard</t>
        </is>
      </c>
      <c r="Q50" s="1" t="inlineStr">
        <is>
          <t>Insert</t>
        </is>
      </c>
      <c r="R50" s="1" t="inlineStr">
        <is>
          <t>Emulco</t>
        </is>
      </c>
      <c r="S50" s="1" t="inlineStr">
        <is>
          <t>Emulco</t>
        </is>
      </c>
      <c r="T50" s="3" t="n">
        <v>-0.8</v>
      </c>
    </row>
    <row r="51">
      <c r="A51" s="1" t="n">
        <v>37395</v>
      </c>
      <c r="B51" s="1" t="inlineStr">
        <is>
          <t>Downer</t>
        </is>
      </c>
      <c r="C51" s="1" t="inlineStr">
        <is>
          <t>REV_Isaac Asphalt</t>
        </is>
      </c>
      <c r="D51" s="1" t="inlineStr">
        <is>
          <t>ISAAT</t>
        </is>
      </c>
      <c r="E51" s="1" t="n">
        <v>7868</v>
      </c>
      <c r="F51" s="1" t="inlineStr">
        <is>
          <t>Revenue - AUD Million</t>
        </is>
      </c>
      <c r="H51" s="1" t="inlineStr">
        <is>
          <t>FY26REV_Isaac Asphalt</t>
        </is>
      </c>
      <c r="I51" s="1" t="inlineStr">
        <is>
          <t>FY26REV_Isaac Asphalt</t>
        </is>
      </c>
      <c r="J51" s="1" t="inlineStr">
        <is>
          <t>Downer</t>
        </is>
      </c>
      <c r="K51" s="1" t="inlineStr">
        <is>
          <t>Revenue</t>
        </is>
      </c>
      <c r="L51" s="2" t="inlineStr">
        <is>
          <t>2026-04-01</t>
        </is>
      </c>
      <c r="M51" s="2" t="inlineStr">
        <is>
          <t>2026-04-30</t>
        </is>
      </c>
      <c r="N51" s="1" t="inlineStr">
        <is>
          <t>Actual</t>
        </is>
      </c>
      <c r="O51" s="1" t="inlineStr">
        <is>
          <t>Standard</t>
        </is>
      </c>
      <c r="Q51" s="1" t="inlineStr">
        <is>
          <t>Insert</t>
        </is>
      </c>
      <c r="R51" s="1" t="inlineStr">
        <is>
          <t>Isaac Asphalt</t>
        </is>
      </c>
      <c r="S51" s="1" t="inlineStr">
        <is>
          <t>Isaac Asphalt</t>
        </is>
      </c>
      <c r="T51" s="3" t="n">
        <v>-0.7</v>
      </c>
    </row>
    <row r="52">
      <c r="A52" s="1" t="n">
        <v>37395</v>
      </c>
      <c r="B52" s="1" t="inlineStr">
        <is>
          <t>Downer</t>
        </is>
      </c>
      <c r="C52" s="1" t="inlineStr">
        <is>
          <t>REV_Allied Asphalt</t>
        </is>
      </c>
      <c r="D52" s="1" t="inlineStr">
        <is>
          <t>AASPHT</t>
        </is>
      </c>
      <c r="E52" s="1" t="n">
        <v>7868</v>
      </c>
      <c r="F52" s="1" t="inlineStr">
        <is>
          <t>Revenue - AUD Million</t>
        </is>
      </c>
      <c r="H52" s="1" t="inlineStr">
        <is>
          <t>FY26REV_Allied Asphalt</t>
        </is>
      </c>
      <c r="I52" s="1" t="inlineStr">
        <is>
          <t>FY26REV_Allied Asphalt</t>
        </is>
      </c>
      <c r="J52" s="1" t="inlineStr">
        <is>
          <t>Downer</t>
        </is>
      </c>
      <c r="K52" s="1" t="inlineStr">
        <is>
          <t>Revenue</t>
        </is>
      </c>
      <c r="L52" s="2" t="inlineStr">
        <is>
          <t>2026-05-01</t>
        </is>
      </c>
      <c r="M52" s="2" t="inlineStr">
        <is>
          <t>2026-05-31</t>
        </is>
      </c>
      <c r="N52" s="1" t="inlineStr">
        <is>
          <t>Actual</t>
        </is>
      </c>
      <c r="O52" s="1" t="inlineStr">
        <is>
          <t>Standard</t>
        </is>
      </c>
      <c r="Q52" s="1" t="inlineStr">
        <is>
          <t>Insert</t>
        </is>
      </c>
      <c r="R52" s="1" t="inlineStr">
        <is>
          <t>Allied Asphalt</t>
        </is>
      </c>
      <c r="S52" s="1" t="inlineStr">
        <is>
          <t>Allied Asphalt</t>
        </is>
      </c>
      <c r="T52" s="3" t="n">
        <v>-0.8</v>
      </c>
    </row>
    <row r="53">
      <c r="A53" s="1" t="n">
        <v>37395</v>
      </c>
      <c r="B53" s="1" t="inlineStr">
        <is>
          <t>Downer</t>
        </is>
      </c>
      <c r="C53" s="1" t="inlineStr">
        <is>
          <t>REV_BIA</t>
        </is>
      </c>
      <c r="D53" s="1" t="inlineStr">
        <is>
          <t>RSV175-1</t>
        </is>
      </c>
      <c r="E53" s="1" t="n">
        <v>7868</v>
      </c>
      <c r="F53" s="1" t="inlineStr">
        <is>
          <t>Revenue - AUD Million</t>
        </is>
      </c>
      <c r="H53" s="1" t="inlineStr">
        <is>
          <t>FY26REV_BIA</t>
        </is>
      </c>
      <c r="I53" s="1" t="inlineStr">
        <is>
          <t>FY26REV_BIA</t>
        </is>
      </c>
      <c r="J53" s="1" t="inlineStr">
        <is>
          <t>Downer</t>
        </is>
      </c>
      <c r="K53" s="1" t="inlineStr">
        <is>
          <t>Revenue</t>
        </is>
      </c>
      <c r="L53" s="2" t="inlineStr">
        <is>
          <t>2026-05-01</t>
        </is>
      </c>
      <c r="M53" s="2" t="inlineStr">
        <is>
          <t>2026-05-31</t>
        </is>
      </c>
      <c r="N53" s="1" t="inlineStr">
        <is>
          <t>Actual</t>
        </is>
      </c>
      <c r="O53" s="1" t="inlineStr">
        <is>
          <t>Standard</t>
        </is>
      </c>
      <c r="Q53" s="1" t="inlineStr">
        <is>
          <t>Insert</t>
        </is>
      </c>
      <c r="R53" s="1" t="inlineStr">
        <is>
          <t>BIA</t>
        </is>
      </c>
      <c r="S53" s="1" t="inlineStr">
        <is>
          <t>BIA</t>
        </is>
      </c>
      <c r="T53" s="3" t="n">
        <v>-8.699999999999999</v>
      </c>
    </row>
    <row r="54">
      <c r="A54" s="1" t="n">
        <v>37395</v>
      </c>
      <c r="B54" s="1" t="inlineStr">
        <is>
          <t>Downer</t>
        </is>
      </c>
      <c r="C54" s="1" t="inlineStr">
        <is>
          <t>REV_EDI Rail- Bombardier Transportation</t>
        </is>
      </c>
      <c r="D54" s="1" t="inlineStr">
        <is>
          <t>ERBT</t>
        </is>
      </c>
      <c r="E54" s="1" t="n">
        <v>7868</v>
      </c>
      <c r="F54" s="1" t="inlineStr">
        <is>
          <t>Revenue - AUD Million</t>
        </is>
      </c>
      <c r="H54" s="1" t="inlineStr">
        <is>
          <t>FY26REV_EDI Rail- Bombardier Transportation</t>
        </is>
      </c>
      <c r="I54" s="1" t="inlineStr">
        <is>
          <t>FY26REV_EDI Rail- Bombardier Transportation</t>
        </is>
      </c>
      <c r="J54" s="1" t="inlineStr">
        <is>
          <t>Downer</t>
        </is>
      </c>
      <c r="K54" s="1" t="inlineStr">
        <is>
          <t>Revenue</t>
        </is>
      </c>
      <c r="L54" s="2" t="inlineStr">
        <is>
          <t>2026-05-01</t>
        </is>
      </c>
      <c r="M54" s="2" t="inlineStr">
        <is>
          <t>2026-05-31</t>
        </is>
      </c>
      <c r="N54" s="1" t="inlineStr">
        <is>
          <t>Actual</t>
        </is>
      </c>
      <c r="O54" s="1" t="inlineStr">
        <is>
          <t>Standard</t>
        </is>
      </c>
      <c r="Q54" s="1" t="inlineStr">
        <is>
          <t>Insert</t>
        </is>
      </c>
      <c r="R54" s="1" t="inlineStr">
        <is>
          <t>EDI Rail- Bombardier Transportation</t>
        </is>
      </c>
      <c r="S54" s="1" t="inlineStr">
        <is>
          <t>EDI Rail- Bombardier Transportation</t>
        </is>
      </c>
      <c r="T54" s="3" t="n">
        <v>-2.7</v>
      </c>
    </row>
    <row r="55">
      <c r="A55" s="1" t="n">
        <v>37395</v>
      </c>
      <c r="B55" s="1" t="inlineStr">
        <is>
          <t>Downer</t>
        </is>
      </c>
      <c r="C55" s="1" t="inlineStr">
        <is>
          <t>REV_Emulco</t>
        </is>
      </c>
      <c r="D55" s="1" t="inlineStr">
        <is>
          <t>EMU</t>
        </is>
      </c>
      <c r="E55" s="1" t="n">
        <v>7868</v>
      </c>
      <c r="F55" s="1" t="inlineStr">
        <is>
          <t>Revenue - AUD Million</t>
        </is>
      </c>
      <c r="H55" s="1" t="inlineStr">
        <is>
          <t>FY26REV_Emulco</t>
        </is>
      </c>
      <c r="I55" s="1" t="inlineStr">
        <is>
          <t>FY26REV_Emulco</t>
        </is>
      </c>
      <c r="J55" s="1" t="inlineStr">
        <is>
          <t>Downer</t>
        </is>
      </c>
      <c r="K55" s="1" t="inlineStr">
        <is>
          <t>Revenue</t>
        </is>
      </c>
      <c r="L55" s="2" t="inlineStr">
        <is>
          <t>2026-05-01</t>
        </is>
      </c>
      <c r="M55" s="2" t="inlineStr">
        <is>
          <t>2026-05-31</t>
        </is>
      </c>
      <c r="N55" s="1" t="inlineStr">
        <is>
          <t>Actual</t>
        </is>
      </c>
      <c r="O55" s="1" t="inlineStr">
        <is>
          <t>Standard</t>
        </is>
      </c>
      <c r="Q55" s="1" t="inlineStr">
        <is>
          <t>Insert</t>
        </is>
      </c>
      <c r="R55" s="1" t="inlineStr">
        <is>
          <t>Emulco</t>
        </is>
      </c>
      <c r="S55" s="1" t="inlineStr">
        <is>
          <t>Emulco</t>
        </is>
      </c>
      <c r="T55" s="3" t="n">
        <v>-0.6</v>
      </c>
    </row>
    <row r="56">
      <c r="A56" s="1" t="n">
        <v>37395</v>
      </c>
      <c r="B56" s="1" t="inlineStr">
        <is>
          <t>Downer</t>
        </is>
      </c>
      <c r="C56" s="1" t="inlineStr">
        <is>
          <t>REV_Isaac Asphalt</t>
        </is>
      </c>
      <c r="D56" s="1" t="inlineStr">
        <is>
          <t>ISAAT</t>
        </is>
      </c>
      <c r="E56" s="1" t="n">
        <v>7868</v>
      </c>
      <c r="F56" s="1" t="inlineStr">
        <is>
          <t>Revenue - AUD Million</t>
        </is>
      </c>
      <c r="H56" s="1" t="inlineStr">
        <is>
          <t>FY26REV_Isaac Asphalt</t>
        </is>
      </c>
      <c r="I56" s="1" t="inlineStr">
        <is>
          <t>FY26REV_Isaac Asphalt</t>
        </is>
      </c>
      <c r="J56" s="1" t="inlineStr">
        <is>
          <t>Downer</t>
        </is>
      </c>
      <c r="K56" s="1" t="inlineStr">
        <is>
          <t>Revenue</t>
        </is>
      </c>
      <c r="L56" s="2" t="inlineStr">
        <is>
          <t>2026-05-01</t>
        </is>
      </c>
      <c r="M56" s="2" t="inlineStr">
        <is>
          <t>2026-05-31</t>
        </is>
      </c>
      <c r="N56" s="1" t="inlineStr">
        <is>
          <t>Actual</t>
        </is>
      </c>
      <c r="O56" s="1" t="inlineStr">
        <is>
          <t>Standard</t>
        </is>
      </c>
      <c r="Q56" s="1" t="inlineStr">
        <is>
          <t>Insert</t>
        </is>
      </c>
      <c r="R56" s="1" t="inlineStr">
        <is>
          <t>Isaac Asphalt</t>
        </is>
      </c>
      <c r="S56" s="1" t="inlineStr">
        <is>
          <t>Isaac Asphalt</t>
        </is>
      </c>
      <c r="T56" s="3" t="n">
        <v>-0.6</v>
      </c>
    </row>
    <row r="57">
      <c r="A57" s="1" t="n">
        <v>37395</v>
      </c>
      <c r="B57" s="1" t="inlineStr">
        <is>
          <t>Downer</t>
        </is>
      </c>
      <c r="C57" s="1" t="inlineStr">
        <is>
          <t>REV_Allied Asphalt</t>
        </is>
      </c>
      <c r="D57" s="1" t="inlineStr">
        <is>
          <t>AASPHT</t>
        </is>
      </c>
      <c r="E57" s="1" t="n">
        <v>7868</v>
      </c>
      <c r="F57" s="1" t="inlineStr">
        <is>
          <t>Revenue - AUD Million</t>
        </is>
      </c>
      <c r="H57" s="1" t="inlineStr">
        <is>
          <t>FY26REV_Allied Asphalt</t>
        </is>
      </c>
      <c r="I57" s="1" t="inlineStr">
        <is>
          <t>FY26REV_Allied Asphalt</t>
        </is>
      </c>
      <c r="J57" s="1" t="inlineStr">
        <is>
          <t>Downer</t>
        </is>
      </c>
      <c r="K57" s="1" t="inlineStr">
        <is>
          <t>Revenue</t>
        </is>
      </c>
      <c r="L57" s="2" t="inlineStr">
        <is>
          <t>2026-06-01</t>
        </is>
      </c>
      <c r="M57" s="2" t="inlineStr">
        <is>
          <t>2026-06-30</t>
        </is>
      </c>
      <c r="N57" s="1" t="inlineStr">
        <is>
          <t>Actual</t>
        </is>
      </c>
      <c r="O57" s="1" t="inlineStr">
        <is>
          <t>Standard</t>
        </is>
      </c>
      <c r="Q57" s="1" t="inlineStr">
        <is>
          <t>Insert</t>
        </is>
      </c>
      <c r="R57" s="1" t="inlineStr">
        <is>
          <t>Allied Asphalt</t>
        </is>
      </c>
      <c r="S57" s="1" t="inlineStr">
        <is>
          <t>Allied Asphalt</t>
        </is>
      </c>
      <c r="T57" s="3" t="n">
        <v>-1.8</v>
      </c>
    </row>
    <row r="58">
      <c r="A58" s="1" t="n">
        <v>37395</v>
      </c>
      <c r="B58" s="1" t="inlineStr">
        <is>
          <t>Downer</t>
        </is>
      </c>
      <c r="C58" s="1" t="inlineStr">
        <is>
          <t>REV_BIA</t>
        </is>
      </c>
      <c r="D58" s="1" t="inlineStr">
        <is>
          <t>RSV175-1</t>
        </is>
      </c>
      <c r="E58" s="1" t="n">
        <v>7868</v>
      </c>
      <c r="F58" s="1" t="inlineStr">
        <is>
          <t>Revenue - AUD Million</t>
        </is>
      </c>
      <c r="H58" s="1" t="inlineStr">
        <is>
          <t>FY26REV_BIA</t>
        </is>
      </c>
      <c r="I58" s="1" t="inlineStr">
        <is>
          <t>FY26REV_BIA</t>
        </is>
      </c>
      <c r="J58" s="1" t="inlineStr">
        <is>
          <t>Downer</t>
        </is>
      </c>
      <c r="K58" s="1" t="inlineStr">
        <is>
          <t>Revenue</t>
        </is>
      </c>
      <c r="L58" s="2" t="inlineStr">
        <is>
          <t>2026-06-01</t>
        </is>
      </c>
      <c r="M58" s="2" t="inlineStr">
        <is>
          <t>2026-06-30</t>
        </is>
      </c>
      <c r="N58" s="1" t="inlineStr">
        <is>
          <t>Actual</t>
        </is>
      </c>
      <c r="O58" s="1" t="inlineStr">
        <is>
          <t>Standard</t>
        </is>
      </c>
      <c r="Q58" s="1" t="inlineStr">
        <is>
          <t>Insert</t>
        </is>
      </c>
      <c r="R58" s="1" t="inlineStr">
        <is>
          <t>BIA</t>
        </is>
      </c>
      <c r="S58" s="1" t="inlineStr">
        <is>
          <t>BIA</t>
        </is>
      </c>
      <c r="T58" s="3" t="n">
        <v>-7.4</v>
      </c>
    </row>
    <row r="59">
      <c r="A59" s="1" t="n">
        <v>37395</v>
      </c>
      <c r="B59" s="1" t="inlineStr">
        <is>
          <t>Downer</t>
        </is>
      </c>
      <c r="C59" s="1" t="inlineStr">
        <is>
          <t>REV_EDI Rail- Bombardier Transportation</t>
        </is>
      </c>
      <c r="D59" s="1" t="inlineStr">
        <is>
          <t>ERBT</t>
        </is>
      </c>
      <c r="E59" s="1" t="n">
        <v>7868</v>
      </c>
      <c r="F59" s="1" t="inlineStr">
        <is>
          <t>Revenue - AUD Million</t>
        </is>
      </c>
      <c r="H59" s="1" t="inlineStr">
        <is>
          <t>FY26REV_EDI Rail- Bombardier Transportation</t>
        </is>
      </c>
      <c r="I59" s="1" t="inlineStr">
        <is>
          <t>FY26REV_EDI Rail- Bombardier Transportation</t>
        </is>
      </c>
      <c r="J59" s="1" t="inlineStr">
        <is>
          <t>Downer</t>
        </is>
      </c>
      <c r="K59" s="1" t="inlineStr">
        <is>
          <t>Revenue</t>
        </is>
      </c>
      <c r="L59" s="2" t="inlineStr">
        <is>
          <t>2026-06-01</t>
        </is>
      </c>
      <c r="M59" s="2" t="inlineStr">
        <is>
          <t>2026-06-30</t>
        </is>
      </c>
      <c r="N59" s="1" t="inlineStr">
        <is>
          <t>Actual</t>
        </is>
      </c>
      <c r="O59" s="1" t="inlineStr">
        <is>
          <t>Standard</t>
        </is>
      </c>
      <c r="Q59" s="1" t="inlineStr">
        <is>
          <t>Insert</t>
        </is>
      </c>
      <c r="R59" s="1" t="inlineStr">
        <is>
          <t>EDI Rail- Bombardier Transportation</t>
        </is>
      </c>
      <c r="S59" s="1" t="inlineStr">
        <is>
          <t>EDI Rail- Bombardier Transportation</t>
        </is>
      </c>
      <c r="T59" s="3" t="n">
        <v>-3.4</v>
      </c>
    </row>
    <row r="60">
      <c r="A60" s="1" t="n">
        <v>37395</v>
      </c>
      <c r="B60" s="1" t="inlineStr">
        <is>
          <t>Downer</t>
        </is>
      </c>
      <c r="C60" s="1" t="inlineStr">
        <is>
          <t>REV_Emulco</t>
        </is>
      </c>
      <c r="D60" s="1" t="inlineStr">
        <is>
          <t>EMU</t>
        </is>
      </c>
      <c r="E60" s="1" t="n">
        <v>7868</v>
      </c>
      <c r="F60" s="1" t="inlineStr">
        <is>
          <t>Revenue - AUD Million</t>
        </is>
      </c>
      <c r="H60" s="1" t="inlineStr">
        <is>
          <t>FY26REV_Emulco</t>
        </is>
      </c>
      <c r="I60" s="1" t="inlineStr">
        <is>
          <t>FY26REV_Emulco</t>
        </is>
      </c>
      <c r="J60" s="1" t="inlineStr">
        <is>
          <t>Downer</t>
        </is>
      </c>
      <c r="K60" s="1" t="inlineStr">
        <is>
          <t>Revenue</t>
        </is>
      </c>
      <c r="L60" s="2" t="inlineStr">
        <is>
          <t>2026-06-01</t>
        </is>
      </c>
      <c r="M60" s="2" t="inlineStr">
        <is>
          <t>2026-06-30</t>
        </is>
      </c>
      <c r="N60" s="1" t="inlineStr">
        <is>
          <t>Actual</t>
        </is>
      </c>
      <c r="O60" s="1" t="inlineStr">
        <is>
          <t>Standard</t>
        </is>
      </c>
      <c r="Q60" s="1" t="inlineStr">
        <is>
          <t>Insert</t>
        </is>
      </c>
      <c r="R60" s="1" t="inlineStr">
        <is>
          <t>Emulco</t>
        </is>
      </c>
      <c r="S60" s="1" t="inlineStr">
        <is>
          <t>Emulco</t>
        </is>
      </c>
      <c r="T60" s="3" t="n">
        <v>-0.2</v>
      </c>
    </row>
    <row r="61">
      <c r="A61" s="1" t="n">
        <v>37395</v>
      </c>
      <c r="B61" s="1" t="inlineStr">
        <is>
          <t>Downer</t>
        </is>
      </c>
      <c r="C61" s="1" t="inlineStr">
        <is>
          <t>REV_Isaac Asphalt</t>
        </is>
      </c>
      <c r="D61" s="1" t="inlineStr">
        <is>
          <t>ISAAT</t>
        </is>
      </c>
      <c r="E61" s="1" t="n">
        <v>7868</v>
      </c>
      <c r="F61" s="1" t="inlineStr">
        <is>
          <t>Revenue - AUD Million</t>
        </is>
      </c>
      <c r="H61" s="1" t="inlineStr">
        <is>
          <t>FY26REV_Isaac Asphalt</t>
        </is>
      </c>
      <c r="I61" s="1" t="inlineStr">
        <is>
          <t>FY26REV_Isaac Asphalt</t>
        </is>
      </c>
      <c r="J61" s="1" t="inlineStr">
        <is>
          <t>Downer</t>
        </is>
      </c>
      <c r="K61" s="1" t="inlineStr">
        <is>
          <t>Revenue</t>
        </is>
      </c>
      <c r="L61" s="2" t="inlineStr">
        <is>
          <t>2026-06-01</t>
        </is>
      </c>
      <c r="M61" s="2" t="inlineStr">
        <is>
          <t>2026-06-30</t>
        </is>
      </c>
      <c r="N61" s="1" t="inlineStr">
        <is>
          <t>Actual</t>
        </is>
      </c>
      <c r="O61" s="1" t="inlineStr">
        <is>
          <t>Standard</t>
        </is>
      </c>
      <c r="Q61" s="1" t="inlineStr">
        <is>
          <t>Insert</t>
        </is>
      </c>
      <c r="R61" s="1" t="inlineStr">
        <is>
          <t>Isaac Asphalt</t>
        </is>
      </c>
      <c r="S61" s="1" t="inlineStr">
        <is>
          <t>Isaac Asphalt</t>
        </is>
      </c>
      <c r="T61" s="3"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19"/>
  <sheetViews>
    <sheetView workbookViewId="0">
      <selection activeCell="A1" sqref="A1"/>
    </sheetView>
  </sheetViews>
  <sheetFormatPr baseColWidth="8" defaultRowHeight="15"/>
  <cols>
    <col width="38" customWidth="1" min="1" max="1"/>
    <col width="9.5" customWidth="1" min="2" max="2"/>
    <col width="9.5" customWidth="1" min="3" max="3"/>
    <col width="9.5" customWidth="1" min="4" max="4"/>
    <col width="9.5" customWidth="1" min="5" max="5"/>
    <col width="9.5" customWidth="1" min="6" max="6"/>
    <col width="9.5" customWidth="1" min="7" max="7"/>
    <col width="9.5" customWidth="1" min="8" max="8"/>
    <col width="9.5" customWidth="1" min="9" max="9"/>
    <col width="9.5" customWidth="1" min="10" max="10"/>
    <col width="9.5" customWidth="1" min="11" max="11"/>
    <col width="9.5" customWidth="1" min="12" max="12"/>
    <col width="9.5" customWidth="1" min="13" max="13"/>
    <col width="9.5" customWidth="1" min="14" max="14"/>
    <col width="13" customWidth="1" min="15" max="15"/>
    <col width="30" customWidth="1" min="16" max="16"/>
  </cols>
  <sheetData>
    <row r="1">
      <c r="A1" s="4" t="inlineStr">
        <is>
          <t>FY26 JV Revenue — Joint Ventures &amp; Associates (Jul 25 – Jun 26)</t>
        </is>
      </c>
    </row>
    <row r="2">
      <c r="A2" s="5" t="inlineStr">
        <is>
          <t>Source: "Actual Revenue Jun 26 -unlinked (as at 2026.07.23).xlsx", sheet "FY26 JV Rev", as reported (positive). The Account_Setup_and_Data_Load sheet carries these same amounts NEGATED, to exclude JV revenue from all revenue figures.</t>
        </is>
      </c>
    </row>
    <row r="4">
      <c r="A4" s="6" t="inlineStr">
        <is>
          <t>Joint Venture and Associates</t>
        </is>
      </c>
      <c r="B4" s="6" t="inlineStr">
        <is>
          <t>Jul 25</t>
        </is>
      </c>
      <c r="C4" s="6" t="inlineStr">
        <is>
          <t>Aug 25</t>
        </is>
      </c>
      <c r="D4" s="6" t="inlineStr">
        <is>
          <t>Sep 25</t>
        </is>
      </c>
      <c r="E4" s="6" t="inlineStr">
        <is>
          <t>Oct 25</t>
        </is>
      </c>
      <c r="F4" s="6" t="inlineStr">
        <is>
          <t>Nov 25</t>
        </is>
      </c>
      <c r="G4" s="6" t="inlineStr">
        <is>
          <t>Dec 25</t>
        </is>
      </c>
      <c r="H4" s="6" t="inlineStr">
        <is>
          <t>Jan 26</t>
        </is>
      </c>
      <c r="I4" s="6" t="inlineStr">
        <is>
          <t>Feb 26</t>
        </is>
      </c>
      <c r="J4" s="6" t="inlineStr">
        <is>
          <t>Mar 26</t>
        </is>
      </c>
      <c r="K4" s="6" t="inlineStr">
        <is>
          <t>Apr 26</t>
        </is>
      </c>
      <c r="L4" s="6" t="inlineStr">
        <is>
          <t>May 26</t>
        </is>
      </c>
      <c r="M4" s="6" t="inlineStr">
        <is>
          <t>Jun 26</t>
        </is>
      </c>
      <c r="N4" s="6" t="inlineStr">
        <is>
          <t>FY26 Total</t>
        </is>
      </c>
      <c r="O4" s="6" t="inlineStr">
        <is>
          <t>Location Ref</t>
        </is>
      </c>
      <c r="P4" s="6" t="inlineStr">
        <is>
          <t>Already in FY26 revenue upload?</t>
        </is>
      </c>
    </row>
    <row r="5">
      <c r="A5" s="7" t="inlineStr">
        <is>
          <t>Allied Asphalt</t>
        </is>
      </c>
      <c r="B5" s="8" t="n">
        <v>0</v>
      </c>
      <c r="C5" s="8" t="n">
        <v>0.9</v>
      </c>
      <c r="D5" s="8" t="n">
        <v>1.2</v>
      </c>
      <c r="E5" s="8" t="n">
        <v>0.6</v>
      </c>
      <c r="F5" s="8" t="n">
        <v>0.8</v>
      </c>
      <c r="G5" s="8" t="n">
        <v>2.4</v>
      </c>
      <c r="H5" s="8" t="n">
        <v>-0.2</v>
      </c>
      <c r="I5" s="8" t="n">
        <v>0.8</v>
      </c>
      <c r="J5" s="8" t="n">
        <v>1</v>
      </c>
      <c r="K5" s="8" t="n">
        <v>1.5</v>
      </c>
      <c r="L5" s="8" t="n">
        <v>0.8</v>
      </c>
      <c r="M5" s="8" t="n">
        <v>1.8</v>
      </c>
      <c r="N5" s="8">
        <f>SUM(B5:M5)</f>
        <v/>
      </c>
      <c r="O5" s="7" t="inlineStr">
        <is>
          <t>AASPHT</t>
        </is>
      </c>
      <c r="P5" s="9" t="inlineStr">
        <is>
          <t>No — see note 4</t>
        </is>
      </c>
    </row>
    <row r="6">
      <c r="A6" s="7" t="inlineStr">
        <is>
          <t>BIA</t>
        </is>
      </c>
      <c r="B6" s="8" t="n">
        <v>4</v>
      </c>
      <c r="C6" s="8" t="n">
        <v>2.1</v>
      </c>
      <c r="D6" s="8" t="n">
        <v>5.5</v>
      </c>
      <c r="E6" s="8" t="n">
        <v>5.2</v>
      </c>
      <c r="F6" s="8" t="n">
        <v>5.7</v>
      </c>
      <c r="G6" s="8" t="n">
        <v>4.8</v>
      </c>
      <c r="H6" s="8" t="n">
        <v>5</v>
      </c>
      <c r="I6" s="8" t="n">
        <v>5.5</v>
      </c>
      <c r="J6" s="8" t="n">
        <v>5.8</v>
      </c>
      <c r="K6" s="8" t="n">
        <v>10.2</v>
      </c>
      <c r="L6" s="8" t="n">
        <v>8.699999999999999</v>
      </c>
      <c r="M6" s="8" t="n">
        <v>7.4</v>
      </c>
      <c r="N6" s="8">
        <f>SUM(B6:M6)</f>
        <v/>
      </c>
      <c r="O6" s="7" t="inlineStr">
        <is>
          <t>RSV175-1</t>
        </is>
      </c>
      <c r="P6" s="7" t="inlineStr">
        <is>
          <t>Yes</t>
        </is>
      </c>
    </row>
    <row r="7">
      <c r="A7" s="7" t="inlineStr">
        <is>
          <t>EDI Rail- Bombardier Transportation</t>
        </is>
      </c>
      <c r="B7" s="8" t="n">
        <v>2.8</v>
      </c>
      <c r="C7" s="8" t="n">
        <v>3.5</v>
      </c>
      <c r="D7" s="8" t="n">
        <v>4.7</v>
      </c>
      <c r="E7" s="8" t="n">
        <v>2.8</v>
      </c>
      <c r="F7" s="8" t="n">
        <v>2.6</v>
      </c>
      <c r="G7" s="8" t="n">
        <v>2.9</v>
      </c>
      <c r="H7" s="8" t="n">
        <v>3.1</v>
      </c>
      <c r="I7" s="8" t="n">
        <v>2.1</v>
      </c>
      <c r="J7" s="8" t="n">
        <v>2.1</v>
      </c>
      <c r="K7" s="8" t="n">
        <v>2.9</v>
      </c>
      <c r="L7" s="8" t="n">
        <v>2.7</v>
      </c>
      <c r="M7" s="8" t="n">
        <v>3.4</v>
      </c>
      <c r="N7" s="8">
        <f>SUM(B7:M7)</f>
        <v/>
      </c>
      <c r="O7" s="7" t="inlineStr">
        <is>
          <t>ERBT</t>
        </is>
      </c>
      <c r="P7" s="9" t="inlineStr">
        <is>
          <t>No — see note 4</t>
        </is>
      </c>
    </row>
    <row r="8">
      <c r="A8" s="7" t="inlineStr">
        <is>
          <t>Emulco</t>
        </is>
      </c>
      <c r="B8" s="8" t="n">
        <v>0</v>
      </c>
      <c r="C8" s="8" t="n">
        <v>0.1</v>
      </c>
      <c r="D8" s="8" t="n">
        <v>0.1</v>
      </c>
      <c r="E8" s="8" t="n">
        <v>0.2</v>
      </c>
      <c r="F8" s="8" t="n">
        <v>0.5</v>
      </c>
      <c r="G8" s="8" t="n">
        <v>0.8</v>
      </c>
      <c r="H8" s="8" t="n">
        <v>0</v>
      </c>
      <c r="I8" s="8" t="n">
        <v>0.9</v>
      </c>
      <c r="J8" s="8" t="n">
        <v>0</v>
      </c>
      <c r="K8" s="8" t="n">
        <v>0.8</v>
      </c>
      <c r="L8" s="8" t="n">
        <v>0.6</v>
      </c>
      <c r="M8" s="8" t="n">
        <v>0.2</v>
      </c>
      <c r="N8" s="8">
        <f>SUM(B8:M8)</f>
        <v/>
      </c>
      <c r="O8" s="7" t="inlineStr">
        <is>
          <t>EMU</t>
        </is>
      </c>
      <c r="P8" s="9" t="inlineStr">
        <is>
          <t>No — see note 4</t>
        </is>
      </c>
    </row>
    <row r="9">
      <c r="A9" s="7" t="inlineStr">
        <is>
          <t>Isaac Asphalt</t>
        </is>
      </c>
      <c r="B9" s="8" t="n">
        <v>0</v>
      </c>
      <c r="C9" s="8" t="n">
        <v>0.5</v>
      </c>
      <c r="D9" s="8" t="n">
        <v>0.4</v>
      </c>
      <c r="E9" s="8" t="n">
        <v>0.6</v>
      </c>
      <c r="F9" s="8" t="n">
        <v>0.8</v>
      </c>
      <c r="G9" s="8" t="n">
        <v>1.6</v>
      </c>
      <c r="H9" s="8" t="n">
        <v>0</v>
      </c>
      <c r="I9" s="8" t="n">
        <v>0.4</v>
      </c>
      <c r="J9" s="8" t="n">
        <v>0.5</v>
      </c>
      <c r="K9" s="8" t="n">
        <v>0.7</v>
      </c>
      <c r="L9" s="8" t="n">
        <v>0.6</v>
      </c>
      <c r="M9" s="8" t="n">
        <v>1</v>
      </c>
      <c r="N9" s="8">
        <f>SUM(B9:M9)</f>
        <v/>
      </c>
      <c r="O9" s="7" t="inlineStr">
        <is>
          <t>ISAAT</t>
        </is>
      </c>
      <c r="P9" s="9" t="inlineStr">
        <is>
          <t>No — see note 4</t>
        </is>
      </c>
    </row>
    <row r="10">
      <c r="A10" s="6" t="inlineStr">
        <is>
          <t>Group</t>
        </is>
      </c>
      <c r="B10" s="10">
        <f>SUM(B5:B9)</f>
        <v/>
      </c>
      <c r="C10" s="10">
        <f>SUM(C5:C9)</f>
        <v/>
      </c>
      <c r="D10" s="10">
        <f>SUM(D5:D9)</f>
        <v/>
      </c>
      <c r="E10" s="10">
        <f>SUM(E5:E9)</f>
        <v/>
      </c>
      <c r="F10" s="10">
        <f>SUM(F5:F9)</f>
        <v/>
      </c>
      <c r="G10" s="10">
        <f>SUM(G5:G9)</f>
        <v/>
      </c>
      <c r="H10" s="10">
        <f>SUM(H5:H9)</f>
        <v/>
      </c>
      <c r="I10" s="10">
        <f>SUM(I5:I9)</f>
        <v/>
      </c>
      <c r="J10" s="10">
        <f>SUM(J5:J9)</f>
        <v/>
      </c>
      <c r="K10" s="10">
        <f>SUM(K5:K9)</f>
        <v/>
      </c>
      <c r="L10" s="10">
        <f>SUM(L5:L9)</f>
        <v/>
      </c>
      <c r="M10" s="10">
        <f>SUM(M5:M9)</f>
        <v/>
      </c>
      <c r="N10" s="10">
        <f>SUM(N5:N9)</f>
        <v/>
      </c>
      <c r="O10" s="6" t="n"/>
      <c r="P10" s="6" t="n"/>
    </row>
    <row r="12">
      <c r="A12" s="11" t="inlineStr">
        <is>
          <t>Notes</t>
        </is>
      </c>
    </row>
    <row r="13">
      <c r="A13" s="12" t="inlineStr">
        <is>
          <t>1. Purpose: JV and associate revenue is to be excluded from all revenue figures. This workbook uploads the JV revenue as negative values against JV-specific locations, so revenue reporting nets to revenue excluding JV revenue.</t>
        </is>
      </c>
    </row>
    <row r="14">
      <c r="A14" s="12" t="inlineStr">
        <is>
          <t>2. Locations: per "Extract_for_Locations 1 Oct 25" in the FY26 setup workbook, all five JV revenue locations currently exist in Envizi as "_CLOSED_REV_&lt;name&gt;". They must be reopened / renamed to "REV_&lt;name&gt;" before this file is loaded, otherwise the load will create new locations. All five sit under Group Level 3 classification with Report_Percent 100, so they roll up to group.</t>
        </is>
      </c>
    </row>
    <row r="15">
      <c r="A15" s="12" t="inlineStr">
        <is>
          <t>3. Sign convention: the monthly figures on this sheet are JV revenue as reported (positive). The upload sheet carries each one negated. Values of zero are loaded as 0.</t>
        </is>
      </c>
    </row>
    <row r="16">
      <c r="A16" s="12" t="inlineStr">
        <is>
          <t>4. Coverage — CONFIRMED 4 Aug 26: all five JVs are to be uploaded as negatives. For reference: of the five, only BIA appears as a revenue line in the loaded FY26 figures (Account_Setup_and_Data_Load_-_PM&amp;C_REVJUL25toJUN26_Setup.xlsx, and the "FY26 Rev" detail); Allied Asphalt, EDI Rail-Bombardier Transportation, Emulco and Isaac Asphalt do not appear in those figures, so their negatives reduce reported revenue by amounts not previously included (FY26: BIA 69.9 of the 128.4 total; the other four total 58.5: Allied Asphalt 11.6, EDI Rail-Bombardier 35.6, Emulco 4.2, Isaac Asphalt 7.1).</t>
        </is>
      </c>
    </row>
    <row r="17">
      <c r="A17" s="12" t="inlineStr">
        <is>
          <t>4a. BIA rounding: BIA totals 70.1 in the loaded FY26 revenue but 69.9 on the "FY26 JV Rev" source sheet (Aug 2.2 vs 2.1, Nov 5.8 vs 5.7). Excluding at the source figures therefore leaves a 0.2 residual for the year. This file uses the source (JV Rev) figures.</t>
        </is>
      </c>
    </row>
    <row r="18">
      <c r="A18" s="12" t="inlineStr">
        <is>
          <t>5. Keolis Downer JV — CONFIRMED 4 Aug 26: not excluded. "Rail Services Victoria Pty Ltd" IS in the loaded FY26 revenue figures under REV_Keolis Downer JV (FY26 total 27.3) but is not on the "FY26 JV Rev" source sheet; the source sheet is the agreed definition of JV revenue to exclude, so it stays in revenue.</t>
        </is>
      </c>
    </row>
    <row r="19">
      <c r="A19" s="12" t="inlineStr">
        <is>
          <t>6. BIA Location Ref: the extract shows Location Ref "RSV175-1" for _CLOSED_REV_BIA, which looks like a Rail Services Victoria code. Copied faithfully from the extract; worth confirming with the Envizi admin when reopening the locations.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10" customWidth="1" min="1" max="1"/>
    <col width="20" customWidth="1" min="2" max="2"/>
    <col width="20" customWidth="1" min="3" max="3"/>
    <col width="12" customWidth="1" min="4" max="4"/>
    <col width="18" customWidth="1" min="5" max="5"/>
    <col width="12" customWidth="1" min="6" max="6"/>
  </cols>
  <sheetData>
    <row r="1">
      <c r="A1" s="4" t="inlineStr">
        <is>
          <t>FY26 JV Revenue Exclusion — Monthly Totals: JV revenue (negated) vs Account Setup</t>
        </is>
      </c>
    </row>
    <row r="2">
      <c r="A2" s="5" t="inlineStr">
        <is>
          <t>Each Account Setup monthly total must equal minus the JV revenue for that month.</t>
        </is>
      </c>
    </row>
    <row r="3">
      <c r="A3" s="6" t="inlineStr">
        <is>
          <t>Month</t>
        </is>
      </c>
      <c r="B3" s="6" t="inlineStr">
        <is>
          <t>JV Revenue (negated)</t>
        </is>
      </c>
      <c r="C3" s="6" t="inlineStr">
        <is>
          <t>Account Setup Total</t>
        </is>
      </c>
      <c r="D3" s="6" t="inlineStr">
        <is>
          <t>Difference</t>
        </is>
      </c>
      <c r="E3" s="6" t="inlineStr">
        <is>
          <t>Row Count (Setup)</t>
        </is>
      </c>
      <c r="F3" s="6" t="inlineStr">
        <is>
          <t>Status</t>
        </is>
      </c>
    </row>
    <row r="4">
      <c r="A4" s="7" t="inlineStr">
        <is>
          <t>Jul 25</t>
        </is>
      </c>
      <c r="B4" s="8">
        <f>-SUM('FY26 JV Revenue'!B5:B9)</f>
        <v/>
      </c>
      <c r="C4" s="8">
        <f>SUMIFS(Account_Setup_and_Data_Load!$T$2:$T$61,Account_Setup_and_Data_Load!$L$2:$L$61,"2025-07-01")</f>
        <v/>
      </c>
      <c r="D4" s="13">
        <f>ROUND(C4-B4,4)</f>
        <v/>
      </c>
      <c r="E4" s="7">
        <f>COUNTIF(Account_Setup_and_Data_Load!$L$2:$L$61,"2025-07-01")</f>
        <v/>
      </c>
      <c r="F4" s="7">
        <f>IF(ABS(D4)&lt;=0.001,"OK","MISMATCH")</f>
        <v/>
      </c>
    </row>
    <row r="5">
      <c r="A5" s="7" t="inlineStr">
        <is>
          <t>Aug 25</t>
        </is>
      </c>
      <c r="B5" s="8">
        <f>-SUM('FY26 JV Revenue'!C5:C9)</f>
        <v/>
      </c>
      <c r="C5" s="8">
        <f>SUMIFS(Account_Setup_and_Data_Load!$T$2:$T$61,Account_Setup_and_Data_Load!$L$2:$L$61,"2025-08-01")</f>
        <v/>
      </c>
      <c r="D5" s="13">
        <f>ROUND(C5-B5,4)</f>
        <v/>
      </c>
      <c r="E5" s="7">
        <f>COUNTIF(Account_Setup_and_Data_Load!$L$2:$L$61,"2025-08-01")</f>
        <v/>
      </c>
      <c r="F5" s="7">
        <f>IF(ABS(D5)&lt;=0.001,"OK","MISMATCH")</f>
        <v/>
      </c>
    </row>
    <row r="6">
      <c r="A6" s="7" t="inlineStr">
        <is>
          <t>Sep 25</t>
        </is>
      </c>
      <c r="B6" s="8">
        <f>-SUM('FY26 JV Revenue'!D5:D9)</f>
        <v/>
      </c>
      <c r="C6" s="8">
        <f>SUMIFS(Account_Setup_and_Data_Load!$T$2:$T$61,Account_Setup_and_Data_Load!$L$2:$L$61,"2025-09-01")</f>
        <v/>
      </c>
      <c r="D6" s="13">
        <f>ROUND(C6-B6,4)</f>
        <v/>
      </c>
      <c r="E6" s="7">
        <f>COUNTIF(Account_Setup_and_Data_Load!$L$2:$L$61,"2025-09-01")</f>
        <v/>
      </c>
      <c r="F6" s="7">
        <f>IF(ABS(D6)&lt;=0.001,"OK","MISMATCH")</f>
        <v/>
      </c>
    </row>
    <row r="7">
      <c r="A7" s="7" t="inlineStr">
        <is>
          <t>Oct 25</t>
        </is>
      </c>
      <c r="B7" s="8">
        <f>-SUM('FY26 JV Revenue'!E5:E9)</f>
        <v/>
      </c>
      <c r="C7" s="8">
        <f>SUMIFS(Account_Setup_and_Data_Load!$T$2:$T$61,Account_Setup_and_Data_Load!$L$2:$L$61,"2025-10-01")</f>
        <v/>
      </c>
      <c r="D7" s="13">
        <f>ROUND(C7-B7,4)</f>
        <v/>
      </c>
      <c r="E7" s="7">
        <f>COUNTIF(Account_Setup_and_Data_Load!$L$2:$L$61,"2025-10-01")</f>
        <v/>
      </c>
      <c r="F7" s="7">
        <f>IF(ABS(D7)&lt;=0.001,"OK","MISMATCH")</f>
        <v/>
      </c>
    </row>
    <row r="8">
      <c r="A8" s="7" t="inlineStr">
        <is>
          <t>Nov 25</t>
        </is>
      </c>
      <c r="B8" s="8">
        <f>-SUM('FY26 JV Revenue'!F5:F9)</f>
        <v/>
      </c>
      <c r="C8" s="8">
        <f>SUMIFS(Account_Setup_and_Data_Load!$T$2:$T$61,Account_Setup_and_Data_Load!$L$2:$L$61,"2025-11-01")</f>
        <v/>
      </c>
      <c r="D8" s="13">
        <f>ROUND(C8-B8,4)</f>
        <v/>
      </c>
      <c r="E8" s="7">
        <f>COUNTIF(Account_Setup_and_Data_Load!$L$2:$L$61,"2025-11-01")</f>
        <v/>
      </c>
      <c r="F8" s="7">
        <f>IF(ABS(D8)&lt;=0.001,"OK","MISMATCH")</f>
        <v/>
      </c>
    </row>
    <row r="9">
      <c r="A9" s="7" t="inlineStr">
        <is>
          <t>Dec 25</t>
        </is>
      </c>
      <c r="B9" s="8">
        <f>-SUM('FY26 JV Revenue'!G5:G9)</f>
        <v/>
      </c>
      <c r="C9" s="8">
        <f>SUMIFS(Account_Setup_and_Data_Load!$T$2:$T$61,Account_Setup_and_Data_Load!$L$2:$L$61,"2025-12-01")</f>
        <v/>
      </c>
      <c r="D9" s="13">
        <f>ROUND(C9-B9,4)</f>
        <v/>
      </c>
      <c r="E9" s="7">
        <f>COUNTIF(Account_Setup_and_Data_Load!$L$2:$L$61,"2025-12-01")</f>
        <v/>
      </c>
      <c r="F9" s="7">
        <f>IF(ABS(D9)&lt;=0.001,"OK","MISMATCH")</f>
        <v/>
      </c>
    </row>
    <row r="10">
      <c r="A10" s="7" t="inlineStr">
        <is>
          <t>Jan 26</t>
        </is>
      </c>
      <c r="B10" s="8">
        <f>-SUM('FY26 JV Revenue'!H5:H9)</f>
        <v/>
      </c>
      <c r="C10" s="8">
        <f>SUMIFS(Account_Setup_and_Data_Load!$T$2:$T$61,Account_Setup_and_Data_Load!$L$2:$L$61,"2026-01-01")</f>
        <v/>
      </c>
      <c r="D10" s="13">
        <f>ROUND(C10-B10,4)</f>
        <v/>
      </c>
      <c r="E10" s="7">
        <f>COUNTIF(Account_Setup_and_Data_Load!$L$2:$L$61,"2026-01-01")</f>
        <v/>
      </c>
      <c r="F10" s="7">
        <f>IF(ABS(D10)&lt;=0.001,"OK","MISMATCH")</f>
        <v/>
      </c>
    </row>
    <row r="11">
      <c r="A11" s="7" t="inlineStr">
        <is>
          <t>Feb 26</t>
        </is>
      </c>
      <c r="B11" s="8">
        <f>-SUM('FY26 JV Revenue'!I5:I9)</f>
        <v/>
      </c>
      <c r="C11" s="8">
        <f>SUMIFS(Account_Setup_and_Data_Load!$T$2:$T$61,Account_Setup_and_Data_Load!$L$2:$L$61,"2026-02-01")</f>
        <v/>
      </c>
      <c r="D11" s="13">
        <f>ROUND(C11-B11,4)</f>
        <v/>
      </c>
      <c r="E11" s="7">
        <f>COUNTIF(Account_Setup_and_Data_Load!$L$2:$L$61,"2026-02-01")</f>
        <v/>
      </c>
      <c r="F11" s="7">
        <f>IF(ABS(D11)&lt;=0.001,"OK","MISMATCH")</f>
        <v/>
      </c>
    </row>
    <row r="12">
      <c r="A12" s="7" t="inlineStr">
        <is>
          <t>Mar 26</t>
        </is>
      </c>
      <c r="B12" s="8">
        <f>-SUM('FY26 JV Revenue'!J5:J9)</f>
        <v/>
      </c>
      <c r="C12" s="8">
        <f>SUMIFS(Account_Setup_and_Data_Load!$T$2:$T$61,Account_Setup_and_Data_Load!$L$2:$L$61,"2026-03-01")</f>
        <v/>
      </c>
      <c r="D12" s="13">
        <f>ROUND(C12-B12,4)</f>
        <v/>
      </c>
      <c r="E12" s="7">
        <f>COUNTIF(Account_Setup_and_Data_Load!$L$2:$L$61,"2026-03-01")</f>
        <v/>
      </c>
      <c r="F12" s="7">
        <f>IF(ABS(D12)&lt;=0.001,"OK","MISMATCH")</f>
        <v/>
      </c>
    </row>
    <row r="13">
      <c r="A13" s="7" t="inlineStr">
        <is>
          <t>Apr 26</t>
        </is>
      </c>
      <c r="B13" s="8">
        <f>-SUM('FY26 JV Revenue'!K5:K9)</f>
        <v/>
      </c>
      <c r="C13" s="8">
        <f>SUMIFS(Account_Setup_and_Data_Load!$T$2:$T$61,Account_Setup_and_Data_Load!$L$2:$L$61,"2026-04-01")</f>
        <v/>
      </c>
      <c r="D13" s="13">
        <f>ROUND(C13-B13,4)</f>
        <v/>
      </c>
      <c r="E13" s="7">
        <f>COUNTIF(Account_Setup_and_Data_Load!$L$2:$L$61,"2026-04-01")</f>
        <v/>
      </c>
      <c r="F13" s="7">
        <f>IF(ABS(D13)&lt;=0.001,"OK","MISMATCH")</f>
        <v/>
      </c>
    </row>
    <row r="14">
      <c r="A14" s="7" t="inlineStr">
        <is>
          <t>May 26</t>
        </is>
      </c>
      <c r="B14" s="8">
        <f>-SUM('FY26 JV Revenue'!L5:L9)</f>
        <v/>
      </c>
      <c r="C14" s="8">
        <f>SUMIFS(Account_Setup_and_Data_Load!$T$2:$T$61,Account_Setup_and_Data_Load!$L$2:$L$61,"2026-05-01")</f>
        <v/>
      </c>
      <c r="D14" s="13">
        <f>ROUND(C14-B14,4)</f>
        <v/>
      </c>
      <c r="E14" s="7">
        <f>COUNTIF(Account_Setup_and_Data_Load!$L$2:$L$61,"2026-05-01")</f>
        <v/>
      </c>
      <c r="F14" s="7">
        <f>IF(ABS(D14)&lt;=0.001,"OK","MISMATCH")</f>
        <v/>
      </c>
    </row>
    <row r="15">
      <c r="A15" s="7" t="inlineStr">
        <is>
          <t>Jun 26</t>
        </is>
      </c>
      <c r="B15" s="8">
        <f>-SUM('FY26 JV Revenue'!M5:M9)</f>
        <v/>
      </c>
      <c r="C15" s="8">
        <f>SUMIFS(Account_Setup_and_Data_Load!$T$2:$T$61,Account_Setup_and_Data_Load!$L$2:$L$61,"2026-06-01")</f>
        <v/>
      </c>
      <c r="D15" s="13">
        <f>ROUND(C15-B15,4)</f>
        <v/>
      </c>
      <c r="E15" s="7">
        <f>COUNTIF(Account_Setup_and_Data_Load!$L$2:$L$61,"2026-06-01")</f>
        <v/>
      </c>
      <c r="F15" s="7">
        <f>IF(ABS(D15)&lt;=0.001,"OK","MISMATCH")</f>
        <v/>
      </c>
    </row>
    <row r="16">
      <c r="A16" s="6" t="inlineStr">
        <is>
          <t>FY26</t>
        </is>
      </c>
      <c r="B16" s="10">
        <f>SUM(B4:B15)</f>
        <v/>
      </c>
      <c r="C16" s="10">
        <f>SUM(C4:C15)</f>
        <v/>
      </c>
      <c r="D16" s="14">
        <f>ROUND(C16-B16,4)</f>
        <v/>
      </c>
      <c r="E16" s="6">
        <f>SUM(E4:E15)</f>
        <v/>
      </c>
      <c r="F16" s="6">
        <f>IF(ABS(D16)&lt;=0.001,"OK","MISMATCH")</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10"/>
  <sheetViews>
    <sheetView workbookViewId="0">
      <selection activeCell="A1" sqref="A1"/>
    </sheetView>
  </sheetViews>
  <sheetFormatPr baseColWidth="8" defaultRowHeight="15"/>
  <cols>
    <col width="38" customWidth="1" min="1" max="1"/>
    <col width="9.5" customWidth="1" min="2" max="2"/>
    <col width="9.5" customWidth="1" min="3" max="3"/>
    <col width="9.5" customWidth="1" min="4" max="4"/>
    <col width="9.5" customWidth="1" min="5" max="5"/>
    <col width="9.5" customWidth="1" min="6" max="6"/>
    <col width="9.5" customWidth="1" min="7" max="7"/>
    <col width="9.5" customWidth="1" min="8" max="8"/>
    <col width="9.5" customWidth="1" min="9" max="9"/>
    <col width="9.5" customWidth="1" min="10" max="10"/>
    <col width="9.5" customWidth="1" min="11" max="11"/>
    <col width="9.5" customWidth="1" min="12" max="12"/>
    <col width="9.5" customWidth="1" min="13" max="13"/>
    <col width="12" customWidth="1" min="14" max="14"/>
  </cols>
  <sheetData>
    <row r="1">
      <c r="A1" s="4" t="inlineStr">
        <is>
          <t>Line-item check: Account Setup upload + source JV revenue = 0 for every JV and every month</t>
        </is>
      </c>
    </row>
    <row r="3">
      <c r="A3" s="6" t="inlineStr">
        <is>
          <t>Joint Venture</t>
        </is>
      </c>
      <c r="B3" s="6" t="inlineStr">
        <is>
          <t>Jul 25</t>
        </is>
      </c>
      <c r="C3" s="6" t="inlineStr">
        <is>
          <t>Aug 25</t>
        </is>
      </c>
      <c r="D3" s="6" t="inlineStr">
        <is>
          <t>Sep 25</t>
        </is>
      </c>
      <c r="E3" s="6" t="inlineStr">
        <is>
          <t>Oct 25</t>
        </is>
      </c>
      <c r="F3" s="6" t="inlineStr">
        <is>
          <t>Nov 25</t>
        </is>
      </c>
      <c r="G3" s="6" t="inlineStr">
        <is>
          <t>Dec 25</t>
        </is>
      </c>
      <c r="H3" s="6" t="inlineStr">
        <is>
          <t>Jan 26</t>
        </is>
      </c>
      <c r="I3" s="6" t="inlineStr">
        <is>
          <t>Feb 26</t>
        </is>
      </c>
      <c r="J3" s="6" t="inlineStr">
        <is>
          <t>Mar 26</t>
        </is>
      </c>
      <c r="K3" s="6" t="inlineStr">
        <is>
          <t>Apr 26</t>
        </is>
      </c>
      <c r="L3" s="6" t="inlineStr">
        <is>
          <t>May 26</t>
        </is>
      </c>
      <c r="M3" s="6" t="inlineStr">
        <is>
          <t>Jun 26</t>
        </is>
      </c>
      <c r="N3" s="6" t="inlineStr">
        <is>
          <t>Status</t>
        </is>
      </c>
    </row>
    <row r="4">
      <c r="A4" s="7" t="inlineStr">
        <is>
          <t>Allied Asphalt</t>
        </is>
      </c>
      <c r="B4" s="13">
        <f>ROUND(SUMIFS(Account_Setup_and_Data_Load!$T$2:$T$61,Account_Setup_and_Data_Load!$L$2:$L$61,"2025-07-01",Account_Setup_and_Data_Load!$R$2:$R$61,$A4)+'FY26 JV Revenue'!B5,4)</f>
        <v/>
      </c>
      <c r="C4" s="13">
        <f>ROUND(SUMIFS(Account_Setup_and_Data_Load!$T$2:$T$61,Account_Setup_and_Data_Load!$L$2:$L$61,"2025-08-01",Account_Setup_and_Data_Load!$R$2:$R$61,$A4)+'FY26 JV Revenue'!C5,4)</f>
        <v/>
      </c>
      <c r="D4" s="13">
        <f>ROUND(SUMIFS(Account_Setup_and_Data_Load!$T$2:$T$61,Account_Setup_and_Data_Load!$L$2:$L$61,"2025-09-01",Account_Setup_and_Data_Load!$R$2:$R$61,$A4)+'FY26 JV Revenue'!D5,4)</f>
        <v/>
      </c>
      <c r="E4" s="13">
        <f>ROUND(SUMIFS(Account_Setup_and_Data_Load!$T$2:$T$61,Account_Setup_and_Data_Load!$L$2:$L$61,"2025-10-01",Account_Setup_and_Data_Load!$R$2:$R$61,$A4)+'FY26 JV Revenue'!E5,4)</f>
        <v/>
      </c>
      <c r="F4" s="13">
        <f>ROUND(SUMIFS(Account_Setup_and_Data_Load!$T$2:$T$61,Account_Setup_and_Data_Load!$L$2:$L$61,"2025-11-01",Account_Setup_and_Data_Load!$R$2:$R$61,$A4)+'FY26 JV Revenue'!F5,4)</f>
        <v/>
      </c>
      <c r="G4" s="13">
        <f>ROUND(SUMIFS(Account_Setup_and_Data_Load!$T$2:$T$61,Account_Setup_and_Data_Load!$L$2:$L$61,"2025-12-01",Account_Setup_and_Data_Load!$R$2:$R$61,$A4)+'FY26 JV Revenue'!G5,4)</f>
        <v/>
      </c>
      <c r="H4" s="13">
        <f>ROUND(SUMIFS(Account_Setup_and_Data_Load!$T$2:$T$61,Account_Setup_and_Data_Load!$L$2:$L$61,"2026-01-01",Account_Setup_and_Data_Load!$R$2:$R$61,$A4)+'FY26 JV Revenue'!H5,4)</f>
        <v/>
      </c>
      <c r="I4" s="13">
        <f>ROUND(SUMIFS(Account_Setup_and_Data_Load!$T$2:$T$61,Account_Setup_and_Data_Load!$L$2:$L$61,"2026-02-01",Account_Setup_and_Data_Load!$R$2:$R$61,$A4)+'FY26 JV Revenue'!I5,4)</f>
        <v/>
      </c>
      <c r="J4" s="13">
        <f>ROUND(SUMIFS(Account_Setup_and_Data_Load!$T$2:$T$61,Account_Setup_and_Data_Load!$L$2:$L$61,"2026-03-01",Account_Setup_and_Data_Load!$R$2:$R$61,$A4)+'FY26 JV Revenue'!J5,4)</f>
        <v/>
      </c>
      <c r="K4" s="13">
        <f>ROUND(SUMIFS(Account_Setup_and_Data_Load!$T$2:$T$61,Account_Setup_and_Data_Load!$L$2:$L$61,"2026-04-01",Account_Setup_and_Data_Load!$R$2:$R$61,$A4)+'FY26 JV Revenue'!K5,4)</f>
        <v/>
      </c>
      <c r="L4" s="13">
        <f>ROUND(SUMIFS(Account_Setup_and_Data_Load!$T$2:$T$61,Account_Setup_and_Data_Load!$L$2:$L$61,"2026-05-01",Account_Setup_and_Data_Load!$R$2:$R$61,$A4)+'FY26 JV Revenue'!L5,4)</f>
        <v/>
      </c>
      <c r="M4" s="13">
        <f>ROUND(SUMIFS(Account_Setup_and_Data_Load!$T$2:$T$61,Account_Setup_and_Data_Load!$L$2:$L$61,"2026-06-01",Account_Setup_and_Data_Load!$R$2:$R$61,$A4)+'FY26 JV Revenue'!M5,4)</f>
        <v/>
      </c>
      <c r="N4" s="7">
        <f>IF(SUMPRODUCT(ABS(B4:M4))&lt;=0.001,"OK","MISMATCH")</f>
        <v/>
      </c>
    </row>
    <row r="5">
      <c r="A5" s="7" t="inlineStr">
        <is>
          <t>BIA</t>
        </is>
      </c>
      <c r="B5" s="13">
        <f>ROUND(SUMIFS(Account_Setup_and_Data_Load!$T$2:$T$61,Account_Setup_and_Data_Load!$L$2:$L$61,"2025-07-01",Account_Setup_and_Data_Load!$R$2:$R$61,$A5)+'FY26 JV Revenue'!B6,4)</f>
        <v/>
      </c>
      <c r="C5" s="13">
        <f>ROUND(SUMIFS(Account_Setup_and_Data_Load!$T$2:$T$61,Account_Setup_and_Data_Load!$L$2:$L$61,"2025-08-01",Account_Setup_and_Data_Load!$R$2:$R$61,$A5)+'FY26 JV Revenue'!C6,4)</f>
        <v/>
      </c>
      <c r="D5" s="13">
        <f>ROUND(SUMIFS(Account_Setup_and_Data_Load!$T$2:$T$61,Account_Setup_and_Data_Load!$L$2:$L$61,"2025-09-01",Account_Setup_and_Data_Load!$R$2:$R$61,$A5)+'FY26 JV Revenue'!D6,4)</f>
        <v/>
      </c>
      <c r="E5" s="13">
        <f>ROUND(SUMIFS(Account_Setup_and_Data_Load!$T$2:$T$61,Account_Setup_and_Data_Load!$L$2:$L$61,"2025-10-01",Account_Setup_and_Data_Load!$R$2:$R$61,$A5)+'FY26 JV Revenue'!E6,4)</f>
        <v/>
      </c>
      <c r="F5" s="13">
        <f>ROUND(SUMIFS(Account_Setup_and_Data_Load!$T$2:$T$61,Account_Setup_and_Data_Load!$L$2:$L$61,"2025-11-01",Account_Setup_and_Data_Load!$R$2:$R$61,$A5)+'FY26 JV Revenue'!F6,4)</f>
        <v/>
      </c>
      <c r="G5" s="13">
        <f>ROUND(SUMIFS(Account_Setup_and_Data_Load!$T$2:$T$61,Account_Setup_and_Data_Load!$L$2:$L$61,"2025-12-01",Account_Setup_and_Data_Load!$R$2:$R$61,$A5)+'FY26 JV Revenue'!G6,4)</f>
        <v/>
      </c>
      <c r="H5" s="13">
        <f>ROUND(SUMIFS(Account_Setup_and_Data_Load!$T$2:$T$61,Account_Setup_and_Data_Load!$L$2:$L$61,"2026-01-01",Account_Setup_and_Data_Load!$R$2:$R$61,$A5)+'FY26 JV Revenue'!H6,4)</f>
        <v/>
      </c>
      <c r="I5" s="13">
        <f>ROUND(SUMIFS(Account_Setup_and_Data_Load!$T$2:$T$61,Account_Setup_and_Data_Load!$L$2:$L$61,"2026-02-01",Account_Setup_and_Data_Load!$R$2:$R$61,$A5)+'FY26 JV Revenue'!I6,4)</f>
        <v/>
      </c>
      <c r="J5" s="13">
        <f>ROUND(SUMIFS(Account_Setup_and_Data_Load!$T$2:$T$61,Account_Setup_and_Data_Load!$L$2:$L$61,"2026-03-01",Account_Setup_and_Data_Load!$R$2:$R$61,$A5)+'FY26 JV Revenue'!J6,4)</f>
        <v/>
      </c>
      <c r="K5" s="13">
        <f>ROUND(SUMIFS(Account_Setup_and_Data_Load!$T$2:$T$61,Account_Setup_and_Data_Load!$L$2:$L$61,"2026-04-01",Account_Setup_and_Data_Load!$R$2:$R$61,$A5)+'FY26 JV Revenue'!K6,4)</f>
        <v/>
      </c>
      <c r="L5" s="13">
        <f>ROUND(SUMIFS(Account_Setup_and_Data_Load!$T$2:$T$61,Account_Setup_and_Data_Load!$L$2:$L$61,"2026-05-01",Account_Setup_and_Data_Load!$R$2:$R$61,$A5)+'FY26 JV Revenue'!L6,4)</f>
        <v/>
      </c>
      <c r="M5" s="13">
        <f>ROUND(SUMIFS(Account_Setup_and_Data_Load!$T$2:$T$61,Account_Setup_and_Data_Load!$L$2:$L$61,"2026-06-01",Account_Setup_and_Data_Load!$R$2:$R$61,$A5)+'FY26 JV Revenue'!M6,4)</f>
        <v/>
      </c>
      <c r="N5" s="7">
        <f>IF(SUMPRODUCT(ABS(B5:M5))&lt;=0.001,"OK","MISMATCH")</f>
        <v/>
      </c>
    </row>
    <row r="6">
      <c r="A6" s="7" t="inlineStr">
        <is>
          <t>EDI Rail- Bombardier Transportation</t>
        </is>
      </c>
      <c r="B6" s="13">
        <f>ROUND(SUMIFS(Account_Setup_and_Data_Load!$T$2:$T$61,Account_Setup_and_Data_Load!$L$2:$L$61,"2025-07-01",Account_Setup_and_Data_Load!$R$2:$R$61,$A6)+'FY26 JV Revenue'!B7,4)</f>
        <v/>
      </c>
      <c r="C6" s="13">
        <f>ROUND(SUMIFS(Account_Setup_and_Data_Load!$T$2:$T$61,Account_Setup_and_Data_Load!$L$2:$L$61,"2025-08-01",Account_Setup_and_Data_Load!$R$2:$R$61,$A6)+'FY26 JV Revenue'!C7,4)</f>
        <v/>
      </c>
      <c r="D6" s="13">
        <f>ROUND(SUMIFS(Account_Setup_and_Data_Load!$T$2:$T$61,Account_Setup_and_Data_Load!$L$2:$L$61,"2025-09-01",Account_Setup_and_Data_Load!$R$2:$R$61,$A6)+'FY26 JV Revenue'!D7,4)</f>
        <v/>
      </c>
      <c r="E6" s="13">
        <f>ROUND(SUMIFS(Account_Setup_and_Data_Load!$T$2:$T$61,Account_Setup_and_Data_Load!$L$2:$L$61,"2025-10-01",Account_Setup_and_Data_Load!$R$2:$R$61,$A6)+'FY26 JV Revenue'!E7,4)</f>
        <v/>
      </c>
      <c r="F6" s="13">
        <f>ROUND(SUMIFS(Account_Setup_and_Data_Load!$T$2:$T$61,Account_Setup_and_Data_Load!$L$2:$L$61,"2025-11-01",Account_Setup_and_Data_Load!$R$2:$R$61,$A6)+'FY26 JV Revenue'!F7,4)</f>
        <v/>
      </c>
      <c r="G6" s="13">
        <f>ROUND(SUMIFS(Account_Setup_and_Data_Load!$T$2:$T$61,Account_Setup_and_Data_Load!$L$2:$L$61,"2025-12-01",Account_Setup_and_Data_Load!$R$2:$R$61,$A6)+'FY26 JV Revenue'!G7,4)</f>
        <v/>
      </c>
      <c r="H6" s="13">
        <f>ROUND(SUMIFS(Account_Setup_and_Data_Load!$T$2:$T$61,Account_Setup_and_Data_Load!$L$2:$L$61,"2026-01-01",Account_Setup_and_Data_Load!$R$2:$R$61,$A6)+'FY26 JV Revenue'!H7,4)</f>
        <v/>
      </c>
      <c r="I6" s="13">
        <f>ROUND(SUMIFS(Account_Setup_and_Data_Load!$T$2:$T$61,Account_Setup_and_Data_Load!$L$2:$L$61,"2026-02-01",Account_Setup_and_Data_Load!$R$2:$R$61,$A6)+'FY26 JV Revenue'!I7,4)</f>
        <v/>
      </c>
      <c r="J6" s="13">
        <f>ROUND(SUMIFS(Account_Setup_and_Data_Load!$T$2:$T$61,Account_Setup_and_Data_Load!$L$2:$L$61,"2026-03-01",Account_Setup_and_Data_Load!$R$2:$R$61,$A6)+'FY26 JV Revenue'!J7,4)</f>
        <v/>
      </c>
      <c r="K6" s="13">
        <f>ROUND(SUMIFS(Account_Setup_and_Data_Load!$T$2:$T$61,Account_Setup_and_Data_Load!$L$2:$L$61,"2026-04-01",Account_Setup_and_Data_Load!$R$2:$R$61,$A6)+'FY26 JV Revenue'!K7,4)</f>
        <v/>
      </c>
      <c r="L6" s="13">
        <f>ROUND(SUMIFS(Account_Setup_and_Data_Load!$T$2:$T$61,Account_Setup_and_Data_Load!$L$2:$L$61,"2026-05-01",Account_Setup_and_Data_Load!$R$2:$R$61,$A6)+'FY26 JV Revenue'!L7,4)</f>
        <v/>
      </c>
      <c r="M6" s="13">
        <f>ROUND(SUMIFS(Account_Setup_and_Data_Load!$T$2:$T$61,Account_Setup_and_Data_Load!$L$2:$L$61,"2026-06-01",Account_Setup_and_Data_Load!$R$2:$R$61,$A6)+'FY26 JV Revenue'!M7,4)</f>
        <v/>
      </c>
      <c r="N6" s="7">
        <f>IF(SUMPRODUCT(ABS(B6:M6))&lt;=0.001,"OK","MISMATCH")</f>
        <v/>
      </c>
    </row>
    <row r="7">
      <c r="A7" s="7" t="inlineStr">
        <is>
          <t>Emulco</t>
        </is>
      </c>
      <c r="B7" s="13">
        <f>ROUND(SUMIFS(Account_Setup_and_Data_Load!$T$2:$T$61,Account_Setup_and_Data_Load!$L$2:$L$61,"2025-07-01",Account_Setup_and_Data_Load!$R$2:$R$61,$A7)+'FY26 JV Revenue'!B8,4)</f>
        <v/>
      </c>
      <c r="C7" s="13">
        <f>ROUND(SUMIFS(Account_Setup_and_Data_Load!$T$2:$T$61,Account_Setup_and_Data_Load!$L$2:$L$61,"2025-08-01",Account_Setup_and_Data_Load!$R$2:$R$61,$A7)+'FY26 JV Revenue'!C8,4)</f>
        <v/>
      </c>
      <c r="D7" s="13">
        <f>ROUND(SUMIFS(Account_Setup_and_Data_Load!$T$2:$T$61,Account_Setup_and_Data_Load!$L$2:$L$61,"2025-09-01",Account_Setup_and_Data_Load!$R$2:$R$61,$A7)+'FY26 JV Revenue'!D8,4)</f>
        <v/>
      </c>
      <c r="E7" s="13">
        <f>ROUND(SUMIFS(Account_Setup_and_Data_Load!$T$2:$T$61,Account_Setup_and_Data_Load!$L$2:$L$61,"2025-10-01",Account_Setup_and_Data_Load!$R$2:$R$61,$A7)+'FY26 JV Revenue'!E8,4)</f>
        <v/>
      </c>
      <c r="F7" s="13">
        <f>ROUND(SUMIFS(Account_Setup_and_Data_Load!$T$2:$T$61,Account_Setup_and_Data_Load!$L$2:$L$61,"2025-11-01",Account_Setup_and_Data_Load!$R$2:$R$61,$A7)+'FY26 JV Revenue'!F8,4)</f>
        <v/>
      </c>
      <c r="G7" s="13">
        <f>ROUND(SUMIFS(Account_Setup_and_Data_Load!$T$2:$T$61,Account_Setup_and_Data_Load!$L$2:$L$61,"2025-12-01",Account_Setup_and_Data_Load!$R$2:$R$61,$A7)+'FY26 JV Revenue'!G8,4)</f>
        <v/>
      </c>
      <c r="H7" s="13">
        <f>ROUND(SUMIFS(Account_Setup_and_Data_Load!$T$2:$T$61,Account_Setup_and_Data_Load!$L$2:$L$61,"2026-01-01",Account_Setup_and_Data_Load!$R$2:$R$61,$A7)+'FY26 JV Revenue'!H8,4)</f>
        <v/>
      </c>
      <c r="I7" s="13">
        <f>ROUND(SUMIFS(Account_Setup_and_Data_Load!$T$2:$T$61,Account_Setup_and_Data_Load!$L$2:$L$61,"2026-02-01",Account_Setup_and_Data_Load!$R$2:$R$61,$A7)+'FY26 JV Revenue'!I8,4)</f>
        <v/>
      </c>
      <c r="J7" s="13">
        <f>ROUND(SUMIFS(Account_Setup_and_Data_Load!$T$2:$T$61,Account_Setup_and_Data_Load!$L$2:$L$61,"2026-03-01",Account_Setup_and_Data_Load!$R$2:$R$61,$A7)+'FY26 JV Revenue'!J8,4)</f>
        <v/>
      </c>
      <c r="K7" s="13">
        <f>ROUND(SUMIFS(Account_Setup_and_Data_Load!$T$2:$T$61,Account_Setup_and_Data_Load!$L$2:$L$61,"2026-04-01",Account_Setup_and_Data_Load!$R$2:$R$61,$A7)+'FY26 JV Revenue'!K8,4)</f>
        <v/>
      </c>
      <c r="L7" s="13">
        <f>ROUND(SUMIFS(Account_Setup_and_Data_Load!$T$2:$T$61,Account_Setup_and_Data_Load!$L$2:$L$61,"2026-05-01",Account_Setup_and_Data_Load!$R$2:$R$61,$A7)+'FY26 JV Revenue'!L8,4)</f>
        <v/>
      </c>
      <c r="M7" s="13">
        <f>ROUND(SUMIFS(Account_Setup_and_Data_Load!$T$2:$T$61,Account_Setup_and_Data_Load!$L$2:$L$61,"2026-06-01",Account_Setup_and_Data_Load!$R$2:$R$61,$A7)+'FY26 JV Revenue'!M8,4)</f>
        <v/>
      </c>
      <c r="N7" s="7">
        <f>IF(SUMPRODUCT(ABS(B7:M7))&lt;=0.001,"OK","MISMATCH")</f>
        <v/>
      </c>
    </row>
    <row r="8">
      <c r="A8" s="7" t="inlineStr">
        <is>
          <t>Isaac Asphalt</t>
        </is>
      </c>
      <c r="B8" s="13">
        <f>ROUND(SUMIFS(Account_Setup_and_Data_Load!$T$2:$T$61,Account_Setup_and_Data_Load!$L$2:$L$61,"2025-07-01",Account_Setup_and_Data_Load!$R$2:$R$61,$A8)+'FY26 JV Revenue'!B9,4)</f>
        <v/>
      </c>
      <c r="C8" s="13">
        <f>ROUND(SUMIFS(Account_Setup_and_Data_Load!$T$2:$T$61,Account_Setup_and_Data_Load!$L$2:$L$61,"2025-08-01",Account_Setup_and_Data_Load!$R$2:$R$61,$A8)+'FY26 JV Revenue'!C9,4)</f>
        <v/>
      </c>
      <c r="D8" s="13">
        <f>ROUND(SUMIFS(Account_Setup_and_Data_Load!$T$2:$T$61,Account_Setup_and_Data_Load!$L$2:$L$61,"2025-09-01",Account_Setup_and_Data_Load!$R$2:$R$61,$A8)+'FY26 JV Revenue'!D9,4)</f>
        <v/>
      </c>
      <c r="E8" s="13">
        <f>ROUND(SUMIFS(Account_Setup_and_Data_Load!$T$2:$T$61,Account_Setup_and_Data_Load!$L$2:$L$61,"2025-10-01",Account_Setup_and_Data_Load!$R$2:$R$61,$A8)+'FY26 JV Revenue'!E9,4)</f>
        <v/>
      </c>
      <c r="F8" s="13">
        <f>ROUND(SUMIFS(Account_Setup_and_Data_Load!$T$2:$T$61,Account_Setup_and_Data_Load!$L$2:$L$61,"2025-11-01",Account_Setup_and_Data_Load!$R$2:$R$61,$A8)+'FY26 JV Revenue'!F9,4)</f>
        <v/>
      </c>
      <c r="G8" s="13">
        <f>ROUND(SUMIFS(Account_Setup_and_Data_Load!$T$2:$T$61,Account_Setup_and_Data_Load!$L$2:$L$61,"2025-12-01",Account_Setup_and_Data_Load!$R$2:$R$61,$A8)+'FY26 JV Revenue'!G9,4)</f>
        <v/>
      </c>
      <c r="H8" s="13">
        <f>ROUND(SUMIFS(Account_Setup_and_Data_Load!$T$2:$T$61,Account_Setup_and_Data_Load!$L$2:$L$61,"2026-01-01",Account_Setup_and_Data_Load!$R$2:$R$61,$A8)+'FY26 JV Revenue'!H9,4)</f>
        <v/>
      </c>
      <c r="I8" s="13">
        <f>ROUND(SUMIFS(Account_Setup_and_Data_Load!$T$2:$T$61,Account_Setup_and_Data_Load!$L$2:$L$61,"2026-02-01",Account_Setup_and_Data_Load!$R$2:$R$61,$A8)+'FY26 JV Revenue'!I9,4)</f>
        <v/>
      </c>
      <c r="J8" s="13">
        <f>ROUND(SUMIFS(Account_Setup_and_Data_Load!$T$2:$T$61,Account_Setup_and_Data_Load!$L$2:$L$61,"2026-03-01",Account_Setup_and_Data_Load!$R$2:$R$61,$A8)+'FY26 JV Revenue'!J9,4)</f>
        <v/>
      </c>
      <c r="K8" s="13">
        <f>ROUND(SUMIFS(Account_Setup_and_Data_Load!$T$2:$T$61,Account_Setup_and_Data_Load!$L$2:$L$61,"2026-04-01",Account_Setup_and_Data_Load!$R$2:$R$61,$A8)+'FY26 JV Revenue'!K9,4)</f>
        <v/>
      </c>
      <c r="L8" s="13">
        <f>ROUND(SUMIFS(Account_Setup_and_Data_Load!$T$2:$T$61,Account_Setup_and_Data_Load!$L$2:$L$61,"2026-05-01",Account_Setup_and_Data_Load!$R$2:$R$61,$A8)+'FY26 JV Revenue'!L9,4)</f>
        <v/>
      </c>
      <c r="M8" s="13">
        <f>ROUND(SUMIFS(Account_Setup_and_Data_Load!$T$2:$T$61,Account_Setup_and_Data_Load!$L$2:$L$61,"2026-06-01",Account_Setup_and_Data_Load!$R$2:$R$61,$A8)+'FY26 JV Revenue'!M9,4)</f>
        <v/>
      </c>
      <c r="N8" s="7">
        <f>IF(SUMPRODUCT(ABS(B8:M8))&lt;=0.001,"OK","MISMATCH")</f>
        <v/>
      </c>
    </row>
    <row r="10">
      <c r="A10" s="6" t="inlineStr">
        <is>
          <t>Overall</t>
        </is>
      </c>
      <c r="N10" s="6">
        <f>IF(SUMPRODUCT(ABS(B4:M8))&lt;=0.001,"ALL OK","MISMATCH")</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2026-08-04T03:06:40Z</dcterms:created>
  <dcterms:modified xsi:type="dcterms:W3CDTF">2026-08-04T03:06:40Z</dcterms:modified>
</cp:coreProperties>
</file>